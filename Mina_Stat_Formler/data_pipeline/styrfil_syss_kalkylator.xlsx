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-Disk-2\Hem0006\jimlin\Desktop\Mina_Befolknings_Dashboards\Mina_Stat_Formler\data_pipeline\"/>
    </mc:Choice>
  </mc:AlternateContent>
  <xr:revisionPtr revIDLastSave="0" documentId="13_ncr:1_{B432BB07-0316-4788-90C1-B0516FBA19E9}" xr6:coauthVersionLast="36" xr6:coauthVersionMax="36" xr10:uidLastSave="{00000000-0000-0000-0000-000000000000}"/>
  <bookViews>
    <workbookView xWindow="0" yWindow="0" windowWidth="38400" windowHeight="17505" activeTab="1" xr2:uid="{E0EECC81-014C-4A42-9525-5692D1E0B19F}"/>
  </bookViews>
  <sheets>
    <sheet name="Scenarier" sheetId="13" r:id="rId1"/>
    <sheet name="Universitet" sheetId="2" r:id="rId2"/>
    <sheet name="Andel_förvarb_inflytt_över_län" sheetId="11" r:id="rId3"/>
    <sheet name="Inom_en_timme" sheetId="12" r:id="rId4"/>
    <sheet name="SNIgrupper" sheetId="14" r:id="rId5"/>
    <sheet name="Etableringschocker" sheetId="15" r:id="rId6"/>
    <sheet name="Branschglidning" sheetId="16" r:id="rId7"/>
    <sheet name="Tak_effekten" sheetId="17" r:id="rId8"/>
    <sheet name="Officiell_befolkningsprognos" sheetId="18" r:id="rId9"/>
    <sheet name="Matchning" sheetId="8" r:id="rId10"/>
    <sheet name="Dummy" sheetId="6" r:id="rId11"/>
    <sheet name="Flyttåldrar" sheetId="7" r:id="rId12"/>
    <sheet name="Hushåll_referensperson" sheetId="10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6" i="2" l="1"/>
  <c r="L26" i="2"/>
  <c r="AB103" i="11" l="1"/>
  <c r="AA103" i="11"/>
  <c r="Z103" i="11"/>
  <c r="AB102" i="11"/>
  <c r="AA102" i="11"/>
  <c r="Z102" i="11"/>
  <c r="AB101" i="11"/>
  <c r="AA101" i="11"/>
  <c r="Z101" i="11"/>
  <c r="AB100" i="11"/>
  <c r="AA100" i="11"/>
  <c r="Z100" i="11"/>
  <c r="AB99" i="11"/>
  <c r="AA99" i="11"/>
  <c r="Z99" i="11"/>
  <c r="AB98" i="11"/>
  <c r="AA98" i="11"/>
  <c r="Z98" i="11"/>
  <c r="AB97" i="11"/>
  <c r="AA97" i="11"/>
  <c r="Z97" i="11"/>
  <c r="AB96" i="11"/>
  <c r="AA96" i="11"/>
  <c r="Z96" i="11"/>
  <c r="AB95" i="11"/>
  <c r="AA95" i="11"/>
  <c r="Z95" i="11"/>
  <c r="AB94" i="11"/>
  <c r="AA94" i="11"/>
  <c r="Z94" i="11"/>
  <c r="AB93" i="11"/>
  <c r="AA93" i="11"/>
  <c r="Z93" i="11"/>
  <c r="AB92" i="11"/>
  <c r="AA92" i="11"/>
  <c r="Z92" i="11"/>
  <c r="AB91" i="11"/>
  <c r="AA91" i="11"/>
  <c r="Z91" i="11"/>
  <c r="AB90" i="11"/>
  <c r="AA90" i="11"/>
  <c r="Z90" i="11"/>
  <c r="AB89" i="11"/>
  <c r="AA89" i="11"/>
  <c r="Z89" i="11"/>
  <c r="AB88" i="11"/>
  <c r="AA88" i="11"/>
  <c r="Z88" i="11"/>
  <c r="AB87" i="11"/>
  <c r="AA87" i="11"/>
  <c r="Z87" i="11"/>
  <c r="AB86" i="11"/>
  <c r="AA86" i="11"/>
  <c r="Z86" i="11"/>
  <c r="AB85" i="11"/>
  <c r="AA85" i="11"/>
  <c r="Z85" i="11"/>
  <c r="AB84" i="11"/>
  <c r="AA84" i="11"/>
  <c r="Z84" i="11"/>
  <c r="AB83" i="11"/>
  <c r="AA83" i="11"/>
  <c r="Z83" i="11"/>
  <c r="AB82" i="11"/>
  <c r="AA82" i="11"/>
  <c r="Z82" i="11"/>
  <c r="AB81" i="11"/>
  <c r="AA81" i="11"/>
  <c r="Z81" i="11"/>
  <c r="AB80" i="11"/>
  <c r="AA80" i="11"/>
  <c r="Z80" i="11"/>
  <c r="AB79" i="11"/>
  <c r="AA79" i="11"/>
  <c r="Z79" i="11"/>
  <c r="AB78" i="11"/>
  <c r="AA78" i="11"/>
  <c r="Z78" i="11"/>
  <c r="AB77" i="11"/>
  <c r="AA77" i="11"/>
  <c r="Z77" i="11"/>
  <c r="AB76" i="11"/>
  <c r="AA76" i="11"/>
  <c r="Z76" i="11"/>
  <c r="AB75" i="11"/>
  <c r="AA75" i="11"/>
  <c r="Z75" i="11"/>
  <c r="AB74" i="11"/>
  <c r="AA74" i="11"/>
  <c r="Z74" i="11"/>
  <c r="AB73" i="11"/>
  <c r="AA73" i="11"/>
  <c r="Z73" i="11"/>
  <c r="AB72" i="11"/>
  <c r="AA72" i="11"/>
  <c r="Z72" i="11"/>
  <c r="AB71" i="11"/>
  <c r="AA71" i="11"/>
  <c r="Z71" i="11"/>
  <c r="AB70" i="11"/>
  <c r="AA70" i="11"/>
  <c r="Z70" i="11"/>
  <c r="AB69" i="11"/>
  <c r="AA69" i="11"/>
  <c r="Z69" i="11"/>
  <c r="AB68" i="11"/>
  <c r="AA68" i="11"/>
  <c r="Z68" i="11"/>
  <c r="AB67" i="11"/>
  <c r="AA67" i="11"/>
  <c r="Z67" i="11"/>
  <c r="AB66" i="11"/>
  <c r="AA66" i="11"/>
  <c r="Z66" i="11"/>
  <c r="AB65" i="11"/>
  <c r="AA65" i="11"/>
  <c r="Z65" i="11"/>
  <c r="AB64" i="11"/>
  <c r="AA64" i="11"/>
  <c r="Z64" i="11"/>
  <c r="AB63" i="11"/>
  <c r="AA63" i="11"/>
  <c r="Z63" i="11"/>
  <c r="AB62" i="11"/>
  <c r="AA62" i="11"/>
  <c r="Z62" i="11"/>
  <c r="AB61" i="11"/>
  <c r="AA61" i="11"/>
  <c r="Z61" i="11"/>
  <c r="AB60" i="11"/>
  <c r="AA60" i="11"/>
  <c r="Z60" i="11"/>
  <c r="AB59" i="11"/>
  <c r="AA59" i="11"/>
  <c r="Z59" i="11"/>
  <c r="AB58" i="11"/>
  <c r="AA58" i="11"/>
  <c r="Z58" i="11"/>
  <c r="AB57" i="11"/>
  <c r="AA57" i="11"/>
  <c r="Z57" i="11"/>
  <c r="AB56" i="11"/>
  <c r="AA56" i="11"/>
  <c r="Z56" i="11"/>
  <c r="AB55" i="11"/>
  <c r="AA55" i="11"/>
  <c r="Z55" i="11"/>
  <c r="AB54" i="11"/>
  <c r="AA54" i="11"/>
  <c r="Z54" i="11"/>
  <c r="AB53" i="11"/>
  <c r="AA53" i="11"/>
  <c r="Z53" i="11"/>
  <c r="AB52" i="11"/>
  <c r="AA52" i="11"/>
  <c r="Z52" i="11"/>
  <c r="AB51" i="11"/>
  <c r="AA51" i="11"/>
  <c r="Z51" i="11"/>
  <c r="AB50" i="11"/>
  <c r="AA50" i="11"/>
  <c r="Z50" i="11"/>
  <c r="AB49" i="11"/>
  <c r="AA49" i="11"/>
  <c r="Z49" i="11"/>
  <c r="AB48" i="11"/>
  <c r="AA48" i="11"/>
  <c r="Z48" i="11"/>
  <c r="AB47" i="11"/>
  <c r="AA47" i="11"/>
  <c r="Z47" i="11"/>
  <c r="AB46" i="11"/>
  <c r="AA46" i="11"/>
  <c r="Z46" i="11"/>
  <c r="AB45" i="11"/>
  <c r="AA45" i="11"/>
  <c r="Z45" i="11"/>
  <c r="AB44" i="11"/>
  <c r="AA44" i="11"/>
  <c r="Z44" i="11"/>
  <c r="AB43" i="11"/>
  <c r="AA43" i="11"/>
  <c r="Z43" i="11"/>
  <c r="AB42" i="11"/>
  <c r="AA42" i="11"/>
  <c r="Z42" i="11"/>
  <c r="AB41" i="11"/>
  <c r="AA41" i="11"/>
  <c r="Z41" i="11"/>
  <c r="AB40" i="11"/>
  <c r="AA40" i="11"/>
  <c r="Z40" i="11"/>
  <c r="AB39" i="11"/>
  <c r="AA39" i="11"/>
  <c r="Z39" i="11"/>
  <c r="AB38" i="11"/>
  <c r="AA38" i="11"/>
  <c r="Z38" i="11"/>
  <c r="AB37" i="11"/>
  <c r="AA37" i="11"/>
  <c r="Z37" i="11"/>
  <c r="AB36" i="11"/>
  <c r="AA36" i="11"/>
  <c r="Z36" i="11"/>
  <c r="AB35" i="11"/>
  <c r="AA35" i="11"/>
  <c r="Z35" i="11"/>
  <c r="AB34" i="11"/>
  <c r="AA34" i="11"/>
  <c r="Z34" i="11"/>
  <c r="AB33" i="11"/>
  <c r="AA33" i="11"/>
  <c r="Z33" i="11"/>
  <c r="AB32" i="11"/>
  <c r="AA32" i="11"/>
  <c r="Z32" i="11"/>
  <c r="AB31" i="11"/>
  <c r="AA31" i="11"/>
  <c r="Z31" i="11"/>
  <c r="AB30" i="11"/>
  <c r="AA30" i="11"/>
  <c r="Z30" i="11"/>
  <c r="AB29" i="11"/>
  <c r="AA29" i="11"/>
  <c r="Z29" i="11"/>
  <c r="AB28" i="11"/>
  <c r="AA28" i="11"/>
  <c r="Z28" i="11"/>
  <c r="AB27" i="11"/>
  <c r="AA27" i="11"/>
  <c r="Z27" i="11"/>
  <c r="AB26" i="11"/>
  <c r="AA26" i="11"/>
  <c r="Z26" i="11"/>
  <c r="AB25" i="11"/>
  <c r="AA25" i="11"/>
  <c r="Z25" i="11"/>
  <c r="AB24" i="11"/>
  <c r="AA24" i="11"/>
  <c r="Z24" i="11"/>
  <c r="AB23" i="11"/>
  <c r="AA23" i="11"/>
  <c r="Z23" i="11"/>
  <c r="AB22" i="11"/>
  <c r="AA22" i="11"/>
  <c r="Z22" i="11"/>
  <c r="AB21" i="11"/>
  <c r="AA21" i="11"/>
  <c r="Z21" i="11"/>
  <c r="AB20" i="11"/>
  <c r="AA20" i="11"/>
  <c r="Z20" i="11"/>
  <c r="AB19" i="11"/>
  <c r="AA19" i="11"/>
  <c r="Z19" i="11"/>
  <c r="AB18" i="11"/>
  <c r="AA18" i="11"/>
  <c r="Z18" i="11"/>
  <c r="AB17" i="11"/>
  <c r="AA17" i="11"/>
  <c r="Z17" i="11"/>
  <c r="AB16" i="11"/>
  <c r="AA16" i="11"/>
  <c r="Z16" i="11"/>
  <c r="AB15" i="11"/>
  <c r="AA15" i="11"/>
  <c r="Z15" i="11"/>
  <c r="AB14" i="11"/>
  <c r="AA14" i="11"/>
  <c r="Z14" i="11"/>
  <c r="AB13" i="11"/>
  <c r="AA13" i="11"/>
  <c r="Z13" i="11"/>
  <c r="AB12" i="11"/>
  <c r="AA12" i="11"/>
  <c r="Z12" i="11"/>
  <c r="AB11" i="11"/>
  <c r="AA11" i="11"/>
  <c r="Z11" i="11"/>
  <c r="AB10" i="11"/>
  <c r="AA10" i="11"/>
  <c r="Z10" i="11"/>
  <c r="AB9" i="11"/>
  <c r="AA9" i="11"/>
  <c r="Z9" i="11"/>
  <c r="AB8" i="11"/>
  <c r="AA8" i="11"/>
  <c r="Z8" i="11"/>
  <c r="AB7" i="11"/>
  <c r="AA7" i="11"/>
  <c r="Z7" i="11"/>
  <c r="AB6" i="11"/>
  <c r="AA6" i="11"/>
  <c r="Z6" i="11"/>
  <c r="AB5" i="11"/>
  <c r="AA5" i="11"/>
  <c r="Z5" i="11"/>
  <c r="AB4" i="11"/>
  <c r="AA4" i="11"/>
  <c r="Z4" i="11"/>
  <c r="AB3" i="11"/>
  <c r="AA3" i="11"/>
  <c r="Z3" i="11"/>
  <c r="AB2" i="11"/>
  <c r="AA2" i="11"/>
  <c r="Z2" i="11"/>
  <c r="F18" i="2" l="1"/>
  <c r="F2" i="2"/>
  <c r="B3" i="10"/>
  <c r="B4" i="10"/>
  <c r="B5" i="10"/>
  <c r="B6" i="10"/>
  <c r="B7" i="10"/>
  <c r="B2" i="10"/>
  <c r="AK103" i="11"/>
  <c r="AJ103" i="11"/>
  <c r="AI103" i="11"/>
  <c r="AH103" i="11"/>
  <c r="AG103" i="11"/>
  <c r="AF103" i="11"/>
  <c r="AE103" i="11"/>
  <c r="AD103" i="11"/>
  <c r="AC103" i="11"/>
  <c r="AK102" i="11"/>
  <c r="AJ102" i="11"/>
  <c r="AI102" i="11"/>
  <c r="AH102" i="11"/>
  <c r="AG102" i="11"/>
  <c r="AF102" i="11"/>
  <c r="AE102" i="11"/>
  <c r="AD102" i="11"/>
  <c r="AC102" i="11"/>
  <c r="AK101" i="11"/>
  <c r="AJ101" i="11"/>
  <c r="AI101" i="11"/>
  <c r="AH101" i="11"/>
  <c r="AG101" i="11"/>
  <c r="AF101" i="11"/>
  <c r="AE101" i="11"/>
  <c r="AD101" i="11"/>
  <c r="AC101" i="11"/>
  <c r="AK100" i="11"/>
  <c r="AJ100" i="11"/>
  <c r="AI100" i="11"/>
  <c r="AH100" i="11"/>
  <c r="AG100" i="11"/>
  <c r="AF100" i="11"/>
  <c r="AE100" i="11"/>
  <c r="AD100" i="11"/>
  <c r="AC100" i="11"/>
  <c r="AK99" i="11"/>
  <c r="AJ99" i="11"/>
  <c r="AI99" i="11"/>
  <c r="AH99" i="11"/>
  <c r="AG99" i="11"/>
  <c r="AF99" i="11"/>
  <c r="AE99" i="11"/>
  <c r="AD99" i="11"/>
  <c r="AC99" i="11"/>
  <c r="AK98" i="11"/>
  <c r="AJ98" i="11"/>
  <c r="AI98" i="11"/>
  <c r="AH98" i="11"/>
  <c r="AG98" i="11"/>
  <c r="AF98" i="11"/>
  <c r="AE98" i="11"/>
  <c r="AD98" i="11"/>
  <c r="AC98" i="11"/>
  <c r="AK97" i="11"/>
  <c r="AJ97" i="11"/>
  <c r="AI97" i="11"/>
  <c r="AH97" i="11"/>
  <c r="AG97" i="11"/>
  <c r="AF97" i="11"/>
  <c r="AE97" i="11"/>
  <c r="AD97" i="11"/>
  <c r="AC97" i="11"/>
  <c r="AK96" i="11"/>
  <c r="AJ96" i="11"/>
  <c r="AI96" i="11"/>
  <c r="AH96" i="11"/>
  <c r="AG96" i="11"/>
  <c r="AF96" i="11"/>
  <c r="AE96" i="11"/>
  <c r="AD96" i="11"/>
  <c r="AC96" i="11"/>
  <c r="AK95" i="11"/>
  <c r="AJ95" i="11"/>
  <c r="AI95" i="11"/>
  <c r="AH95" i="11"/>
  <c r="AG95" i="11"/>
  <c r="AF95" i="11"/>
  <c r="AE95" i="11"/>
  <c r="AD95" i="11"/>
  <c r="AC95" i="11"/>
  <c r="AK94" i="11"/>
  <c r="AJ94" i="11"/>
  <c r="AI94" i="11"/>
  <c r="AH94" i="11"/>
  <c r="AG94" i="11"/>
  <c r="AF94" i="11"/>
  <c r="AE94" i="11"/>
  <c r="AD94" i="11"/>
  <c r="AC94" i="11"/>
  <c r="AK93" i="11"/>
  <c r="AJ93" i="11"/>
  <c r="AI93" i="11"/>
  <c r="AH93" i="11"/>
  <c r="AG93" i="11"/>
  <c r="AF93" i="11"/>
  <c r="AE93" i="11"/>
  <c r="AD93" i="11"/>
  <c r="AC93" i="11"/>
  <c r="AK92" i="11"/>
  <c r="AJ92" i="11"/>
  <c r="AI92" i="11"/>
  <c r="AH92" i="11"/>
  <c r="AG92" i="11"/>
  <c r="AF92" i="11"/>
  <c r="AE92" i="11"/>
  <c r="AD92" i="11"/>
  <c r="AC92" i="11"/>
  <c r="AK91" i="11"/>
  <c r="AJ91" i="11"/>
  <c r="AI91" i="11"/>
  <c r="AH91" i="11"/>
  <c r="AG91" i="11"/>
  <c r="AF91" i="11"/>
  <c r="AE91" i="11"/>
  <c r="AD91" i="11"/>
  <c r="AC91" i="11"/>
  <c r="AK90" i="11"/>
  <c r="AJ90" i="11"/>
  <c r="AI90" i="11"/>
  <c r="AH90" i="11"/>
  <c r="AG90" i="11"/>
  <c r="AF90" i="11"/>
  <c r="AE90" i="11"/>
  <c r="AD90" i="11"/>
  <c r="AC90" i="11"/>
  <c r="AK89" i="11"/>
  <c r="AJ89" i="11"/>
  <c r="AI89" i="11"/>
  <c r="AH89" i="11"/>
  <c r="AG89" i="11"/>
  <c r="AF89" i="11"/>
  <c r="AE89" i="11"/>
  <c r="AD89" i="11"/>
  <c r="AC89" i="11"/>
  <c r="AK88" i="11"/>
  <c r="AJ88" i="11"/>
  <c r="AI88" i="11"/>
  <c r="AH88" i="11"/>
  <c r="AG88" i="11"/>
  <c r="AF88" i="11"/>
  <c r="AE88" i="11"/>
  <c r="AD88" i="11"/>
  <c r="AC88" i="11"/>
  <c r="AK87" i="11"/>
  <c r="AJ87" i="11"/>
  <c r="AI87" i="11"/>
  <c r="AH87" i="11"/>
  <c r="AG87" i="11"/>
  <c r="AF87" i="11"/>
  <c r="AE87" i="11"/>
  <c r="AD87" i="11"/>
  <c r="AC87" i="11"/>
  <c r="AK86" i="11"/>
  <c r="AJ86" i="11"/>
  <c r="AI86" i="11"/>
  <c r="AH86" i="11"/>
  <c r="AG86" i="11"/>
  <c r="AF86" i="11"/>
  <c r="AE86" i="11"/>
  <c r="AD86" i="11"/>
  <c r="AC86" i="11"/>
  <c r="AK85" i="11"/>
  <c r="AJ85" i="11"/>
  <c r="AI85" i="11"/>
  <c r="AH85" i="11"/>
  <c r="AG85" i="11"/>
  <c r="AF85" i="11"/>
  <c r="AE85" i="11"/>
  <c r="AD85" i="11"/>
  <c r="AC85" i="11"/>
  <c r="AK84" i="11"/>
  <c r="AJ84" i="11"/>
  <c r="AI84" i="11"/>
  <c r="AH84" i="11"/>
  <c r="AG84" i="11"/>
  <c r="AF84" i="11"/>
  <c r="AE84" i="11"/>
  <c r="AD84" i="11"/>
  <c r="AC84" i="11"/>
  <c r="AK83" i="11"/>
  <c r="AJ83" i="11"/>
  <c r="AI83" i="11"/>
  <c r="AH83" i="11"/>
  <c r="AG83" i="11"/>
  <c r="AF83" i="11"/>
  <c r="AE83" i="11"/>
  <c r="AD83" i="11"/>
  <c r="AC83" i="11"/>
  <c r="AK82" i="11"/>
  <c r="AJ82" i="11"/>
  <c r="AI82" i="11"/>
  <c r="AH82" i="11"/>
  <c r="AG82" i="11"/>
  <c r="AF82" i="11"/>
  <c r="AE82" i="11"/>
  <c r="AD82" i="11"/>
  <c r="AC82" i="11"/>
  <c r="AK81" i="11"/>
  <c r="AJ81" i="11"/>
  <c r="AI81" i="11"/>
  <c r="AH81" i="11"/>
  <c r="AG81" i="11"/>
  <c r="AF81" i="11"/>
  <c r="AE81" i="11"/>
  <c r="AD81" i="11"/>
  <c r="AC81" i="11"/>
  <c r="AK80" i="11"/>
  <c r="AJ80" i="11"/>
  <c r="AI80" i="11"/>
  <c r="AH80" i="11"/>
  <c r="AG80" i="11"/>
  <c r="AF80" i="11"/>
  <c r="AE80" i="11"/>
  <c r="AD80" i="11"/>
  <c r="AC80" i="11"/>
  <c r="AK79" i="11"/>
  <c r="AJ79" i="11"/>
  <c r="AI79" i="11"/>
  <c r="AH79" i="11"/>
  <c r="AG79" i="11"/>
  <c r="AF79" i="11"/>
  <c r="AE79" i="11"/>
  <c r="AD79" i="11"/>
  <c r="AC79" i="11"/>
  <c r="AK78" i="11"/>
  <c r="AJ78" i="11"/>
  <c r="AI78" i="11"/>
  <c r="AH78" i="11"/>
  <c r="AG78" i="11"/>
  <c r="AF78" i="11"/>
  <c r="AE78" i="11"/>
  <c r="AD78" i="11"/>
  <c r="AC78" i="11"/>
  <c r="AK77" i="11"/>
  <c r="AJ77" i="11"/>
  <c r="AI77" i="11"/>
  <c r="AH77" i="11"/>
  <c r="AG77" i="11"/>
  <c r="AF77" i="11"/>
  <c r="AE77" i="11"/>
  <c r="AD77" i="11"/>
  <c r="AC77" i="11"/>
  <c r="AK76" i="11"/>
  <c r="AJ76" i="11"/>
  <c r="AI76" i="11"/>
  <c r="AH76" i="11"/>
  <c r="AG76" i="11"/>
  <c r="AF76" i="11"/>
  <c r="AE76" i="11"/>
  <c r="AD76" i="11"/>
  <c r="AC76" i="11"/>
  <c r="AK75" i="11"/>
  <c r="AJ75" i="11"/>
  <c r="AI75" i="11"/>
  <c r="AH75" i="11"/>
  <c r="AG75" i="11"/>
  <c r="AF75" i="11"/>
  <c r="AE75" i="11"/>
  <c r="AD75" i="11"/>
  <c r="AC75" i="11"/>
  <c r="AK74" i="11"/>
  <c r="AJ74" i="11"/>
  <c r="AI74" i="11"/>
  <c r="AH74" i="11"/>
  <c r="AG74" i="11"/>
  <c r="AF74" i="11"/>
  <c r="AE74" i="11"/>
  <c r="AD74" i="11"/>
  <c r="AC74" i="11"/>
  <c r="AK73" i="11"/>
  <c r="AJ73" i="11"/>
  <c r="AI73" i="11"/>
  <c r="AH73" i="11"/>
  <c r="AG73" i="11"/>
  <c r="AF73" i="11"/>
  <c r="AE73" i="11"/>
  <c r="AD73" i="11"/>
  <c r="AC73" i="11"/>
  <c r="AK72" i="11"/>
  <c r="AJ72" i="11"/>
  <c r="AI72" i="11"/>
  <c r="AH72" i="11"/>
  <c r="AG72" i="11"/>
  <c r="AF72" i="11"/>
  <c r="AE72" i="11"/>
  <c r="AD72" i="11"/>
  <c r="AC72" i="11"/>
  <c r="AK71" i="11"/>
  <c r="AJ71" i="11"/>
  <c r="AI71" i="11"/>
  <c r="AH71" i="11"/>
  <c r="AG71" i="11"/>
  <c r="AF71" i="11"/>
  <c r="AE71" i="11"/>
  <c r="AD71" i="11"/>
  <c r="AC71" i="11"/>
  <c r="AK70" i="11"/>
  <c r="AJ70" i="11"/>
  <c r="AI70" i="11"/>
  <c r="AH70" i="11"/>
  <c r="AG70" i="11"/>
  <c r="AF70" i="11"/>
  <c r="AE70" i="11"/>
  <c r="AD70" i="11"/>
  <c r="AC70" i="11"/>
  <c r="AK69" i="11"/>
  <c r="AJ69" i="11"/>
  <c r="AI69" i="11"/>
  <c r="AH69" i="11"/>
  <c r="AG69" i="11"/>
  <c r="AF69" i="11"/>
  <c r="AE69" i="11"/>
  <c r="AD69" i="11"/>
  <c r="AC69" i="11"/>
  <c r="AK68" i="11"/>
  <c r="AJ68" i="11"/>
  <c r="AI68" i="11"/>
  <c r="AH68" i="11"/>
  <c r="AG68" i="11"/>
  <c r="AF68" i="11"/>
  <c r="AE68" i="11"/>
  <c r="AD68" i="11"/>
  <c r="AC68" i="11"/>
  <c r="AK67" i="11"/>
  <c r="AJ67" i="11"/>
  <c r="AI67" i="11"/>
  <c r="AH67" i="11"/>
  <c r="AG67" i="11"/>
  <c r="AF67" i="11"/>
  <c r="AE67" i="11"/>
  <c r="AD67" i="11"/>
  <c r="AC67" i="11"/>
  <c r="AK66" i="11"/>
  <c r="AJ66" i="11"/>
  <c r="AI66" i="11"/>
  <c r="AH66" i="11"/>
  <c r="AG66" i="11"/>
  <c r="AF66" i="11"/>
  <c r="AE66" i="11"/>
  <c r="AD66" i="11"/>
  <c r="AC66" i="11"/>
  <c r="AK65" i="11"/>
  <c r="AJ65" i="11"/>
  <c r="AI65" i="11"/>
  <c r="AH65" i="11"/>
  <c r="AG65" i="11"/>
  <c r="AF65" i="11"/>
  <c r="AE65" i="11"/>
  <c r="AD65" i="11"/>
  <c r="AC65" i="11"/>
  <c r="AK64" i="11"/>
  <c r="AJ64" i="11"/>
  <c r="AI64" i="11"/>
  <c r="AH64" i="11"/>
  <c r="AG64" i="11"/>
  <c r="AF64" i="11"/>
  <c r="AE64" i="11"/>
  <c r="AD64" i="11"/>
  <c r="AC64" i="11"/>
  <c r="AK63" i="11"/>
  <c r="AJ63" i="11"/>
  <c r="AI63" i="11"/>
  <c r="AH63" i="11"/>
  <c r="AG63" i="11"/>
  <c r="AF63" i="11"/>
  <c r="AE63" i="11"/>
  <c r="AD63" i="11"/>
  <c r="AC63" i="11"/>
  <c r="AK62" i="11"/>
  <c r="AJ62" i="11"/>
  <c r="AI62" i="11"/>
  <c r="AH62" i="11"/>
  <c r="AG62" i="11"/>
  <c r="AF62" i="11"/>
  <c r="AE62" i="11"/>
  <c r="AD62" i="11"/>
  <c r="AC62" i="11"/>
  <c r="AK61" i="11"/>
  <c r="AJ61" i="11"/>
  <c r="AI61" i="11"/>
  <c r="AH61" i="11"/>
  <c r="AG61" i="11"/>
  <c r="AF61" i="11"/>
  <c r="AE61" i="11"/>
  <c r="AD61" i="11"/>
  <c r="AC61" i="11"/>
  <c r="AK60" i="11"/>
  <c r="AJ60" i="11"/>
  <c r="AI60" i="11"/>
  <c r="AH60" i="11"/>
  <c r="AG60" i="11"/>
  <c r="AF60" i="11"/>
  <c r="AE60" i="11"/>
  <c r="AD60" i="11"/>
  <c r="AC60" i="11"/>
  <c r="AK59" i="11"/>
  <c r="AJ59" i="11"/>
  <c r="AI59" i="11"/>
  <c r="AH59" i="11"/>
  <c r="AG59" i="11"/>
  <c r="AF59" i="11"/>
  <c r="AE59" i="11"/>
  <c r="AD59" i="11"/>
  <c r="AC59" i="11"/>
  <c r="AK58" i="11"/>
  <c r="AJ58" i="11"/>
  <c r="AI58" i="11"/>
  <c r="AH58" i="11"/>
  <c r="AG58" i="11"/>
  <c r="AF58" i="11"/>
  <c r="AE58" i="11"/>
  <c r="AD58" i="11"/>
  <c r="AC58" i="11"/>
  <c r="AK57" i="11"/>
  <c r="AJ57" i="11"/>
  <c r="AI57" i="11"/>
  <c r="AH57" i="11"/>
  <c r="AG57" i="11"/>
  <c r="AF57" i="11"/>
  <c r="AE57" i="11"/>
  <c r="AD57" i="11"/>
  <c r="AC57" i="11"/>
  <c r="AK56" i="11"/>
  <c r="AJ56" i="11"/>
  <c r="AI56" i="11"/>
  <c r="AH56" i="11"/>
  <c r="AG56" i="11"/>
  <c r="AF56" i="11"/>
  <c r="AE56" i="11"/>
  <c r="AD56" i="11"/>
  <c r="AC56" i="11"/>
  <c r="AK55" i="11"/>
  <c r="AJ55" i="11"/>
  <c r="AI55" i="11"/>
  <c r="AH55" i="11"/>
  <c r="AG55" i="11"/>
  <c r="AF55" i="11"/>
  <c r="AE55" i="11"/>
  <c r="AD55" i="11"/>
  <c r="AC55" i="11"/>
  <c r="AK54" i="11"/>
  <c r="AJ54" i="11"/>
  <c r="AI54" i="11"/>
  <c r="AH54" i="11"/>
  <c r="AG54" i="11"/>
  <c r="AF54" i="11"/>
  <c r="AE54" i="11"/>
  <c r="AD54" i="11"/>
  <c r="AC54" i="11"/>
  <c r="AK53" i="11"/>
  <c r="AJ53" i="11"/>
  <c r="AI53" i="11"/>
  <c r="AH53" i="11"/>
  <c r="AG53" i="11"/>
  <c r="AF53" i="11"/>
  <c r="AE53" i="11"/>
  <c r="AD53" i="11"/>
  <c r="AC53" i="11"/>
  <c r="AK52" i="11"/>
  <c r="AJ52" i="11"/>
  <c r="AI52" i="11"/>
  <c r="AH52" i="11"/>
  <c r="AG52" i="11"/>
  <c r="AF52" i="11"/>
  <c r="AE52" i="11"/>
  <c r="AD52" i="11"/>
  <c r="AC52" i="11"/>
  <c r="AK51" i="11"/>
  <c r="AJ51" i="11"/>
  <c r="AI51" i="11"/>
  <c r="AH51" i="11"/>
  <c r="AG51" i="11"/>
  <c r="AF51" i="11"/>
  <c r="AE51" i="11"/>
  <c r="AD51" i="11"/>
  <c r="AC51" i="11"/>
  <c r="AK50" i="11"/>
  <c r="AJ50" i="11"/>
  <c r="AI50" i="11"/>
  <c r="AH50" i="11"/>
  <c r="AG50" i="11"/>
  <c r="AF50" i="11"/>
  <c r="AE50" i="11"/>
  <c r="AD50" i="11"/>
  <c r="AC50" i="11"/>
  <c r="AK49" i="11"/>
  <c r="AJ49" i="11"/>
  <c r="AI49" i="11"/>
  <c r="AH49" i="11"/>
  <c r="AG49" i="11"/>
  <c r="AF49" i="11"/>
  <c r="AE49" i="11"/>
  <c r="AD49" i="11"/>
  <c r="AC49" i="11"/>
  <c r="AK48" i="11"/>
  <c r="AJ48" i="11"/>
  <c r="AI48" i="11"/>
  <c r="AH48" i="11"/>
  <c r="AG48" i="11"/>
  <c r="AF48" i="11"/>
  <c r="AE48" i="11"/>
  <c r="AD48" i="11"/>
  <c r="AC48" i="11"/>
  <c r="AK47" i="11"/>
  <c r="AJ47" i="11"/>
  <c r="AI47" i="11"/>
  <c r="AH47" i="11"/>
  <c r="AG47" i="11"/>
  <c r="AF47" i="11"/>
  <c r="AE47" i="11"/>
  <c r="AD47" i="11"/>
  <c r="AC47" i="11"/>
  <c r="AK46" i="11"/>
  <c r="AJ46" i="11"/>
  <c r="AI46" i="11"/>
  <c r="AH46" i="11"/>
  <c r="AG46" i="11"/>
  <c r="AF46" i="11"/>
  <c r="AE46" i="11"/>
  <c r="AD46" i="11"/>
  <c r="AC46" i="11"/>
  <c r="AK45" i="11"/>
  <c r="AJ45" i="11"/>
  <c r="AI45" i="11"/>
  <c r="AH45" i="11"/>
  <c r="AG45" i="11"/>
  <c r="AF45" i="11"/>
  <c r="AE45" i="11"/>
  <c r="AD45" i="11"/>
  <c r="AC45" i="11"/>
  <c r="AK44" i="11"/>
  <c r="AJ44" i="11"/>
  <c r="AI44" i="11"/>
  <c r="AH44" i="11"/>
  <c r="AG44" i="11"/>
  <c r="AF44" i="11"/>
  <c r="AE44" i="11"/>
  <c r="AD44" i="11"/>
  <c r="AC44" i="11"/>
  <c r="AK43" i="11"/>
  <c r="AJ43" i="11"/>
  <c r="AI43" i="11"/>
  <c r="AH43" i="11"/>
  <c r="AG43" i="11"/>
  <c r="AF43" i="11"/>
  <c r="AE43" i="11"/>
  <c r="AD43" i="11"/>
  <c r="AC43" i="11"/>
  <c r="AK42" i="11"/>
  <c r="AJ42" i="11"/>
  <c r="AI42" i="11"/>
  <c r="AH42" i="11"/>
  <c r="AG42" i="11"/>
  <c r="AF42" i="11"/>
  <c r="AE42" i="11"/>
  <c r="AD42" i="11"/>
  <c r="AC42" i="11"/>
  <c r="AK41" i="11"/>
  <c r="AJ41" i="11"/>
  <c r="AI41" i="11"/>
  <c r="AH41" i="11"/>
  <c r="AG41" i="11"/>
  <c r="AF41" i="11"/>
  <c r="AE41" i="11"/>
  <c r="AD41" i="11"/>
  <c r="AC41" i="11"/>
  <c r="AK40" i="11"/>
  <c r="AJ40" i="11"/>
  <c r="AI40" i="11"/>
  <c r="AH40" i="11"/>
  <c r="AG40" i="11"/>
  <c r="AF40" i="11"/>
  <c r="AE40" i="11"/>
  <c r="AD40" i="11"/>
  <c r="AC40" i="11"/>
  <c r="AK39" i="11"/>
  <c r="AJ39" i="11"/>
  <c r="AI39" i="11"/>
  <c r="AH39" i="11"/>
  <c r="AG39" i="11"/>
  <c r="AF39" i="11"/>
  <c r="AE39" i="11"/>
  <c r="AD39" i="11"/>
  <c r="AC39" i="11"/>
  <c r="AK38" i="11"/>
  <c r="AJ38" i="11"/>
  <c r="AI38" i="11"/>
  <c r="AH38" i="11"/>
  <c r="AG38" i="11"/>
  <c r="AF38" i="11"/>
  <c r="AE38" i="11"/>
  <c r="AD38" i="11"/>
  <c r="AC38" i="11"/>
  <c r="AK37" i="11"/>
  <c r="AJ37" i="11"/>
  <c r="AI37" i="11"/>
  <c r="AH37" i="11"/>
  <c r="AG37" i="11"/>
  <c r="AF37" i="11"/>
  <c r="AE37" i="11"/>
  <c r="AD37" i="11"/>
  <c r="AC37" i="11"/>
  <c r="AK36" i="11"/>
  <c r="AJ36" i="11"/>
  <c r="AI36" i="11"/>
  <c r="AH36" i="11"/>
  <c r="AG36" i="11"/>
  <c r="AF36" i="11"/>
  <c r="AE36" i="11"/>
  <c r="AD36" i="11"/>
  <c r="AC36" i="11"/>
  <c r="AK35" i="11"/>
  <c r="AJ35" i="11"/>
  <c r="AI35" i="11"/>
  <c r="AH35" i="11"/>
  <c r="AG35" i="11"/>
  <c r="AF35" i="11"/>
  <c r="AE35" i="11"/>
  <c r="AD35" i="11"/>
  <c r="AC35" i="11"/>
  <c r="AK34" i="11"/>
  <c r="AJ34" i="11"/>
  <c r="AI34" i="11"/>
  <c r="AH34" i="11"/>
  <c r="AG34" i="11"/>
  <c r="AF34" i="11"/>
  <c r="AE34" i="11"/>
  <c r="AD34" i="11"/>
  <c r="AC34" i="11"/>
  <c r="AK33" i="11"/>
  <c r="AJ33" i="11"/>
  <c r="AI33" i="11"/>
  <c r="AH33" i="11"/>
  <c r="AG33" i="11"/>
  <c r="AF33" i="11"/>
  <c r="AE33" i="11"/>
  <c r="AD33" i="11"/>
  <c r="AC33" i="11"/>
  <c r="AK32" i="11"/>
  <c r="AJ32" i="11"/>
  <c r="AI32" i="11"/>
  <c r="AH32" i="11"/>
  <c r="AG32" i="11"/>
  <c r="AF32" i="11"/>
  <c r="AE32" i="11"/>
  <c r="AD32" i="11"/>
  <c r="AC32" i="11"/>
  <c r="AK31" i="11"/>
  <c r="AJ31" i="11"/>
  <c r="AI31" i="11"/>
  <c r="AH31" i="11"/>
  <c r="AG31" i="11"/>
  <c r="AF31" i="11"/>
  <c r="AE31" i="11"/>
  <c r="AD31" i="11"/>
  <c r="AC31" i="11"/>
  <c r="AK30" i="11"/>
  <c r="AJ30" i="11"/>
  <c r="AI30" i="11"/>
  <c r="AH30" i="11"/>
  <c r="AG30" i="11"/>
  <c r="AF30" i="11"/>
  <c r="AE30" i="11"/>
  <c r="AD30" i="11"/>
  <c r="AC30" i="11"/>
  <c r="AK29" i="11"/>
  <c r="AJ29" i="11"/>
  <c r="AI29" i="11"/>
  <c r="AH29" i="11"/>
  <c r="AG29" i="11"/>
  <c r="AF29" i="11"/>
  <c r="AE29" i="11"/>
  <c r="AD29" i="11"/>
  <c r="AC29" i="11"/>
  <c r="AK28" i="11"/>
  <c r="AJ28" i="11"/>
  <c r="AI28" i="11"/>
  <c r="AH28" i="11"/>
  <c r="AG28" i="11"/>
  <c r="AF28" i="11"/>
  <c r="AE28" i="11"/>
  <c r="AD28" i="11"/>
  <c r="AC28" i="11"/>
  <c r="AK27" i="11"/>
  <c r="AJ27" i="11"/>
  <c r="AI27" i="11"/>
  <c r="AH27" i="11"/>
  <c r="AG27" i="11"/>
  <c r="AF27" i="11"/>
  <c r="AE27" i="11"/>
  <c r="AD27" i="11"/>
  <c r="AC27" i="11"/>
  <c r="AK26" i="11"/>
  <c r="AJ26" i="11"/>
  <c r="AI26" i="11"/>
  <c r="AH26" i="11"/>
  <c r="AG26" i="11"/>
  <c r="AF26" i="11"/>
  <c r="AE26" i="11"/>
  <c r="AD26" i="11"/>
  <c r="AC26" i="11"/>
  <c r="AK25" i="11"/>
  <c r="AJ25" i="11"/>
  <c r="AI25" i="11"/>
  <c r="AH25" i="11"/>
  <c r="AG25" i="11"/>
  <c r="AF25" i="11"/>
  <c r="AE25" i="11"/>
  <c r="AD25" i="11"/>
  <c r="AC25" i="11"/>
  <c r="AK24" i="11"/>
  <c r="AJ24" i="11"/>
  <c r="AI24" i="11"/>
  <c r="AH24" i="11"/>
  <c r="AG24" i="11"/>
  <c r="AF24" i="11"/>
  <c r="AE24" i="11"/>
  <c r="AD24" i="11"/>
  <c r="AC24" i="11"/>
  <c r="AK23" i="11"/>
  <c r="AJ23" i="11"/>
  <c r="AI23" i="11"/>
  <c r="AH23" i="11"/>
  <c r="AG23" i="11"/>
  <c r="AF23" i="11"/>
  <c r="AE23" i="11"/>
  <c r="AD23" i="11"/>
  <c r="AC23" i="11"/>
  <c r="AK22" i="11"/>
  <c r="AJ22" i="11"/>
  <c r="AI22" i="11"/>
  <c r="AH22" i="11"/>
  <c r="AG22" i="11"/>
  <c r="AF22" i="11"/>
  <c r="AE22" i="11"/>
  <c r="AD22" i="11"/>
  <c r="AC22" i="11"/>
  <c r="AK21" i="11"/>
  <c r="AJ21" i="11"/>
  <c r="AI21" i="11"/>
  <c r="AH21" i="11"/>
  <c r="AG21" i="11"/>
  <c r="AF21" i="11"/>
  <c r="AE21" i="11"/>
  <c r="AD21" i="11"/>
  <c r="AC21" i="11"/>
  <c r="AK20" i="11"/>
  <c r="AJ20" i="11"/>
  <c r="AI20" i="11"/>
  <c r="AH20" i="11"/>
  <c r="AG20" i="11"/>
  <c r="AF20" i="11"/>
  <c r="AE20" i="11"/>
  <c r="AD20" i="11"/>
  <c r="AC20" i="11"/>
  <c r="AK19" i="11"/>
  <c r="AJ19" i="11"/>
  <c r="AI19" i="11"/>
  <c r="AH19" i="11"/>
  <c r="AG19" i="11"/>
  <c r="AF19" i="11"/>
  <c r="AE19" i="11"/>
  <c r="AD19" i="11"/>
  <c r="AC19" i="11"/>
  <c r="AK18" i="11"/>
  <c r="AJ18" i="11"/>
  <c r="AI18" i="11"/>
  <c r="AH18" i="11"/>
  <c r="AG18" i="11"/>
  <c r="AF18" i="11"/>
  <c r="AE18" i="11"/>
  <c r="AD18" i="11"/>
  <c r="AC18" i="11"/>
  <c r="AK17" i="11"/>
  <c r="AJ17" i="11"/>
  <c r="AI17" i="11"/>
  <c r="AH17" i="11"/>
  <c r="AG17" i="11"/>
  <c r="AF17" i="11"/>
  <c r="AE17" i="11"/>
  <c r="AD17" i="11"/>
  <c r="AC17" i="11"/>
  <c r="AK16" i="11"/>
  <c r="AJ16" i="11"/>
  <c r="AI16" i="11"/>
  <c r="AH16" i="11"/>
  <c r="AG16" i="11"/>
  <c r="AF16" i="11"/>
  <c r="AE16" i="11"/>
  <c r="AD16" i="11"/>
  <c r="AC16" i="11"/>
  <c r="AK15" i="11"/>
  <c r="AJ15" i="11"/>
  <c r="AI15" i="11"/>
  <c r="AH15" i="11"/>
  <c r="AG15" i="11"/>
  <c r="AF15" i="11"/>
  <c r="AE15" i="11"/>
  <c r="AD15" i="11"/>
  <c r="AC15" i="11"/>
  <c r="AK14" i="11"/>
  <c r="AJ14" i="11"/>
  <c r="AI14" i="11"/>
  <c r="AH14" i="11"/>
  <c r="AG14" i="11"/>
  <c r="AF14" i="11"/>
  <c r="AE14" i="11"/>
  <c r="AD14" i="11"/>
  <c r="AC14" i="11"/>
  <c r="AK13" i="11"/>
  <c r="AJ13" i="11"/>
  <c r="AI13" i="11"/>
  <c r="AH13" i="11"/>
  <c r="AG13" i="11"/>
  <c r="AF13" i="11"/>
  <c r="AE13" i="11"/>
  <c r="AD13" i="11"/>
  <c r="AC13" i="11"/>
  <c r="AK12" i="11"/>
  <c r="AJ12" i="11"/>
  <c r="AI12" i="11"/>
  <c r="AH12" i="11"/>
  <c r="AG12" i="11"/>
  <c r="AF12" i="11"/>
  <c r="AE12" i="11"/>
  <c r="AD12" i="11"/>
  <c r="AC12" i="11"/>
  <c r="AK11" i="11"/>
  <c r="AJ11" i="11"/>
  <c r="AI11" i="11"/>
  <c r="AH11" i="11"/>
  <c r="AG11" i="11"/>
  <c r="AF11" i="11"/>
  <c r="AE11" i="11"/>
  <c r="AD11" i="11"/>
  <c r="AC11" i="11"/>
  <c r="AK10" i="11"/>
  <c r="AJ10" i="11"/>
  <c r="AI10" i="11"/>
  <c r="AH10" i="11"/>
  <c r="AG10" i="11"/>
  <c r="AF10" i="11"/>
  <c r="AE10" i="11"/>
  <c r="AD10" i="11"/>
  <c r="AC10" i="11"/>
  <c r="AK9" i="11"/>
  <c r="AJ9" i="11"/>
  <c r="AI9" i="11"/>
  <c r="AH9" i="11"/>
  <c r="AG9" i="11"/>
  <c r="AF9" i="11"/>
  <c r="AE9" i="11"/>
  <c r="AD9" i="11"/>
  <c r="AC9" i="11"/>
  <c r="AK8" i="11"/>
  <c r="AJ8" i="11"/>
  <c r="AI8" i="11"/>
  <c r="AH8" i="11"/>
  <c r="AG8" i="11"/>
  <c r="AF8" i="11"/>
  <c r="AE8" i="11"/>
  <c r="AD8" i="11"/>
  <c r="AC8" i="11"/>
  <c r="AK7" i="11"/>
  <c r="AJ7" i="11"/>
  <c r="AI7" i="11"/>
  <c r="AH7" i="11"/>
  <c r="AG7" i="11"/>
  <c r="AF7" i="11"/>
  <c r="AE7" i="11"/>
  <c r="AD7" i="11"/>
  <c r="AC7" i="11"/>
  <c r="AK6" i="11"/>
  <c r="AJ6" i="11"/>
  <c r="AI6" i="11"/>
  <c r="AH6" i="11"/>
  <c r="AG6" i="11"/>
  <c r="AF6" i="11"/>
  <c r="AE6" i="11"/>
  <c r="AD6" i="11"/>
  <c r="AC6" i="11"/>
  <c r="AK5" i="11"/>
  <c r="AJ5" i="11"/>
  <c r="AI5" i="11"/>
  <c r="AH5" i="11"/>
  <c r="AG5" i="11"/>
  <c r="AF5" i="11"/>
  <c r="AE5" i="11"/>
  <c r="AD5" i="11"/>
  <c r="AC5" i="11"/>
  <c r="AK4" i="11"/>
  <c r="AJ4" i="11"/>
  <c r="AI4" i="11"/>
  <c r="AH4" i="11"/>
  <c r="AG4" i="11"/>
  <c r="AF4" i="11"/>
  <c r="AE4" i="11"/>
  <c r="AD4" i="11"/>
  <c r="AC4" i="11"/>
  <c r="AK3" i="11"/>
  <c r="AJ3" i="11"/>
  <c r="AI3" i="11"/>
  <c r="AH3" i="11"/>
  <c r="AG3" i="11"/>
  <c r="AF3" i="11"/>
  <c r="AE3" i="11"/>
  <c r="AD3" i="11"/>
  <c r="AC3" i="11"/>
  <c r="AK2" i="11"/>
  <c r="AJ2" i="11"/>
  <c r="AI2" i="11"/>
  <c r="AH2" i="11"/>
  <c r="AG2" i="11"/>
  <c r="AF2" i="11"/>
  <c r="AE2" i="11"/>
  <c r="AD2" i="11"/>
  <c r="AC2" i="11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</calcChain>
</file>

<file path=xl/sharedStrings.xml><?xml version="1.0" encoding="utf-8"?>
<sst xmlns="http://schemas.openxmlformats.org/spreadsheetml/2006/main" count="575" uniqueCount="431">
  <si>
    <t>16-18 år</t>
  </si>
  <si>
    <t>19-24 år</t>
  </si>
  <si>
    <t>År</t>
  </si>
  <si>
    <t>Prognosår</t>
  </si>
  <si>
    <t>25-29 år</t>
  </si>
  <si>
    <t>30-34 år</t>
  </si>
  <si>
    <t>35-39 år</t>
  </si>
  <si>
    <t>40-44 år</t>
  </si>
  <si>
    <t>45-49 år</t>
  </si>
  <si>
    <t>Inflyttning</t>
  </si>
  <si>
    <t>Utflyttning</t>
  </si>
  <si>
    <t>Riktning</t>
  </si>
  <si>
    <t>Distansarbete</t>
  </si>
  <si>
    <t>Typ</t>
  </si>
  <si>
    <t>Ja</t>
  </si>
  <si>
    <t>Nej</t>
  </si>
  <si>
    <t>Matchning_transportmedel</t>
  </si>
  <si>
    <t>Matchning_datateknik</t>
  </si>
  <si>
    <t>Referenspersons_ålder</t>
  </si>
  <si>
    <t>Hushållsstorlek</t>
  </si>
  <si>
    <t>Eftersläpning första barnet</t>
  </si>
  <si>
    <t>0 år</t>
  </si>
  <si>
    <t>1 år</t>
  </si>
  <si>
    <t>2 år</t>
  </si>
  <si>
    <t>3 år</t>
  </si>
  <si>
    <t>4 år</t>
  </si>
  <si>
    <t>5 år</t>
  </si>
  <si>
    <t>6 år</t>
  </si>
  <si>
    <t>7 år</t>
  </si>
  <si>
    <t>8 år</t>
  </si>
  <si>
    <t>9 år</t>
  </si>
  <si>
    <t>10 år</t>
  </si>
  <si>
    <t>11 år</t>
  </si>
  <si>
    <t>12 år</t>
  </si>
  <si>
    <t>13 år</t>
  </si>
  <si>
    <t>14 år</t>
  </si>
  <si>
    <t>15 år</t>
  </si>
  <si>
    <t>16 år</t>
  </si>
  <si>
    <t>17 år</t>
  </si>
  <si>
    <t>18 år</t>
  </si>
  <si>
    <t>19 år</t>
  </si>
  <si>
    <t>20 år</t>
  </si>
  <si>
    <t>21 år</t>
  </si>
  <si>
    <t>22 år</t>
  </si>
  <si>
    <t>23 år</t>
  </si>
  <si>
    <t>24 år</t>
  </si>
  <si>
    <t>25 år</t>
  </si>
  <si>
    <t>26 år</t>
  </si>
  <si>
    <t>27 år</t>
  </si>
  <si>
    <t>28 år</t>
  </si>
  <si>
    <t>29 år</t>
  </si>
  <si>
    <t>30 år</t>
  </si>
  <si>
    <t>31 år</t>
  </si>
  <si>
    <t>32 år</t>
  </si>
  <si>
    <t>33 år</t>
  </si>
  <si>
    <t>34 år</t>
  </si>
  <si>
    <t>35 år</t>
  </si>
  <si>
    <t>36 år</t>
  </si>
  <si>
    <t>37 år</t>
  </si>
  <si>
    <t>38 år</t>
  </si>
  <si>
    <t>39 år</t>
  </si>
  <si>
    <t>40 år</t>
  </si>
  <si>
    <t>41 år</t>
  </si>
  <si>
    <t>42 år</t>
  </si>
  <si>
    <t>43 år</t>
  </si>
  <si>
    <t>44 år</t>
  </si>
  <si>
    <t>45 år</t>
  </si>
  <si>
    <t>46 år</t>
  </si>
  <si>
    <t>47 år</t>
  </si>
  <si>
    <t>48 år</t>
  </si>
  <si>
    <t>49 år</t>
  </si>
  <si>
    <t>50 år</t>
  </si>
  <si>
    <t>51 år</t>
  </si>
  <si>
    <t>52 år</t>
  </si>
  <si>
    <t>53 år</t>
  </si>
  <si>
    <t>54 år</t>
  </si>
  <si>
    <t>55 år</t>
  </si>
  <si>
    <t>56 år</t>
  </si>
  <si>
    <t>57 år</t>
  </si>
  <si>
    <t>58 år</t>
  </si>
  <si>
    <t>59 år</t>
  </si>
  <si>
    <t>60 år</t>
  </si>
  <si>
    <t>61 år</t>
  </si>
  <si>
    <t>62 år</t>
  </si>
  <si>
    <t>63 år</t>
  </si>
  <si>
    <t>64 år</t>
  </si>
  <si>
    <t>65 år</t>
  </si>
  <si>
    <t>66 år</t>
  </si>
  <si>
    <t>67 år</t>
  </si>
  <si>
    <t>68 år</t>
  </si>
  <si>
    <t>69 år</t>
  </si>
  <si>
    <t>70 år</t>
  </si>
  <si>
    <t>71 år</t>
  </si>
  <si>
    <t>72 år</t>
  </si>
  <si>
    <t>73 år</t>
  </si>
  <si>
    <t>74 år</t>
  </si>
  <si>
    <t>75 år</t>
  </si>
  <si>
    <t>76 år</t>
  </si>
  <si>
    <t>77 år</t>
  </si>
  <si>
    <t>78 år</t>
  </si>
  <si>
    <t>79 år</t>
  </si>
  <si>
    <t>80 år</t>
  </si>
  <si>
    <t>81 år</t>
  </si>
  <si>
    <t>82 år</t>
  </si>
  <si>
    <t>83 år</t>
  </si>
  <si>
    <t>84 år</t>
  </si>
  <si>
    <t>85 år</t>
  </si>
  <si>
    <t>86 år</t>
  </si>
  <si>
    <t>87 år</t>
  </si>
  <si>
    <t>88 år</t>
  </si>
  <si>
    <t>89 år</t>
  </si>
  <si>
    <t>90 år</t>
  </si>
  <si>
    <t>91 år</t>
  </si>
  <si>
    <t>92 år</t>
  </si>
  <si>
    <t>93 år</t>
  </si>
  <si>
    <t>94 år</t>
  </si>
  <si>
    <t>95 år</t>
  </si>
  <si>
    <t>96 år</t>
  </si>
  <si>
    <t>97 år</t>
  </si>
  <si>
    <t>98 år</t>
  </si>
  <si>
    <t>99 år</t>
  </si>
  <si>
    <t>Andel_Förvärvsarbetande_Män_In_2019</t>
  </si>
  <si>
    <t>Andel_Förvärvsarbetande_Kvinnor_In_2019</t>
  </si>
  <si>
    <t>Andel_Förvärvsarbetande_Totalt_In_2019</t>
  </si>
  <si>
    <t>Andel_Studerande_Män_In_2019</t>
  </si>
  <si>
    <t>Andel_Studerande_Kvinnor_In_2019</t>
  </si>
  <si>
    <t>Andel_Övriga_Män_In_2019</t>
  </si>
  <si>
    <t>Andel_Övriga_Kvinnor_In_2019</t>
  </si>
  <si>
    <t>Andel_Övriga_Totalt_In_2019</t>
  </si>
  <si>
    <t>Andel_Studerande_Totalt_In_2019</t>
  </si>
  <si>
    <t>Andel_Förvärvsarbetande_Män_In_2024</t>
  </si>
  <si>
    <t>Andel_Förvärvsarbetande_Kvinnor_In_2024</t>
  </si>
  <si>
    <t>Andel_Förvärvsarbetande_Totalt_In_2024</t>
  </si>
  <si>
    <t>Andel_Studerande_Män_In_2024</t>
  </si>
  <si>
    <t>Andel_Studerande_Kvinnor_In_2024</t>
  </si>
  <si>
    <t>Andel_Studerande_Totalt_In_2024</t>
  </si>
  <si>
    <t>Andel_Övriga_Män_In_2024</t>
  </si>
  <si>
    <t>Andel_Övriga_Kvinnor_In_2024</t>
  </si>
  <si>
    <t>Andel_Övriga_Totalt_In_2024</t>
  </si>
  <si>
    <t>Ålder</t>
  </si>
  <si>
    <t>Andel_Förvärvsarbetande_Män_In_Snitt_19_24</t>
  </si>
  <si>
    <t>Andel_Förvärvsarbetande_Kvinnor_In_Snitt_19_24</t>
  </si>
  <si>
    <t>Andel_Förvärvsarbetande_Totalt_In_Snitt_19_24</t>
  </si>
  <si>
    <t>Andel_Studerande_Män_In_Snitt_19_24</t>
  </si>
  <si>
    <t>Andel_Studerande_Kvinnor_In_Snitt_19_24</t>
  </si>
  <si>
    <t>Andel_Studerande_Totalt_In_Snitt_19_24</t>
  </si>
  <si>
    <t>Andel_Övriga_Män_In_Snitt_19_24</t>
  </si>
  <si>
    <t>Andel_Övriga_Kvinnor_In_Snitt_19_24</t>
  </si>
  <si>
    <t>Andel_Övriga_Totalt_In_Snitt_19_24</t>
  </si>
  <si>
    <t>100+ år</t>
  </si>
  <si>
    <t>Totalt</t>
  </si>
  <si>
    <t>20-24 år</t>
  </si>
  <si>
    <t>Antal_hushåll</t>
  </si>
  <si>
    <t>Antal_boende</t>
  </si>
  <si>
    <t>Kvar_totalt_2_år</t>
  </si>
  <si>
    <t>Kvar_ingenjörer_2_år</t>
  </si>
  <si>
    <t>Kvar_ekonomer_2_år</t>
  </si>
  <si>
    <t>Kvar_tekniker_2_år</t>
  </si>
  <si>
    <t>Kvar_övriga_2_år</t>
  </si>
  <si>
    <t>Kommun</t>
  </si>
  <si>
    <t>Boxholm</t>
  </si>
  <si>
    <t>Inpendling_2024</t>
  </si>
  <si>
    <t>Utpendling_2024</t>
  </si>
  <si>
    <t>Kinda</t>
  </si>
  <si>
    <t>Motala</t>
  </si>
  <si>
    <t>Mjölby</t>
  </si>
  <si>
    <t>Norrköping</t>
  </si>
  <si>
    <t>Söderköping</t>
  </si>
  <si>
    <t>Finspång</t>
  </si>
  <si>
    <t>Valdemarsvik</t>
  </si>
  <si>
    <t>Vadstena</t>
  </si>
  <si>
    <t>Åtvidaberg</t>
  </si>
  <si>
    <t>Ödeshög</t>
  </si>
  <si>
    <t>Ydre</t>
  </si>
  <si>
    <t>Eksjö</t>
  </si>
  <si>
    <t>Jönköping</t>
  </si>
  <si>
    <t>Tranås</t>
  </si>
  <si>
    <t>Hultsfred</t>
  </si>
  <si>
    <t>Vimmerby</t>
  </si>
  <si>
    <t>Västervik</t>
  </si>
  <si>
    <t>Askersund</t>
  </si>
  <si>
    <t>Hallsberg</t>
  </si>
  <si>
    <t>Katrineholm</t>
  </si>
  <si>
    <t>Nyköping</t>
  </si>
  <si>
    <t>Andel_bil</t>
  </si>
  <si>
    <t>Andel_kollektivt</t>
  </si>
  <si>
    <t>Snitt_Andel</t>
  </si>
  <si>
    <t>Örebro</t>
  </si>
  <si>
    <t>Stockholm</t>
  </si>
  <si>
    <t>Södertälje</t>
  </si>
  <si>
    <t>Trosa</t>
  </si>
  <si>
    <t>Göteborg</t>
  </si>
  <si>
    <t>Malmö</t>
  </si>
  <si>
    <t>Lund</t>
  </si>
  <si>
    <t>Uppsala</t>
  </si>
  <si>
    <t>Västerås</t>
  </si>
  <si>
    <t>Karlstad</t>
  </si>
  <si>
    <t>Borås</t>
  </si>
  <si>
    <t>Helsingborg</t>
  </si>
  <si>
    <t>Kalmar</t>
  </si>
  <si>
    <t>Växjö</t>
  </si>
  <si>
    <t>Avstånd_km</t>
  </si>
  <si>
    <t>Bil_km</t>
  </si>
  <si>
    <t>Bil_Tid</t>
  </si>
  <si>
    <t>Kollektivt_tid</t>
  </si>
  <si>
    <t>39 km</t>
  </si>
  <si>
    <t>43 km</t>
  </si>
  <si>
    <t>35 min</t>
  </si>
  <si>
    <t>25 min (Tåg: Östgötapendeln/SJ)</t>
  </si>
  <si>
    <t>31 km</t>
  </si>
  <si>
    <t>34 km</t>
  </si>
  <si>
    <t>25 min</t>
  </si>
  <si>
    <t>20 min (Tåg: Östgötapendeln)</t>
  </si>
  <si>
    <t>38 km</t>
  </si>
  <si>
    <t>46 km</t>
  </si>
  <si>
    <t>40 min</t>
  </si>
  <si>
    <t>40 min (Tåg: Östgötapendeln)</t>
  </si>
  <si>
    <t>33 km</t>
  </si>
  <si>
    <t>45 min (Buss/Tåg: Kustpilen)</t>
  </si>
  <si>
    <t>45 km</t>
  </si>
  <si>
    <t>50 km</t>
  </si>
  <si>
    <t>35 min (Tåg: Östgötapendeln)</t>
  </si>
  <si>
    <t>45 min</t>
  </si>
  <si>
    <t>55 min (Buss express)</t>
  </si>
  <si>
    <t>54 km</t>
  </si>
  <si>
    <t>60 min (Buss, ofta byte i Nkpg)</t>
  </si>
  <si>
    <t>51 km</t>
  </si>
  <si>
    <t>55 min (Tåg till Mjölby/Motala + Buss)</t>
  </si>
  <si>
    <t>56 km</t>
  </si>
  <si>
    <t>50 min (Buss/Tåg: Kustpilen)</t>
  </si>
  <si>
    <t>62 km</t>
  </si>
  <si>
    <t>67 km</t>
  </si>
  <si>
    <t>60 min (Buss express)</t>
  </si>
  <si>
    <t>78 km</t>
  </si>
  <si>
    <t>1 h 10 min</t>
  </si>
  <si>
    <t>1 h 30 min (Tåg till Tranås + Buss)</t>
  </si>
  <si>
    <t>91 km</t>
  </si>
  <si>
    <t>1 h 15 min</t>
  </si>
  <si>
    <t>1 h 45 min (Buss, ofta byte i Nkpg/Söderköping)</t>
  </si>
  <si>
    <t>57 km</t>
  </si>
  <si>
    <t>55 min</t>
  </si>
  <si>
    <t>45 min (Tåg: Östgötapendeln)</t>
  </si>
  <si>
    <t>75 km</t>
  </si>
  <si>
    <t>95 km</t>
  </si>
  <si>
    <t>55 min (Tåg: Mälartåg/SJ)</t>
  </si>
  <si>
    <t>71 km</t>
  </si>
  <si>
    <t>84 km</t>
  </si>
  <si>
    <t>1 h 20 min (Tåg: Kustpilen/Krösatågen)</t>
  </si>
  <si>
    <t>86 km</t>
  </si>
  <si>
    <t>102 km</t>
  </si>
  <si>
    <t>1 h 20 min</t>
  </si>
  <si>
    <t>1 h 30 min (Buss express)</t>
  </si>
  <si>
    <t>92 km</t>
  </si>
  <si>
    <t>104 km</t>
  </si>
  <si>
    <t>1 h 5 min (Tåg: SJ)</t>
  </si>
  <si>
    <t>100 km</t>
  </si>
  <si>
    <t>120 km</t>
  </si>
  <si>
    <t>1 h 30 min</t>
  </si>
  <si>
    <t>2 h 10 min (Tåg/Buss)</t>
  </si>
  <si>
    <t>113 km</t>
  </si>
  <si>
    <t>131 km</t>
  </si>
  <si>
    <t>1 h 25 min</t>
  </si>
  <si>
    <t>1 h 30 min (Tåg/Buss)</t>
  </si>
  <si>
    <t>Eskilstuna</t>
  </si>
  <si>
    <t>110 km</t>
  </si>
  <si>
    <t>145 km</t>
  </si>
  <si>
    <t>1 h 50 min</t>
  </si>
  <si>
    <t>1 h 45 min (Tåg)</t>
  </si>
  <si>
    <t>165 km</t>
  </si>
  <si>
    <t>215 km</t>
  </si>
  <si>
    <t>2 h 40 min</t>
  </si>
  <si>
    <t>175 km</t>
  </si>
  <si>
    <t>200 km</t>
  </si>
  <si>
    <t>2 h 15 min</t>
  </si>
  <si>
    <t>180 km</t>
  </si>
  <si>
    <t>235 km</t>
  </si>
  <si>
    <t>3 h 00 min</t>
  </si>
  <si>
    <t>2 h 45 min (Tåg: Krösatåg)</t>
  </si>
  <si>
    <t>230 km</t>
  </si>
  <si>
    <t>275 km</t>
  </si>
  <si>
    <t>3 h 20 min (Tåg: SJ/MTRX)</t>
  </si>
  <si>
    <t>340 km</t>
  </si>
  <si>
    <t>415 km</t>
  </si>
  <si>
    <t>4 h 30 min</t>
  </si>
  <si>
    <t>65 km</t>
  </si>
  <si>
    <t>80 km</t>
  </si>
  <si>
    <t>1 h 5 min</t>
  </si>
  <si>
    <t>1 h 30 min (Tåg till Motala/Hallsberg + Buss)</t>
  </si>
  <si>
    <t>1 h 45 min (Tåg + Buss / Buss via Aneby)</t>
  </si>
  <si>
    <t>85 km</t>
  </si>
  <si>
    <t>105 km</t>
  </si>
  <si>
    <t>1 h 25 min (Tåg: Kustpilen/Krösatågen)</t>
  </si>
  <si>
    <t>210 km</t>
  </si>
  <si>
    <t>2 h 20 min</t>
  </si>
  <si>
    <t>270 km</t>
  </si>
  <si>
    <t>Bas</t>
  </si>
  <si>
    <t>Hög</t>
  </si>
  <si>
    <t>Låg</t>
  </si>
  <si>
    <t>Stagnerande</t>
  </si>
  <si>
    <t>Jobbtillväxt</t>
  </si>
  <si>
    <t>Sysselsättningsgrad</t>
  </si>
  <si>
    <t>0.5</t>
  </si>
  <si>
    <t>Kvarstannandegrad</t>
  </si>
  <si>
    <t>Regionförstoring</t>
  </si>
  <si>
    <t>Indikator</t>
  </si>
  <si>
    <t>Stöd_manuell</t>
  </si>
  <si>
    <t>(+) Stark konjunktur, nyetableringar eller expansion i offentlig sektor. (0) Oförändrat antal jobb totalt, enbart ersättningsrekrytering. (-) Lågkonjunktur, rationaliseringar, nedskärningar eller företagsflytt från orten.</t>
  </si>
  <si>
    <t>(+) Bättre integration, höjd pensionsålder eller färre sjuka gör att en större del av den befintliga befolkningen jobbar. (0) Dagens beteenden kvarstår. (-) Fler studerar längre, högre sjukskrivningstal eller ökad arbetslöshet.</t>
  </si>
  <si>
    <t>(+) Riktade insatser fungerar, bostäder för unga byggs och tech-sektorn sväljer fler nyexade (+%-enheter läggs till snittet). (0) Motsvarar dagens historiska förmåga. (-) Kompetensflykt till storstäder/utland eller brist på juniora tjänster lokalt.</t>
  </si>
  <si>
    <t>(+) Zoom-effekten: Fler yrkesgrupper kan bo längre bort men "arbeta" i Linköping 3-4 dagar i veckan hemifrån (Ökar arbetskraftspoolen). (0) Normalläge / Hybrid dämpas. (-) Krav på 100% kontorsnärvaro ökar, vilket kapar utbudet av långpendlare.</t>
  </si>
  <si>
    <t>(+) Investeringar i infrastruktur (ex. Ostlänken, ny motorväg) gör att fler grannkommuner hamnar inom 45-60 minuters restid = markant ökat virtuellt arbetskraftsutbud. (0) Dagens restider och vägnät. (-) Extrema trängselproblem, inställda tåglinjer.</t>
  </si>
  <si>
    <t>1 h 30 min (Tåg via Motala)</t>
  </si>
  <si>
    <t>125 km</t>
  </si>
  <si>
    <t>1 h 40 min</t>
  </si>
  <si>
    <t>1 h 45 min (Tåg till Vagnhärad + Buss)</t>
  </si>
  <si>
    <t>1 h 40 min (Tåg: SJ Snabbtåg)</t>
  </si>
  <si>
    <t>170 km</t>
  </si>
  <si>
    <t>1 h 20 min (Tåg: SJ Snabbtåg/Regionaltåg)</t>
  </si>
  <si>
    <t>2 h 45 min (Tåg: SJ Snabbtåg)</t>
  </si>
  <si>
    <t>325 km</t>
  </si>
  <si>
    <t>400 km</t>
  </si>
  <si>
    <t>4 h 15 min</t>
  </si>
  <si>
    <t>2 h 30 min (Tåg: SJ Snabbtåg/Snälltåget)</t>
  </si>
  <si>
    <t>295 km</t>
  </si>
  <si>
    <t>350 km</t>
  </si>
  <si>
    <t>3 h 50 min</t>
  </si>
  <si>
    <t>3 h 10 min (Tåg via Lund/Nässjö)</t>
  </si>
  <si>
    <t>2 h 20 min (Tåg: SJ/Mälartåg via Stockholm)</t>
  </si>
  <si>
    <t>2 h 00 min (Tåg: SJ/Mälartåg)</t>
  </si>
  <si>
    <t>3 h 30 min (Tåg)</t>
  </si>
  <si>
    <t>3 h 00 min (Buss/Tåg)</t>
  </si>
  <si>
    <t>2 h 20 min (Tåg: Krösatåg/SJ)</t>
  </si>
  <si>
    <t>Nässjö</t>
  </si>
  <si>
    <t>1 h 15 min (Tåg: SJ/Snälltåget/Krösatåg)</t>
  </si>
  <si>
    <t>Jordbruk, skogsbruk och fiske</t>
  </si>
  <si>
    <t>Tillverkning och utvinning</t>
  </si>
  <si>
    <t>Energi och miljö</t>
  </si>
  <si>
    <t>Byggverksamhet</t>
  </si>
  <si>
    <t>Handel</t>
  </si>
  <si>
    <t>Transport</t>
  </si>
  <si>
    <t>Hotell och restauranger</t>
  </si>
  <si>
    <t>Information och kommunikation</t>
  </si>
  <si>
    <t>Kreditinstitut och försäkringsbolag</t>
  </si>
  <si>
    <t>Fastighetsverksamhet</t>
  </si>
  <si>
    <t>Företagstjänster</t>
  </si>
  <si>
    <t>Offentlig förvaltning</t>
  </si>
  <si>
    <t>Utbildning</t>
  </si>
  <si>
    <t>Vård och omsorg</t>
  </si>
  <si>
    <t>Personliga och kulturella tjänster</t>
  </si>
  <si>
    <t>Okänd bransch</t>
  </si>
  <si>
    <t>SNIbokstav</t>
  </si>
  <si>
    <t>Grupperad_indelning</t>
  </si>
  <si>
    <t>Tiilväxttyp</t>
  </si>
  <si>
    <t>KIBS_nära</t>
  </si>
  <si>
    <t>Jordbruk</t>
  </si>
  <si>
    <t>Tillverkning</t>
  </si>
  <si>
    <t>Privata tjänster</t>
  </si>
  <si>
    <t>Privat tjänstekonsumtion</t>
  </si>
  <si>
    <t>Näringslivets tjänstekonsumtion</t>
  </si>
  <si>
    <t>Okänt</t>
  </si>
  <si>
    <t>Areella näringar</t>
  </si>
  <si>
    <t>Mogen</t>
  </si>
  <si>
    <t>Tillväxt</t>
  </si>
  <si>
    <t>KIBS</t>
  </si>
  <si>
    <t>Tjänster</t>
  </si>
  <si>
    <t>Offentliga_branscher</t>
  </si>
  <si>
    <t>Antal_Män_In_2024</t>
  </si>
  <si>
    <t>Antal_Kvinnor_In_2024</t>
  </si>
  <si>
    <t>Antal_Totalt_In_2024</t>
  </si>
  <si>
    <t>Antal_Män_In_Snitt_19_24</t>
  </si>
  <si>
    <t>Antal_Kvinnor_In_Snitt_19_24</t>
  </si>
  <si>
    <t>Antal_Totalt_In_Snitt_19_24</t>
  </si>
  <si>
    <t>Antal_Män_In_2019</t>
  </si>
  <si>
    <t>Antal_Kvinnor_In_2019</t>
  </si>
  <si>
    <t>Antal_Totalt_In_2019</t>
  </si>
  <si>
    <t>Anpassad_indelning</t>
  </si>
  <si>
    <t>Växande_Bransch</t>
  </si>
  <si>
    <t>Drabbad_Bransch</t>
  </si>
  <si>
    <t>Överföringsfaktor</t>
  </si>
  <si>
    <t>Händelsenamn</t>
  </si>
  <si>
    <t>Bransch</t>
  </si>
  <si>
    <t>Antal_Jobb</t>
  </si>
  <si>
    <t>Istället för att bara justera den allmänna konjunkturen i procent, skulle vi kunna ha en flik i Excel där ni skriver in specifika, fiktiva (eller verkliga) företagssatsningar. Exempel: År: 2028, Bransch: SNI 26 (Elektroniktillverkning), Antal jobb: +800, Typ: Nyetablering. Kalkylatorn kan då ha en knapp för "Aktivera scenario: Storföretag X etablerar sig". Den räknar då omedelbart ut exakt vilka utbildningsnivåer dessa 800 jobb kräver och hur stor undanträngningseffekten blir på övriga branscher.</t>
  </si>
  <si>
    <t>Vi skulle kunna bygga en matris i Excel-styrfilen där man definierar kompetensöverlappning. Exempel: Om IT-sektorn ("Framtidsbranschen") växer med 500 jobb, hämtas kanske inte alla dessa från inpendling eller nyexade studenter. Matrisen skulle kunna definiera att "För varje 10 nya IT-jobb, försvinner 2 personer från den lokala industrin och 1 person från offentlig förvaltning". På så sätt krymper utbudet i en bransch när efterfrågan ökar i en annan.</t>
  </si>
  <si>
    <t>När sysselsättningsgraden når ett visst tak (t.ex. att arbetslösheten närmar sig friktionsnivån på 3-4 %), måste företagen konkurrera stenhårt om den befintliga personalen. Vi skulle kunna bygga in en logik som säger att när detta tak nås, börjar tillväxten i de mer lågmarginal-drivna branscherna automatiskt att stagnera eller backa, eftersom de inte kan matcha löneökningarna från "framtidsbranscherna".</t>
  </si>
  <si>
    <t>Här listar du spekulativa (eller kända framtida) storföretagsetableringar eller nedläggningar. Kalkylatorn kommer låta användaren "slå på" dessa som valbara scenarier. Kolumn A: År (t.ex. 2028); Kolumn B: Händelsenamn (t.ex. "Ny Tech-hubb Mjärdevi" eller "Nedläggning Fabrik X"); Kolumn C: Bransch (Måste matcha namnen i din basdata, t.ex. "Informations- och kommunikationsverksamhet"), Kolumn D: Antal_Jobb (t.ex. 800 eller -300)</t>
  </si>
  <si>
    <t>Här skapar du matrisen för kannibalisering. Om en bransch växer explosionsartat, från vilka andra branscher "stjäl" de personal lokalt?; Kolumn A: Växande_Bransch (t.ex. "IT och Telekom"); Kolumn B: Drabbad_Bransch (t.ex. "Tillverkning"); Kolumn C: Överföringsfaktor (t.ex. 0.15. Betyder: För varje 100 nya jobb i IT, försvinner 15 från Tillverkning för att de byter jobb).</t>
  </si>
  <si>
    <t>Parameter</t>
  </si>
  <si>
    <t>Värde</t>
  </si>
  <si>
    <t>Beskrivning</t>
  </si>
  <si>
    <t>Här definierar du gränserna för när arbetsmarknaden överhettas. Om arbetslösheten sjunker under "friktionsnivån" triggas undanträngningseffekterna igång i kalkylatorn.; Kolumn A: Parameter (t.ex. "Lägsta_Friktionsarbetslöshet", "Max_Integration_Utrikes_Födda"); Kolumn B: Värde (t.ex. 3.5, vilket betyder att marknaden totalstannar om arbetslösheten pressas under 3,5%); Kolumn C: Beskrivning (Din egen kommentar för vad taket betyder)</t>
  </si>
  <si>
    <t>Lägsta friktionsarbetslöshet</t>
  </si>
  <si>
    <t>Max_Integration_Utrikes_Födda</t>
  </si>
  <si>
    <t>3.5</t>
  </si>
  <si>
    <t>0.08</t>
  </si>
  <si>
    <t>0.06</t>
  </si>
  <si>
    <t>0.05</t>
  </si>
  <si>
    <t>Procentnivå. Den lägsta nivå arbetslösheten teoretiskt kan nå innan marknaden stannar.</t>
  </si>
  <si>
    <t>Procentnivå. Den lägsta nivå arbetslösheten teoretiskt kan nå för utrikes födda innan marknaden stannar.</t>
  </si>
  <si>
    <t>8.5</t>
  </si>
  <si>
    <t>Max_Sysselsättningsgrad</t>
  </si>
  <si>
    <t>Kärna_Långtidsarbetslösa</t>
  </si>
  <si>
    <t>Procent av totala arbetskraften som är &gt;12 mån arbetslösa och extremt svåra att matcha.</t>
  </si>
  <si>
    <t>3.0</t>
  </si>
  <si>
    <t>Justering inflyttares syss.grad</t>
  </si>
  <si>
    <t>T.ex. 10, 15, 5. Detta är alltså procentenheterna som läggs på SCB:s historiska snitt)</t>
  </si>
  <si>
    <t>Inpendling</t>
  </si>
  <si>
    <t>Utpendling</t>
  </si>
  <si>
    <t>Max_Inpendlingsandel:</t>
  </si>
  <si>
    <t>Max_Sysselsättningsgrad_Äldre</t>
  </si>
  <si>
    <t>Kapacitetstak_Infrastruktur</t>
  </si>
  <si>
    <t>Student_Absorptions_Tak</t>
  </si>
  <si>
    <t>(t.ex. 40 %). Hur sårbar är Linköping om en för stor del av de som jobbar i kommunen bor någon annanstans? Slår vi i det taket tvingar vi fram krav på bostadsbyggande istället.</t>
  </si>
  <si>
    <t>(t.ex. för gruppen 65-74 år). Ett stort potentiellt utbud finns hos de äldre. Vi skulle kunna låta kalkylatorn bryta ut dem som en egen reserv och varna när "senior-reserven" är uttömd.</t>
  </si>
  <si>
    <t>(Anges i antal pers, t.ex. 45000). Om den totala dagliga pendlingen överstiger detta värde kan kalkylatorn varna för att vägnät/tågkapacitet överbelastas (kräver stora infrastruktursatsningar).</t>
  </si>
  <si>
    <t>25.0</t>
  </si>
  <si>
    <t>Även om vi vill att alla studenter stannar i Linköping, hur stor andel av LiU:s alumner kan den lokala arbetsmarknaden rent fysiskt absorbera utan att tränga undan andra grupper? (Dessa parametrar gör att kalkylatorn i framtiden inte bara varnar för brist på folk, utan även för infrastrukturell och strukturell överhettning.)</t>
  </si>
  <si>
    <t>Distorp</t>
  </si>
  <si>
    <t>Saabs expansion</t>
  </si>
  <si>
    <t>Saabs fortsatta expansion</t>
  </si>
  <si>
    <t>Spillover effekt</t>
  </si>
  <si>
    <t>0.04</t>
  </si>
  <si>
    <t>Andel_Män</t>
  </si>
  <si>
    <t>80.0</t>
  </si>
  <si>
    <t>Procent. Det absoluta taket för hur många i åldern 20-64 år som kan förvärvsarbeta.</t>
  </si>
  <si>
    <t>Examinerade_Civilingenjörer</t>
  </si>
  <si>
    <t>Examinerade_Studenter</t>
  </si>
  <si>
    <t>Examinerade_Civilekonomer</t>
  </si>
  <si>
    <t>Examinerade_Datatekniker</t>
  </si>
  <si>
    <t>Examinerade_Övriga</t>
  </si>
  <si>
    <t>Just nu används endast kolumnerna Examinerade_studenter och Examinerade_Civilingenjörer i denna flik och då som under för att beräkna kvarstannandegrad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</si>
</sst>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3" fontId="0" fillId="0" borderId="0" xfId="0" applyNumberFormat="1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quotePrefix="1"/>
    <xf numFmtId="0" fontId="2" fillId="0" borderId="0" xfId="0" applyFont="1" applyAlignment="1">
      <alignment horizontal="left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DAB14-BFE4-40B5-A29E-75F8A864FD1B}">
  <sheetPr>
    <tabColor rgb="FFFFC000"/>
  </sheetPr>
  <dimension ref="A1:F9"/>
  <sheetViews>
    <sheetView workbookViewId="0">
      <selection activeCell="C2" sqref="C2"/>
    </sheetView>
  </sheetViews>
  <sheetFormatPr defaultRowHeight="15" x14ac:dyDescent="0.25"/>
  <cols>
    <col min="1" max="1" width="18.28515625" customWidth="1"/>
    <col min="5" max="5" width="13.28515625" customWidth="1"/>
    <col min="6" max="6" width="90.28515625" customWidth="1"/>
  </cols>
  <sheetData>
    <row r="1" spans="1:6" s="7" customFormat="1" x14ac:dyDescent="0.25">
      <c r="A1" s="7" t="s">
        <v>304</v>
      </c>
      <c r="B1" s="8" t="s">
        <v>295</v>
      </c>
      <c r="C1" s="8" t="s">
        <v>296</v>
      </c>
      <c r="D1" s="8" t="s">
        <v>297</v>
      </c>
      <c r="E1" s="8" t="s">
        <v>298</v>
      </c>
      <c r="F1" s="9" t="s">
        <v>305</v>
      </c>
    </row>
    <row r="2" spans="1:6" x14ac:dyDescent="0.25">
      <c r="A2" t="s">
        <v>299</v>
      </c>
      <c r="B2">
        <v>5</v>
      </c>
      <c r="C2">
        <v>15</v>
      </c>
      <c r="D2">
        <v>-5</v>
      </c>
      <c r="E2">
        <v>0</v>
      </c>
      <c r="F2" t="s">
        <v>306</v>
      </c>
    </row>
    <row r="3" spans="1:6" x14ac:dyDescent="0.25">
      <c r="A3" t="s">
        <v>300</v>
      </c>
      <c r="B3" s="1" t="s">
        <v>301</v>
      </c>
      <c r="C3">
        <v>2</v>
      </c>
      <c r="D3">
        <v>-1</v>
      </c>
      <c r="E3">
        <v>0</v>
      </c>
      <c r="F3" t="s">
        <v>307</v>
      </c>
    </row>
    <row r="4" spans="1:6" x14ac:dyDescent="0.25">
      <c r="A4" t="s">
        <v>302</v>
      </c>
      <c r="B4">
        <v>1</v>
      </c>
      <c r="C4">
        <v>5</v>
      </c>
      <c r="D4">
        <v>-2</v>
      </c>
      <c r="E4">
        <v>0</v>
      </c>
      <c r="F4" t="s">
        <v>308</v>
      </c>
    </row>
    <row r="5" spans="1:6" x14ac:dyDescent="0.25">
      <c r="A5" t="s">
        <v>404</v>
      </c>
      <c r="B5">
        <v>10</v>
      </c>
      <c r="C5">
        <v>15</v>
      </c>
      <c r="D5">
        <v>5</v>
      </c>
      <c r="E5">
        <v>0</v>
      </c>
      <c r="F5" t="s">
        <v>405</v>
      </c>
    </row>
    <row r="6" spans="1:6" x14ac:dyDescent="0.25">
      <c r="A6" t="s">
        <v>406</v>
      </c>
      <c r="B6">
        <v>1</v>
      </c>
      <c r="C6">
        <v>5</v>
      </c>
      <c r="D6">
        <v>-5</v>
      </c>
      <c r="E6">
        <v>0</v>
      </c>
    </row>
    <row r="7" spans="1:6" x14ac:dyDescent="0.25">
      <c r="A7" t="s">
        <v>407</v>
      </c>
      <c r="B7">
        <v>1</v>
      </c>
      <c r="C7">
        <v>5</v>
      </c>
      <c r="D7">
        <v>-5</v>
      </c>
      <c r="E7">
        <v>0</v>
      </c>
    </row>
    <row r="8" spans="1:6" x14ac:dyDescent="0.25">
      <c r="A8" t="s">
        <v>12</v>
      </c>
      <c r="B8">
        <v>5</v>
      </c>
      <c r="C8">
        <v>15</v>
      </c>
      <c r="D8">
        <v>0</v>
      </c>
      <c r="E8">
        <v>0</v>
      </c>
      <c r="F8" t="s">
        <v>309</v>
      </c>
    </row>
    <row r="9" spans="1:6" x14ac:dyDescent="0.25">
      <c r="A9" t="s">
        <v>303</v>
      </c>
      <c r="B9">
        <v>5</v>
      </c>
      <c r="C9">
        <v>10</v>
      </c>
      <c r="D9">
        <v>0</v>
      </c>
      <c r="E9">
        <v>0</v>
      </c>
      <c r="F9" t="s">
        <v>310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3416E-8D7C-47CC-8D6F-E9A07D9A2D11}">
  <sheetPr>
    <tabColor rgb="FFFFC000"/>
  </sheetPr>
  <dimension ref="A1:L37"/>
  <sheetViews>
    <sheetView tabSelected="1" workbookViewId="0">
      <selection activeCell="A3" sqref="A3"/>
    </sheetView>
  </sheetViews>
  <sheetFormatPr defaultRowHeight="15" x14ac:dyDescent="0.25"/>
  <cols>
    <col min="2" max="2" width="21.5703125" bestFit="1" customWidth="1"/>
    <col min="3" max="3" width="14.28515625" bestFit="1" customWidth="1"/>
    <col min="4" max="4" width="14.140625" bestFit="1" customWidth="1"/>
    <col min="5" max="5" width="12.42578125" bestFit="1" customWidth="1"/>
    <col min="6" max="7" width="10.5703125" customWidth="1"/>
  </cols>
  <sheetData>
    <row r="1" spans="1:12" x14ac:dyDescent="0.25">
      <c r="A1" t="s">
        <v>2</v>
      </c>
      <c r="B1" s="1" t="s">
        <v>426</v>
      </c>
      <c r="C1" t="s">
        <v>425</v>
      </c>
      <c r="D1" t="s">
        <v>427</v>
      </c>
      <c r="E1" t="s">
        <v>428</v>
      </c>
      <c r="F1" t="s">
        <v>429</v>
      </c>
      <c r="G1" s="12" t="s">
        <v>154</v>
      </c>
      <c r="H1" s="12" t="s">
        <v>155</v>
      </c>
      <c r="I1" s="12" t="s">
        <v>156</v>
      </c>
      <c r="J1" s="12" t="s">
        <v>157</v>
      </c>
      <c r="K1" s="12" t="s">
        <v>158</v>
      </c>
      <c r="L1" s="11" t="s">
        <v>305</v>
      </c>
    </row>
    <row r="2" spans="1:12" x14ac:dyDescent="0.25">
      <c r="A2">
        <v>2000</v>
      </c>
      <c r="F2">
        <f>SUM(B2-C2-D2-E2)</f>
        <v>0</v>
      </c>
      <c r="G2">
        <v>34</v>
      </c>
      <c r="H2">
        <v>30</v>
      </c>
      <c r="I2">
        <v>25</v>
      </c>
      <c r="J2">
        <v>35</v>
      </c>
      <c r="K2">
        <v>20</v>
      </c>
      <c r="L2" t="s">
        <v>430</v>
      </c>
    </row>
    <row r="3" spans="1:12" x14ac:dyDescent="0.25">
      <c r="A3">
        <v>2001</v>
      </c>
      <c r="F3">
        <f t="shared" ref="F3:F37" si="0">SUM(B3-C3-D3-E3)</f>
        <v>0</v>
      </c>
      <c r="H3">
        <v>30</v>
      </c>
      <c r="I3">
        <v>25</v>
      </c>
      <c r="J3">
        <v>35</v>
      </c>
      <c r="K3">
        <v>20</v>
      </c>
    </row>
    <row r="4" spans="1:12" x14ac:dyDescent="0.25">
      <c r="A4">
        <v>2002</v>
      </c>
      <c r="F4">
        <f t="shared" si="0"/>
        <v>0</v>
      </c>
      <c r="H4">
        <v>30</v>
      </c>
      <c r="I4">
        <v>25</v>
      </c>
      <c r="J4">
        <v>35</v>
      </c>
      <c r="K4">
        <v>20</v>
      </c>
    </row>
    <row r="5" spans="1:12" x14ac:dyDescent="0.25">
      <c r="A5">
        <v>2003</v>
      </c>
      <c r="F5">
        <f t="shared" si="0"/>
        <v>0</v>
      </c>
      <c r="H5">
        <v>30</v>
      </c>
      <c r="I5">
        <v>25</v>
      </c>
      <c r="J5">
        <v>35</v>
      </c>
      <c r="K5">
        <v>20</v>
      </c>
    </row>
    <row r="6" spans="1:12" x14ac:dyDescent="0.25">
      <c r="A6">
        <v>2004</v>
      </c>
      <c r="F6">
        <f t="shared" si="0"/>
        <v>0</v>
      </c>
      <c r="H6">
        <v>30</v>
      </c>
      <c r="I6">
        <v>25</v>
      </c>
      <c r="J6">
        <v>35</v>
      </c>
      <c r="K6">
        <v>20</v>
      </c>
    </row>
    <row r="7" spans="1:12" x14ac:dyDescent="0.25">
      <c r="A7">
        <v>2005</v>
      </c>
      <c r="F7">
        <f t="shared" si="0"/>
        <v>0</v>
      </c>
      <c r="G7">
        <v>31</v>
      </c>
      <c r="H7">
        <v>30</v>
      </c>
      <c r="I7">
        <v>25</v>
      </c>
      <c r="J7">
        <v>35</v>
      </c>
      <c r="K7">
        <v>20</v>
      </c>
    </row>
    <row r="8" spans="1:12" x14ac:dyDescent="0.25">
      <c r="A8">
        <v>2006</v>
      </c>
      <c r="F8">
        <f t="shared" si="0"/>
        <v>0</v>
      </c>
      <c r="H8">
        <v>30</v>
      </c>
      <c r="I8">
        <v>25</v>
      </c>
      <c r="J8">
        <v>35</v>
      </c>
      <c r="K8">
        <v>20</v>
      </c>
    </row>
    <row r="9" spans="1:12" x14ac:dyDescent="0.25">
      <c r="A9">
        <v>2007</v>
      </c>
      <c r="F9">
        <f t="shared" si="0"/>
        <v>0</v>
      </c>
      <c r="H9">
        <v>30</v>
      </c>
      <c r="I9">
        <v>25</v>
      </c>
      <c r="J9">
        <v>35</v>
      </c>
      <c r="K9">
        <v>20</v>
      </c>
    </row>
    <row r="10" spans="1:12" x14ac:dyDescent="0.25">
      <c r="A10">
        <v>2008</v>
      </c>
      <c r="F10">
        <f t="shared" si="0"/>
        <v>0</v>
      </c>
      <c r="H10">
        <v>30</v>
      </c>
      <c r="I10">
        <v>25</v>
      </c>
      <c r="J10">
        <v>35</v>
      </c>
      <c r="K10">
        <v>20</v>
      </c>
    </row>
    <row r="11" spans="1:12" x14ac:dyDescent="0.25">
      <c r="A11">
        <v>2009</v>
      </c>
      <c r="B11">
        <v>3443</v>
      </c>
      <c r="F11">
        <f t="shared" si="0"/>
        <v>3443</v>
      </c>
      <c r="H11">
        <v>30</v>
      </c>
      <c r="I11">
        <v>25</v>
      </c>
      <c r="J11">
        <v>35</v>
      </c>
      <c r="K11">
        <v>20</v>
      </c>
    </row>
    <row r="12" spans="1:12" x14ac:dyDescent="0.25">
      <c r="A12">
        <v>2010</v>
      </c>
      <c r="B12">
        <v>3550</v>
      </c>
      <c r="C12">
        <v>533</v>
      </c>
      <c r="F12">
        <f t="shared" si="0"/>
        <v>3017</v>
      </c>
      <c r="G12">
        <v>29</v>
      </c>
      <c r="H12">
        <v>30</v>
      </c>
      <c r="I12">
        <v>25</v>
      </c>
      <c r="J12">
        <v>35</v>
      </c>
      <c r="K12">
        <v>20</v>
      </c>
    </row>
    <row r="13" spans="1:12" x14ac:dyDescent="0.25">
      <c r="A13">
        <v>2011</v>
      </c>
      <c r="B13">
        <v>4611</v>
      </c>
      <c r="C13">
        <v>521</v>
      </c>
      <c r="D13">
        <v>75</v>
      </c>
      <c r="F13">
        <f t="shared" si="0"/>
        <v>4015</v>
      </c>
      <c r="H13">
        <v>30</v>
      </c>
      <c r="I13">
        <v>25</v>
      </c>
      <c r="J13">
        <v>35</v>
      </c>
      <c r="K13">
        <v>20</v>
      </c>
    </row>
    <row r="14" spans="1:12" x14ac:dyDescent="0.25">
      <c r="A14">
        <v>2012</v>
      </c>
      <c r="B14">
        <v>4239</v>
      </c>
      <c r="C14">
        <v>558</v>
      </c>
      <c r="D14">
        <v>171</v>
      </c>
      <c r="F14">
        <f t="shared" si="0"/>
        <v>3510</v>
      </c>
      <c r="H14">
        <v>30</v>
      </c>
      <c r="I14">
        <v>25</v>
      </c>
      <c r="J14">
        <v>35</v>
      </c>
      <c r="K14">
        <v>20</v>
      </c>
    </row>
    <row r="15" spans="1:12" x14ac:dyDescent="0.25">
      <c r="A15">
        <v>2013</v>
      </c>
      <c r="B15">
        <v>5294</v>
      </c>
      <c r="C15">
        <v>560</v>
      </c>
      <c r="D15">
        <v>184</v>
      </c>
      <c r="F15">
        <f t="shared" si="0"/>
        <v>4550</v>
      </c>
      <c r="H15">
        <v>30</v>
      </c>
      <c r="I15">
        <v>25</v>
      </c>
      <c r="J15">
        <v>35</v>
      </c>
      <c r="K15">
        <v>20</v>
      </c>
    </row>
    <row r="16" spans="1:12" x14ac:dyDescent="0.25">
      <c r="A16">
        <v>2014</v>
      </c>
      <c r="B16">
        <v>5085</v>
      </c>
      <c r="C16">
        <v>699</v>
      </c>
      <c r="D16">
        <v>177</v>
      </c>
      <c r="F16">
        <f t="shared" si="0"/>
        <v>4209</v>
      </c>
      <c r="H16">
        <v>30</v>
      </c>
      <c r="I16">
        <v>25</v>
      </c>
      <c r="J16">
        <v>35</v>
      </c>
      <c r="K16">
        <v>20</v>
      </c>
    </row>
    <row r="17" spans="1:12" x14ac:dyDescent="0.25">
      <c r="A17">
        <v>2015</v>
      </c>
      <c r="B17">
        <v>5597</v>
      </c>
      <c r="C17">
        <v>734</v>
      </c>
      <c r="D17">
        <v>173</v>
      </c>
      <c r="F17">
        <f t="shared" si="0"/>
        <v>4690</v>
      </c>
      <c r="G17">
        <v>31</v>
      </c>
      <c r="H17">
        <v>30</v>
      </c>
      <c r="I17">
        <v>25</v>
      </c>
      <c r="J17">
        <v>35</v>
      </c>
      <c r="K17">
        <v>20</v>
      </c>
    </row>
    <row r="18" spans="1:12" x14ac:dyDescent="0.25">
      <c r="A18">
        <v>2016</v>
      </c>
      <c r="B18">
        <v>5343</v>
      </c>
      <c r="C18">
        <v>726</v>
      </c>
      <c r="D18">
        <v>173</v>
      </c>
      <c r="F18">
        <f t="shared" si="0"/>
        <v>4444</v>
      </c>
      <c r="H18">
        <v>30</v>
      </c>
      <c r="I18">
        <v>25</v>
      </c>
      <c r="J18">
        <v>35</v>
      </c>
      <c r="K18">
        <v>20</v>
      </c>
      <c r="L18">
        <v>5241</v>
      </c>
    </row>
    <row r="19" spans="1:12" x14ac:dyDescent="0.25">
      <c r="A19">
        <v>2017</v>
      </c>
      <c r="B19">
        <v>5445</v>
      </c>
      <c r="C19">
        <v>623</v>
      </c>
      <c r="D19">
        <v>179</v>
      </c>
      <c r="F19">
        <f t="shared" si="0"/>
        <v>4643</v>
      </c>
      <c r="H19">
        <v>30</v>
      </c>
      <c r="I19">
        <v>25</v>
      </c>
      <c r="J19">
        <v>35</v>
      </c>
      <c r="K19">
        <v>20</v>
      </c>
      <c r="L19">
        <v>5111</v>
      </c>
    </row>
    <row r="20" spans="1:12" x14ac:dyDescent="0.25">
      <c r="A20">
        <v>2018</v>
      </c>
      <c r="B20">
        <v>5139</v>
      </c>
      <c r="C20">
        <v>624</v>
      </c>
      <c r="D20">
        <v>165</v>
      </c>
      <c r="F20">
        <f t="shared" si="0"/>
        <v>4350</v>
      </c>
      <c r="H20">
        <v>30</v>
      </c>
      <c r="I20">
        <v>25</v>
      </c>
      <c r="J20">
        <v>35</v>
      </c>
      <c r="K20">
        <v>20</v>
      </c>
      <c r="L20">
        <v>4880</v>
      </c>
    </row>
    <row r="21" spans="1:12" x14ac:dyDescent="0.25">
      <c r="A21">
        <v>2019</v>
      </c>
      <c r="B21">
        <v>5949</v>
      </c>
      <c r="C21">
        <v>800</v>
      </c>
      <c r="F21">
        <f t="shared" si="0"/>
        <v>5149</v>
      </c>
      <c r="H21">
        <v>30</v>
      </c>
      <c r="I21">
        <v>25</v>
      </c>
      <c r="J21">
        <v>35</v>
      </c>
      <c r="K21">
        <v>20</v>
      </c>
      <c r="L21">
        <v>5949</v>
      </c>
    </row>
    <row r="22" spans="1:12" x14ac:dyDescent="0.25">
      <c r="A22">
        <v>2020</v>
      </c>
      <c r="B22">
        <v>5491</v>
      </c>
      <c r="C22">
        <v>800</v>
      </c>
      <c r="F22">
        <f t="shared" si="0"/>
        <v>4691</v>
      </c>
      <c r="H22">
        <v>30</v>
      </c>
      <c r="I22">
        <v>25</v>
      </c>
      <c r="J22">
        <v>35</v>
      </c>
      <c r="K22">
        <v>20</v>
      </c>
      <c r="L22">
        <v>5491</v>
      </c>
    </row>
    <row r="23" spans="1:12" x14ac:dyDescent="0.25">
      <c r="A23">
        <v>2021</v>
      </c>
      <c r="B23">
        <v>3966</v>
      </c>
      <c r="C23">
        <v>800</v>
      </c>
      <c r="F23">
        <f t="shared" si="0"/>
        <v>3166</v>
      </c>
      <c r="H23">
        <v>30</v>
      </c>
      <c r="I23">
        <v>25</v>
      </c>
      <c r="J23">
        <v>35</v>
      </c>
      <c r="K23">
        <v>20</v>
      </c>
      <c r="L23">
        <v>3966</v>
      </c>
    </row>
    <row r="24" spans="1:12" x14ac:dyDescent="0.25">
      <c r="A24">
        <v>2022</v>
      </c>
      <c r="B24">
        <v>5000</v>
      </c>
      <c r="C24">
        <v>699</v>
      </c>
      <c r="D24">
        <v>177</v>
      </c>
      <c r="F24">
        <f t="shared" si="0"/>
        <v>4124</v>
      </c>
      <c r="H24">
        <v>30</v>
      </c>
      <c r="I24">
        <v>25</v>
      </c>
      <c r="J24">
        <v>35</v>
      </c>
      <c r="K24">
        <v>20</v>
      </c>
    </row>
    <row r="25" spans="1:12" x14ac:dyDescent="0.25">
      <c r="A25">
        <v>2023</v>
      </c>
      <c r="B25">
        <v>5000</v>
      </c>
      <c r="C25">
        <v>734</v>
      </c>
      <c r="D25">
        <v>173</v>
      </c>
      <c r="F25">
        <f t="shared" si="0"/>
        <v>4093</v>
      </c>
      <c r="H25">
        <v>30</v>
      </c>
      <c r="I25">
        <v>25</v>
      </c>
      <c r="J25">
        <v>35</v>
      </c>
      <c r="K25">
        <v>20</v>
      </c>
    </row>
    <row r="26" spans="1:12" x14ac:dyDescent="0.25">
      <c r="A26">
        <v>2024</v>
      </c>
      <c r="B26">
        <f>2700+3400</f>
        <v>6100</v>
      </c>
      <c r="C26">
        <v>668</v>
      </c>
      <c r="D26">
        <v>162</v>
      </c>
      <c r="F26">
        <f t="shared" si="0"/>
        <v>5270</v>
      </c>
      <c r="H26">
        <v>30</v>
      </c>
      <c r="I26">
        <v>25</v>
      </c>
      <c r="J26">
        <v>35</v>
      </c>
      <c r="K26">
        <v>20</v>
      </c>
      <c r="L26">
        <f>2700+3400</f>
        <v>6100</v>
      </c>
    </row>
    <row r="27" spans="1:12" x14ac:dyDescent="0.25">
      <c r="A27">
        <v>2025</v>
      </c>
      <c r="B27">
        <v>5500</v>
      </c>
      <c r="C27">
        <v>850</v>
      </c>
      <c r="F27">
        <f t="shared" si="0"/>
        <v>4650</v>
      </c>
      <c r="H27">
        <v>30</v>
      </c>
      <c r="I27">
        <v>25</v>
      </c>
      <c r="J27">
        <v>35</v>
      </c>
      <c r="K27">
        <v>20</v>
      </c>
    </row>
    <row r="28" spans="1:12" x14ac:dyDescent="0.25">
      <c r="A28">
        <v>2026</v>
      </c>
      <c r="B28">
        <v>5500</v>
      </c>
      <c r="C28">
        <v>850</v>
      </c>
      <c r="F28">
        <f t="shared" si="0"/>
        <v>4650</v>
      </c>
      <c r="H28">
        <v>30</v>
      </c>
      <c r="I28">
        <v>25</v>
      </c>
      <c r="J28">
        <v>35</v>
      </c>
      <c r="K28">
        <v>20</v>
      </c>
    </row>
    <row r="29" spans="1:12" x14ac:dyDescent="0.25">
      <c r="A29">
        <v>2027</v>
      </c>
      <c r="B29">
        <v>5500</v>
      </c>
      <c r="C29">
        <v>850</v>
      </c>
      <c r="F29">
        <f t="shared" si="0"/>
        <v>4650</v>
      </c>
      <c r="H29">
        <v>30</v>
      </c>
      <c r="I29">
        <v>25</v>
      </c>
      <c r="J29">
        <v>35</v>
      </c>
      <c r="K29">
        <v>20</v>
      </c>
    </row>
    <row r="30" spans="1:12" x14ac:dyDescent="0.25">
      <c r="A30">
        <v>2028</v>
      </c>
      <c r="B30">
        <v>5500</v>
      </c>
      <c r="C30">
        <v>850</v>
      </c>
      <c r="F30">
        <f t="shared" si="0"/>
        <v>4650</v>
      </c>
      <c r="H30">
        <v>30</v>
      </c>
      <c r="I30">
        <v>25</v>
      </c>
      <c r="J30">
        <v>35</v>
      </c>
      <c r="K30">
        <v>20</v>
      </c>
    </row>
    <row r="31" spans="1:12" x14ac:dyDescent="0.25">
      <c r="A31">
        <v>2029</v>
      </c>
      <c r="B31">
        <v>5500</v>
      </c>
      <c r="C31">
        <v>850</v>
      </c>
      <c r="F31">
        <f t="shared" si="0"/>
        <v>4650</v>
      </c>
      <c r="H31">
        <v>30</v>
      </c>
      <c r="I31">
        <v>25</v>
      </c>
      <c r="J31">
        <v>35</v>
      </c>
      <c r="K31">
        <v>20</v>
      </c>
    </row>
    <row r="32" spans="1:12" x14ac:dyDescent="0.25">
      <c r="A32">
        <v>2030</v>
      </c>
      <c r="B32">
        <v>5500</v>
      </c>
      <c r="C32">
        <v>850</v>
      </c>
      <c r="F32">
        <f t="shared" si="0"/>
        <v>4650</v>
      </c>
      <c r="H32">
        <v>30</v>
      </c>
      <c r="I32">
        <v>25</v>
      </c>
      <c r="J32">
        <v>35</v>
      </c>
      <c r="K32">
        <v>20</v>
      </c>
    </row>
    <row r="33" spans="1:11" x14ac:dyDescent="0.25">
      <c r="A33">
        <v>2031</v>
      </c>
      <c r="B33">
        <v>5500</v>
      </c>
      <c r="C33">
        <v>850</v>
      </c>
      <c r="F33">
        <f t="shared" si="0"/>
        <v>4650</v>
      </c>
      <c r="H33">
        <v>30</v>
      </c>
      <c r="I33">
        <v>25</v>
      </c>
      <c r="J33">
        <v>35</v>
      </c>
      <c r="K33">
        <v>20</v>
      </c>
    </row>
    <row r="34" spans="1:11" x14ac:dyDescent="0.25">
      <c r="A34">
        <v>2032</v>
      </c>
      <c r="B34">
        <v>5500</v>
      </c>
      <c r="C34">
        <v>850</v>
      </c>
      <c r="F34">
        <f t="shared" si="0"/>
        <v>4650</v>
      </c>
      <c r="H34">
        <v>30</v>
      </c>
      <c r="I34">
        <v>25</v>
      </c>
      <c r="J34">
        <v>35</v>
      </c>
      <c r="K34">
        <v>20</v>
      </c>
    </row>
    <row r="35" spans="1:11" x14ac:dyDescent="0.25">
      <c r="A35">
        <v>2033</v>
      </c>
      <c r="B35">
        <v>5500</v>
      </c>
      <c r="C35">
        <v>850</v>
      </c>
      <c r="F35">
        <f t="shared" si="0"/>
        <v>4650</v>
      </c>
      <c r="H35">
        <v>30</v>
      </c>
      <c r="I35">
        <v>25</v>
      </c>
      <c r="J35">
        <v>35</v>
      </c>
      <c r="K35">
        <v>20</v>
      </c>
    </row>
    <row r="36" spans="1:11" x14ac:dyDescent="0.25">
      <c r="A36">
        <v>2034</v>
      </c>
      <c r="B36">
        <v>5500</v>
      </c>
      <c r="C36">
        <v>850</v>
      </c>
      <c r="F36">
        <f t="shared" si="0"/>
        <v>4650</v>
      </c>
      <c r="H36">
        <v>30</v>
      </c>
      <c r="I36">
        <v>25</v>
      </c>
      <c r="J36">
        <v>35</v>
      </c>
      <c r="K36">
        <v>20</v>
      </c>
    </row>
    <row r="37" spans="1:11" x14ac:dyDescent="0.25">
      <c r="A37">
        <v>2035</v>
      </c>
      <c r="B37">
        <v>5500</v>
      </c>
      <c r="C37">
        <v>850</v>
      </c>
      <c r="F37">
        <f t="shared" si="0"/>
        <v>4650</v>
      </c>
      <c r="H37">
        <v>30</v>
      </c>
      <c r="I37">
        <v>25</v>
      </c>
      <c r="J37">
        <v>35</v>
      </c>
      <c r="K37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FE2E1-AC94-4C77-A1E7-94988F8A0AD2}">
  <sheetPr>
    <tabColor rgb="FFFFC000"/>
  </sheetPr>
  <dimension ref="A1:AK106"/>
  <sheetViews>
    <sheetView workbookViewId="0"/>
  </sheetViews>
  <sheetFormatPr defaultRowHeight="15" x14ac:dyDescent="0.25"/>
  <cols>
    <col min="1" max="4" width="7.5703125" customWidth="1"/>
    <col min="5" max="5" width="37.28515625" bestFit="1" customWidth="1"/>
    <col min="6" max="6" width="40.42578125" bestFit="1" customWidth="1"/>
    <col min="7" max="7" width="38.7109375" bestFit="1" customWidth="1"/>
    <col min="8" max="8" width="12.7109375" bestFit="1" customWidth="1"/>
  </cols>
  <sheetData>
    <row r="1" spans="1:37" x14ac:dyDescent="0.25">
      <c r="A1" t="s">
        <v>139</v>
      </c>
      <c r="B1" t="s">
        <v>372</v>
      </c>
      <c r="C1" t="s">
        <v>373</v>
      </c>
      <c r="D1" t="s">
        <v>374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129</v>
      </c>
      <c r="K1" t="s">
        <v>126</v>
      </c>
      <c r="L1" t="s">
        <v>127</v>
      </c>
      <c r="M1" t="s">
        <v>128</v>
      </c>
      <c r="N1" t="s">
        <v>366</v>
      </c>
      <c r="O1" t="s">
        <v>367</v>
      </c>
      <c r="P1" t="s">
        <v>368</v>
      </c>
      <c r="Q1" t="s">
        <v>130</v>
      </c>
      <c r="R1" t="s">
        <v>131</v>
      </c>
      <c r="S1" t="s">
        <v>132</v>
      </c>
      <c r="T1" t="s">
        <v>133</v>
      </c>
      <c r="U1" t="s">
        <v>134</v>
      </c>
      <c r="V1" t="s">
        <v>135</v>
      </c>
      <c r="W1" t="s">
        <v>136</v>
      </c>
      <c r="X1" t="s">
        <v>137</v>
      </c>
      <c r="Y1" t="s">
        <v>138</v>
      </c>
      <c r="Z1" t="s">
        <v>369</v>
      </c>
      <c r="AA1" t="s">
        <v>370</v>
      </c>
      <c r="AB1" t="s">
        <v>371</v>
      </c>
      <c r="AC1" t="s">
        <v>140</v>
      </c>
      <c r="AD1" t="s">
        <v>141</v>
      </c>
      <c r="AE1" t="s">
        <v>142</v>
      </c>
      <c r="AF1" t="s">
        <v>143</v>
      </c>
      <c r="AG1" t="s">
        <v>144</v>
      </c>
      <c r="AH1" t="s">
        <v>145</v>
      </c>
      <c r="AI1" t="s">
        <v>146</v>
      </c>
      <c r="AJ1" t="s">
        <v>147</v>
      </c>
      <c r="AK1" t="s">
        <v>148</v>
      </c>
    </row>
    <row r="2" spans="1:37" x14ac:dyDescent="0.25">
      <c r="A2" t="s">
        <v>21</v>
      </c>
      <c r="B2" s="10">
        <v>19</v>
      </c>
      <c r="C2">
        <v>13</v>
      </c>
      <c r="D2">
        <v>32</v>
      </c>
      <c r="E2" s="5"/>
      <c r="F2" s="5"/>
      <c r="G2" s="5"/>
      <c r="H2" s="5"/>
      <c r="I2" s="5"/>
      <c r="J2" s="5"/>
      <c r="K2" s="5">
        <v>100</v>
      </c>
      <c r="L2" s="5">
        <v>100</v>
      </c>
      <c r="M2" s="5">
        <v>100</v>
      </c>
      <c r="N2" s="3">
        <v>20</v>
      </c>
      <c r="O2" s="3">
        <v>13</v>
      </c>
      <c r="P2" s="3">
        <v>33</v>
      </c>
      <c r="Q2" s="5"/>
      <c r="R2" s="5"/>
      <c r="S2" s="5"/>
      <c r="T2" s="5"/>
      <c r="U2" s="5"/>
      <c r="V2" s="5"/>
      <c r="W2" s="5">
        <v>100</v>
      </c>
      <c r="X2" s="5">
        <v>100</v>
      </c>
      <c r="Y2" s="5">
        <v>100</v>
      </c>
      <c r="Z2" s="3">
        <f>SUM(B2+N2)/2</f>
        <v>19.5</v>
      </c>
      <c r="AA2" s="3">
        <f t="shared" ref="AA2:AB2" si="0">SUM(C2+O2)/2</f>
        <v>13</v>
      </c>
      <c r="AB2" s="3">
        <f t="shared" si="0"/>
        <v>32.5</v>
      </c>
      <c r="AC2" s="5" t="str">
        <f t="shared" ref="AC2:AK2" si="1">IF((E2+Q2)&gt;0,SUM((Q2+E2)/2),"")</f>
        <v/>
      </c>
      <c r="AD2" s="5" t="str">
        <f t="shared" si="1"/>
        <v/>
      </c>
      <c r="AE2" s="5" t="str">
        <f t="shared" si="1"/>
        <v/>
      </c>
      <c r="AF2" s="5" t="str">
        <f t="shared" si="1"/>
        <v/>
      </c>
      <c r="AG2" s="5" t="str">
        <f t="shared" si="1"/>
        <v/>
      </c>
      <c r="AH2" s="5" t="str">
        <f t="shared" si="1"/>
        <v/>
      </c>
      <c r="AI2" s="5">
        <f t="shared" si="1"/>
        <v>100</v>
      </c>
      <c r="AJ2" s="5">
        <f t="shared" si="1"/>
        <v>100</v>
      </c>
      <c r="AK2" s="5">
        <f t="shared" si="1"/>
        <v>100</v>
      </c>
    </row>
    <row r="3" spans="1:37" x14ac:dyDescent="0.25">
      <c r="A3" t="s">
        <v>22</v>
      </c>
      <c r="B3">
        <v>33</v>
      </c>
      <c r="C3">
        <v>27</v>
      </c>
      <c r="D3">
        <v>60</v>
      </c>
      <c r="E3" s="5"/>
      <c r="F3" s="5"/>
      <c r="G3" s="5"/>
      <c r="H3" s="5"/>
      <c r="I3" s="5"/>
      <c r="J3" s="5"/>
      <c r="K3" s="5">
        <v>100</v>
      </c>
      <c r="L3" s="5">
        <v>100</v>
      </c>
      <c r="M3" s="5">
        <v>100</v>
      </c>
      <c r="N3" s="3">
        <v>22</v>
      </c>
      <c r="O3" s="3">
        <v>30</v>
      </c>
      <c r="P3" s="3">
        <v>52</v>
      </c>
      <c r="Q3" s="5"/>
      <c r="R3" s="5"/>
      <c r="S3" s="5"/>
      <c r="T3" s="5"/>
      <c r="U3" s="5"/>
      <c r="V3" s="5"/>
      <c r="W3" s="5">
        <v>100</v>
      </c>
      <c r="X3" s="5">
        <v>100</v>
      </c>
      <c r="Y3" s="5">
        <v>100</v>
      </c>
      <c r="Z3" s="3">
        <f t="shared" ref="Z3:Z66" si="2">SUM(B3+N3)/2</f>
        <v>27.5</v>
      </c>
      <c r="AA3" s="3">
        <f t="shared" ref="AA3:AA66" si="3">SUM(C3+O3)/2</f>
        <v>28.5</v>
      </c>
      <c r="AB3" s="3">
        <f t="shared" ref="AB3:AB66" si="4">SUM(D3+P3)/2</f>
        <v>56</v>
      </c>
      <c r="AC3" s="5" t="str">
        <f t="shared" ref="AC3:AC66" si="5">IF((E3+Q3)&gt;0,SUM((Q3+E3)/2),"")</f>
        <v/>
      </c>
      <c r="AD3" s="5" t="str">
        <f t="shared" ref="AD3:AD66" si="6">IF((F3+R3)&gt;0,SUM((R3+F3)/2),"")</f>
        <v/>
      </c>
      <c r="AE3" s="5" t="str">
        <f t="shared" ref="AE3:AE66" si="7">IF((G3+S3)&gt;0,SUM((S3+G3)/2),"")</f>
        <v/>
      </c>
      <c r="AF3" s="5" t="str">
        <f t="shared" ref="AF3:AF66" si="8">IF((H3+T3)&gt;0,SUM((T3+H3)/2),"")</f>
        <v/>
      </c>
      <c r="AG3" s="5" t="str">
        <f t="shared" ref="AG3:AG66" si="9">IF((I3+U3)&gt;0,SUM((U3+I3)/2),"")</f>
        <v/>
      </c>
      <c r="AH3" s="5" t="str">
        <f t="shared" ref="AH3:AH66" si="10">IF((J3+V3)&gt;0,SUM((V3+J3)/2),"")</f>
        <v/>
      </c>
      <c r="AI3" s="5">
        <f t="shared" ref="AI3:AI66" si="11">IF((K3+W3)&gt;0,SUM((W3+K3)/2),"")</f>
        <v>100</v>
      </c>
      <c r="AJ3" s="5">
        <f t="shared" ref="AJ3:AJ66" si="12">IF((L3+X3)&gt;0,SUM((X3+L3)/2),"")</f>
        <v>100</v>
      </c>
      <c r="AK3" s="5">
        <f t="shared" ref="AK3:AK66" si="13">IF((M3+Y3)&gt;0,SUM((Y3+M3)/2),"")</f>
        <v>100</v>
      </c>
    </row>
    <row r="4" spans="1:37" x14ac:dyDescent="0.25">
      <c r="A4" t="s">
        <v>23</v>
      </c>
      <c r="B4">
        <v>18</v>
      </c>
      <c r="C4">
        <v>15</v>
      </c>
      <c r="D4">
        <v>33</v>
      </c>
      <c r="E4" s="5"/>
      <c r="F4" s="5"/>
      <c r="G4" s="5"/>
      <c r="H4" s="5"/>
      <c r="I4" s="5"/>
      <c r="J4" s="5"/>
      <c r="K4" s="5">
        <v>100</v>
      </c>
      <c r="L4" s="5">
        <v>100</v>
      </c>
      <c r="M4" s="5">
        <v>100</v>
      </c>
      <c r="N4" s="3">
        <v>9</v>
      </c>
      <c r="O4" s="3">
        <v>31</v>
      </c>
      <c r="P4" s="3">
        <v>40</v>
      </c>
      <c r="Q4" s="5"/>
      <c r="R4" s="5"/>
      <c r="S4" s="5"/>
      <c r="T4" s="5"/>
      <c r="U4" s="5"/>
      <c r="V4" s="5"/>
      <c r="W4" s="5">
        <v>100</v>
      </c>
      <c r="X4" s="5">
        <v>100</v>
      </c>
      <c r="Y4" s="5">
        <v>100</v>
      </c>
      <c r="Z4" s="3">
        <f t="shared" si="2"/>
        <v>13.5</v>
      </c>
      <c r="AA4" s="3">
        <f t="shared" si="3"/>
        <v>23</v>
      </c>
      <c r="AB4" s="3">
        <f t="shared" si="4"/>
        <v>36.5</v>
      </c>
      <c r="AC4" s="5" t="str">
        <f t="shared" si="5"/>
        <v/>
      </c>
      <c r="AD4" s="5" t="str">
        <f t="shared" si="6"/>
        <v/>
      </c>
      <c r="AE4" s="5" t="str">
        <f t="shared" si="7"/>
        <v/>
      </c>
      <c r="AF4" s="5" t="str">
        <f t="shared" si="8"/>
        <v/>
      </c>
      <c r="AG4" s="5" t="str">
        <f t="shared" si="9"/>
        <v/>
      </c>
      <c r="AH4" s="5" t="str">
        <f t="shared" si="10"/>
        <v/>
      </c>
      <c r="AI4" s="5">
        <f t="shared" si="11"/>
        <v>100</v>
      </c>
      <c r="AJ4" s="5">
        <f t="shared" si="12"/>
        <v>100</v>
      </c>
      <c r="AK4" s="5">
        <f t="shared" si="13"/>
        <v>100</v>
      </c>
    </row>
    <row r="5" spans="1:37" x14ac:dyDescent="0.25">
      <c r="A5" t="s">
        <v>24</v>
      </c>
      <c r="B5">
        <v>19</v>
      </c>
      <c r="C5">
        <v>19</v>
      </c>
      <c r="D5">
        <v>38</v>
      </c>
      <c r="E5" s="5"/>
      <c r="F5" s="5"/>
      <c r="G5" s="5"/>
      <c r="H5" s="5"/>
      <c r="I5" s="5"/>
      <c r="J5" s="5"/>
      <c r="K5" s="5">
        <v>100</v>
      </c>
      <c r="L5" s="5">
        <v>100</v>
      </c>
      <c r="M5" s="5">
        <v>100</v>
      </c>
      <c r="N5" s="3">
        <v>14</v>
      </c>
      <c r="O5" s="3">
        <v>17</v>
      </c>
      <c r="P5" s="3">
        <v>31</v>
      </c>
      <c r="Q5" s="5"/>
      <c r="R5" s="5"/>
      <c r="S5" s="5"/>
      <c r="T5" s="5"/>
      <c r="U5" s="5"/>
      <c r="V5" s="5"/>
      <c r="W5" s="5">
        <v>100</v>
      </c>
      <c r="X5" s="5">
        <v>100</v>
      </c>
      <c r="Y5" s="5">
        <v>100</v>
      </c>
      <c r="Z5" s="3">
        <f t="shared" si="2"/>
        <v>16.5</v>
      </c>
      <c r="AA5" s="3">
        <f t="shared" si="3"/>
        <v>18</v>
      </c>
      <c r="AB5" s="3">
        <f t="shared" si="4"/>
        <v>34.5</v>
      </c>
      <c r="AC5" s="5" t="str">
        <f t="shared" si="5"/>
        <v/>
      </c>
      <c r="AD5" s="5" t="str">
        <f t="shared" si="6"/>
        <v/>
      </c>
      <c r="AE5" s="5" t="str">
        <f t="shared" si="7"/>
        <v/>
      </c>
      <c r="AF5" s="5" t="str">
        <f t="shared" si="8"/>
        <v/>
      </c>
      <c r="AG5" s="5" t="str">
        <f t="shared" si="9"/>
        <v/>
      </c>
      <c r="AH5" s="5" t="str">
        <f t="shared" si="10"/>
        <v/>
      </c>
      <c r="AI5" s="5">
        <f t="shared" si="11"/>
        <v>100</v>
      </c>
      <c r="AJ5" s="5">
        <f t="shared" si="12"/>
        <v>100</v>
      </c>
      <c r="AK5" s="5">
        <f t="shared" si="13"/>
        <v>100</v>
      </c>
    </row>
    <row r="6" spans="1:37" x14ac:dyDescent="0.25">
      <c r="A6" t="s">
        <v>25</v>
      </c>
      <c r="B6">
        <v>18</v>
      </c>
      <c r="C6">
        <v>19</v>
      </c>
      <c r="D6">
        <v>37</v>
      </c>
      <c r="E6" s="5"/>
      <c r="F6" s="5"/>
      <c r="G6" s="5"/>
      <c r="H6" s="5"/>
      <c r="I6" s="5"/>
      <c r="J6" s="5"/>
      <c r="K6" s="5">
        <v>100</v>
      </c>
      <c r="L6" s="5">
        <v>100</v>
      </c>
      <c r="M6" s="5">
        <v>100</v>
      </c>
      <c r="N6" s="3">
        <v>16</v>
      </c>
      <c r="O6" s="3">
        <v>6</v>
      </c>
      <c r="P6" s="3">
        <v>22</v>
      </c>
      <c r="Q6" s="5"/>
      <c r="R6" s="5"/>
      <c r="S6" s="5"/>
      <c r="T6" s="5"/>
      <c r="U6" s="5"/>
      <c r="V6" s="5"/>
      <c r="W6" s="5">
        <v>100</v>
      </c>
      <c r="X6" s="5">
        <v>100</v>
      </c>
      <c r="Y6" s="5">
        <v>100</v>
      </c>
      <c r="Z6" s="3">
        <f t="shared" si="2"/>
        <v>17</v>
      </c>
      <c r="AA6" s="3">
        <f t="shared" si="3"/>
        <v>12.5</v>
      </c>
      <c r="AB6" s="3">
        <f t="shared" si="4"/>
        <v>29.5</v>
      </c>
      <c r="AC6" s="5" t="str">
        <f t="shared" si="5"/>
        <v/>
      </c>
      <c r="AD6" s="5" t="str">
        <f t="shared" si="6"/>
        <v/>
      </c>
      <c r="AE6" s="5" t="str">
        <f t="shared" si="7"/>
        <v/>
      </c>
      <c r="AF6" s="5" t="str">
        <f t="shared" si="8"/>
        <v/>
      </c>
      <c r="AG6" s="5" t="str">
        <f t="shared" si="9"/>
        <v/>
      </c>
      <c r="AH6" s="5" t="str">
        <f t="shared" si="10"/>
        <v/>
      </c>
      <c r="AI6" s="5">
        <f t="shared" si="11"/>
        <v>100</v>
      </c>
      <c r="AJ6" s="5">
        <f t="shared" si="12"/>
        <v>100</v>
      </c>
      <c r="AK6" s="5">
        <f t="shared" si="13"/>
        <v>100</v>
      </c>
    </row>
    <row r="7" spans="1:37" x14ac:dyDescent="0.25">
      <c r="A7" t="s">
        <v>26</v>
      </c>
      <c r="B7">
        <v>21</v>
      </c>
      <c r="C7">
        <v>17</v>
      </c>
      <c r="D7">
        <v>38</v>
      </c>
      <c r="E7" s="5"/>
      <c r="F7" s="5"/>
      <c r="G7" s="5"/>
      <c r="H7" s="5"/>
      <c r="I7" s="5"/>
      <c r="J7" s="5"/>
      <c r="K7" s="5">
        <v>100</v>
      </c>
      <c r="L7" s="5">
        <v>100</v>
      </c>
      <c r="M7" s="5">
        <v>100</v>
      </c>
      <c r="N7" s="3">
        <v>17</v>
      </c>
      <c r="O7" s="3">
        <v>12</v>
      </c>
      <c r="P7" s="3">
        <v>29</v>
      </c>
      <c r="Q7" s="5"/>
      <c r="R7" s="5"/>
      <c r="S7" s="5"/>
      <c r="T7" s="5"/>
      <c r="U7" s="5"/>
      <c r="V7" s="5"/>
      <c r="W7" s="5">
        <v>100</v>
      </c>
      <c r="X7" s="5">
        <v>100</v>
      </c>
      <c r="Y7" s="5">
        <v>100</v>
      </c>
      <c r="Z7" s="3">
        <f t="shared" si="2"/>
        <v>19</v>
      </c>
      <c r="AA7" s="3">
        <f t="shared" si="3"/>
        <v>14.5</v>
      </c>
      <c r="AB7" s="3">
        <f t="shared" si="4"/>
        <v>33.5</v>
      </c>
      <c r="AC7" s="5" t="str">
        <f t="shared" si="5"/>
        <v/>
      </c>
      <c r="AD7" s="5" t="str">
        <f t="shared" si="6"/>
        <v/>
      </c>
      <c r="AE7" s="5" t="str">
        <f t="shared" si="7"/>
        <v/>
      </c>
      <c r="AF7" s="5" t="str">
        <f t="shared" si="8"/>
        <v/>
      </c>
      <c r="AG7" s="5" t="str">
        <f t="shared" si="9"/>
        <v/>
      </c>
      <c r="AH7" s="5" t="str">
        <f t="shared" si="10"/>
        <v/>
      </c>
      <c r="AI7" s="5">
        <f t="shared" si="11"/>
        <v>100</v>
      </c>
      <c r="AJ7" s="5">
        <f t="shared" si="12"/>
        <v>100</v>
      </c>
      <c r="AK7" s="5">
        <f t="shared" si="13"/>
        <v>100</v>
      </c>
    </row>
    <row r="8" spans="1:37" x14ac:dyDescent="0.25">
      <c r="A8" t="s">
        <v>27</v>
      </c>
      <c r="B8">
        <v>10</v>
      </c>
      <c r="C8">
        <v>7</v>
      </c>
      <c r="D8">
        <v>17</v>
      </c>
      <c r="E8" s="5"/>
      <c r="F8" s="5"/>
      <c r="G8" s="5"/>
      <c r="H8" s="5"/>
      <c r="I8" s="5"/>
      <c r="J8" s="5"/>
      <c r="K8" s="5">
        <v>100</v>
      </c>
      <c r="L8" s="5">
        <v>100</v>
      </c>
      <c r="M8" s="5">
        <v>100</v>
      </c>
      <c r="N8" s="3">
        <v>13</v>
      </c>
      <c r="O8" s="3">
        <v>11</v>
      </c>
      <c r="P8" s="3">
        <v>24</v>
      </c>
      <c r="Q8" s="5"/>
      <c r="R8" s="5"/>
      <c r="S8" s="5"/>
      <c r="T8" s="5"/>
      <c r="U8" s="5"/>
      <c r="V8" s="5"/>
      <c r="W8" s="5">
        <v>100</v>
      </c>
      <c r="X8" s="5">
        <v>100</v>
      </c>
      <c r="Y8" s="5">
        <v>100</v>
      </c>
      <c r="Z8" s="3">
        <f t="shared" si="2"/>
        <v>11.5</v>
      </c>
      <c r="AA8" s="3">
        <f t="shared" si="3"/>
        <v>9</v>
      </c>
      <c r="AB8" s="3">
        <f t="shared" si="4"/>
        <v>20.5</v>
      </c>
      <c r="AC8" s="5" t="str">
        <f t="shared" si="5"/>
        <v/>
      </c>
      <c r="AD8" s="5" t="str">
        <f t="shared" si="6"/>
        <v/>
      </c>
      <c r="AE8" s="5" t="str">
        <f t="shared" si="7"/>
        <v/>
      </c>
      <c r="AF8" s="5" t="str">
        <f t="shared" si="8"/>
        <v/>
      </c>
      <c r="AG8" s="5" t="str">
        <f t="shared" si="9"/>
        <v/>
      </c>
      <c r="AH8" s="5" t="str">
        <f t="shared" si="10"/>
        <v/>
      </c>
      <c r="AI8" s="5">
        <f t="shared" si="11"/>
        <v>100</v>
      </c>
      <c r="AJ8" s="5">
        <f t="shared" si="12"/>
        <v>100</v>
      </c>
      <c r="AK8" s="5">
        <f t="shared" si="13"/>
        <v>100</v>
      </c>
    </row>
    <row r="9" spans="1:37" x14ac:dyDescent="0.25">
      <c r="A9" t="s">
        <v>28</v>
      </c>
      <c r="B9">
        <v>12</v>
      </c>
      <c r="C9">
        <v>7</v>
      </c>
      <c r="D9">
        <v>19</v>
      </c>
      <c r="E9" s="5"/>
      <c r="F9" s="5"/>
      <c r="G9" s="5"/>
      <c r="H9" s="5"/>
      <c r="I9" s="5"/>
      <c r="J9" s="5"/>
      <c r="K9" s="5">
        <v>100</v>
      </c>
      <c r="L9" s="5">
        <v>100</v>
      </c>
      <c r="M9" s="5">
        <v>100</v>
      </c>
      <c r="N9" s="3">
        <v>4</v>
      </c>
      <c r="O9" s="3">
        <v>11</v>
      </c>
      <c r="P9" s="3">
        <v>15</v>
      </c>
      <c r="Q9" s="5"/>
      <c r="R9" s="5"/>
      <c r="S9" s="5"/>
      <c r="T9" s="5"/>
      <c r="U9" s="5"/>
      <c r="V9" s="5"/>
      <c r="W9" s="5">
        <v>100</v>
      </c>
      <c r="X9" s="5">
        <v>100</v>
      </c>
      <c r="Y9" s="5">
        <v>100</v>
      </c>
      <c r="Z9" s="3">
        <f t="shared" si="2"/>
        <v>8</v>
      </c>
      <c r="AA9" s="3">
        <f t="shared" si="3"/>
        <v>9</v>
      </c>
      <c r="AB9" s="3">
        <f t="shared" si="4"/>
        <v>17</v>
      </c>
      <c r="AC9" s="5" t="str">
        <f t="shared" si="5"/>
        <v/>
      </c>
      <c r="AD9" s="5" t="str">
        <f t="shared" si="6"/>
        <v/>
      </c>
      <c r="AE9" s="5" t="str">
        <f t="shared" si="7"/>
        <v/>
      </c>
      <c r="AF9" s="5" t="str">
        <f t="shared" si="8"/>
        <v/>
      </c>
      <c r="AG9" s="5" t="str">
        <f t="shared" si="9"/>
        <v/>
      </c>
      <c r="AH9" s="5" t="str">
        <f t="shared" si="10"/>
        <v/>
      </c>
      <c r="AI9" s="5">
        <f t="shared" si="11"/>
        <v>100</v>
      </c>
      <c r="AJ9" s="5">
        <f t="shared" si="12"/>
        <v>100</v>
      </c>
      <c r="AK9" s="5">
        <f t="shared" si="13"/>
        <v>100</v>
      </c>
    </row>
    <row r="10" spans="1:37" x14ac:dyDescent="0.25">
      <c r="A10" t="s">
        <v>29</v>
      </c>
      <c r="B10">
        <v>9</v>
      </c>
      <c r="C10">
        <v>13</v>
      </c>
      <c r="D10">
        <v>22</v>
      </c>
      <c r="E10" s="5"/>
      <c r="F10" s="5"/>
      <c r="G10" s="5"/>
      <c r="H10" s="5"/>
      <c r="I10" s="5"/>
      <c r="J10" s="5"/>
      <c r="K10" s="5">
        <v>100</v>
      </c>
      <c r="L10" s="5">
        <v>100</v>
      </c>
      <c r="M10" s="5">
        <v>100</v>
      </c>
      <c r="N10" s="3">
        <v>11</v>
      </c>
      <c r="O10" s="3">
        <v>8</v>
      </c>
      <c r="P10" s="3">
        <v>19</v>
      </c>
      <c r="Q10" s="5"/>
      <c r="R10" s="5"/>
      <c r="S10" s="5"/>
      <c r="T10" s="5"/>
      <c r="U10" s="5"/>
      <c r="V10" s="5"/>
      <c r="W10" s="5">
        <v>100</v>
      </c>
      <c r="X10" s="5">
        <v>100</v>
      </c>
      <c r="Y10" s="5">
        <v>100</v>
      </c>
      <c r="Z10" s="3">
        <f t="shared" si="2"/>
        <v>10</v>
      </c>
      <c r="AA10" s="3">
        <f t="shared" si="3"/>
        <v>10.5</v>
      </c>
      <c r="AB10" s="3">
        <f t="shared" si="4"/>
        <v>20.5</v>
      </c>
      <c r="AC10" s="5" t="str">
        <f t="shared" si="5"/>
        <v/>
      </c>
      <c r="AD10" s="5" t="str">
        <f t="shared" si="6"/>
        <v/>
      </c>
      <c r="AE10" s="5" t="str">
        <f t="shared" si="7"/>
        <v/>
      </c>
      <c r="AF10" s="5" t="str">
        <f t="shared" si="8"/>
        <v/>
      </c>
      <c r="AG10" s="5" t="str">
        <f t="shared" si="9"/>
        <v/>
      </c>
      <c r="AH10" s="5" t="str">
        <f t="shared" si="10"/>
        <v/>
      </c>
      <c r="AI10" s="5">
        <f t="shared" si="11"/>
        <v>100</v>
      </c>
      <c r="AJ10" s="5">
        <f t="shared" si="12"/>
        <v>100</v>
      </c>
      <c r="AK10" s="5">
        <f t="shared" si="13"/>
        <v>100</v>
      </c>
    </row>
    <row r="11" spans="1:37" x14ac:dyDescent="0.25">
      <c r="A11" t="s">
        <v>30</v>
      </c>
      <c r="B11">
        <v>10</v>
      </c>
      <c r="C11">
        <v>9</v>
      </c>
      <c r="D11">
        <v>19</v>
      </c>
      <c r="E11" s="5"/>
      <c r="F11" s="5"/>
      <c r="G11" s="5"/>
      <c r="H11" s="5"/>
      <c r="I11" s="5"/>
      <c r="J11" s="5"/>
      <c r="K11" s="5">
        <v>100</v>
      </c>
      <c r="L11" s="5">
        <v>100</v>
      </c>
      <c r="M11" s="5">
        <v>100</v>
      </c>
      <c r="N11" s="3">
        <v>4</v>
      </c>
      <c r="O11" s="3">
        <v>14</v>
      </c>
      <c r="P11" s="3">
        <v>18</v>
      </c>
      <c r="Q11" s="5"/>
      <c r="R11" s="5"/>
      <c r="S11" s="5"/>
      <c r="T11" s="5"/>
      <c r="U11" s="5"/>
      <c r="V11" s="5"/>
      <c r="W11" s="5">
        <v>100</v>
      </c>
      <c r="X11" s="5">
        <v>100</v>
      </c>
      <c r="Y11" s="5">
        <v>100</v>
      </c>
      <c r="Z11" s="3">
        <f t="shared" si="2"/>
        <v>7</v>
      </c>
      <c r="AA11" s="3">
        <f t="shared" si="3"/>
        <v>11.5</v>
      </c>
      <c r="AB11" s="3">
        <f t="shared" si="4"/>
        <v>18.5</v>
      </c>
      <c r="AC11" s="5" t="str">
        <f t="shared" si="5"/>
        <v/>
      </c>
      <c r="AD11" s="5" t="str">
        <f t="shared" si="6"/>
        <v/>
      </c>
      <c r="AE11" s="5" t="str">
        <f t="shared" si="7"/>
        <v/>
      </c>
      <c r="AF11" s="5" t="str">
        <f t="shared" si="8"/>
        <v/>
      </c>
      <c r="AG11" s="5" t="str">
        <f t="shared" si="9"/>
        <v/>
      </c>
      <c r="AH11" s="5" t="str">
        <f t="shared" si="10"/>
        <v/>
      </c>
      <c r="AI11" s="5">
        <f t="shared" si="11"/>
        <v>100</v>
      </c>
      <c r="AJ11" s="5">
        <f t="shared" si="12"/>
        <v>100</v>
      </c>
      <c r="AK11" s="5">
        <f t="shared" si="13"/>
        <v>100</v>
      </c>
    </row>
    <row r="12" spans="1:37" x14ac:dyDescent="0.25">
      <c r="A12" t="s">
        <v>31</v>
      </c>
      <c r="B12">
        <v>8</v>
      </c>
      <c r="C12">
        <v>7</v>
      </c>
      <c r="D12">
        <v>15</v>
      </c>
      <c r="E12" s="5"/>
      <c r="F12" s="5"/>
      <c r="G12" s="5"/>
      <c r="H12" s="5"/>
      <c r="I12" s="5"/>
      <c r="J12" s="5"/>
      <c r="K12" s="5">
        <v>100</v>
      </c>
      <c r="L12" s="5">
        <v>100</v>
      </c>
      <c r="M12" s="5">
        <v>100</v>
      </c>
      <c r="N12" s="3">
        <v>10</v>
      </c>
      <c r="O12" s="3">
        <v>7</v>
      </c>
      <c r="P12" s="3">
        <v>17</v>
      </c>
      <c r="Q12" s="5"/>
      <c r="R12" s="5"/>
      <c r="S12" s="5"/>
      <c r="T12" s="5"/>
      <c r="U12" s="5"/>
      <c r="V12" s="5"/>
      <c r="W12" s="5">
        <v>100</v>
      </c>
      <c r="X12" s="5">
        <v>100</v>
      </c>
      <c r="Y12" s="5">
        <v>100</v>
      </c>
      <c r="Z12" s="3">
        <f t="shared" si="2"/>
        <v>9</v>
      </c>
      <c r="AA12" s="3">
        <f t="shared" si="3"/>
        <v>7</v>
      </c>
      <c r="AB12" s="3">
        <f t="shared" si="4"/>
        <v>16</v>
      </c>
      <c r="AC12" s="5" t="str">
        <f t="shared" si="5"/>
        <v/>
      </c>
      <c r="AD12" s="5" t="str">
        <f t="shared" si="6"/>
        <v/>
      </c>
      <c r="AE12" s="5" t="str">
        <f t="shared" si="7"/>
        <v/>
      </c>
      <c r="AF12" s="5" t="str">
        <f t="shared" si="8"/>
        <v/>
      </c>
      <c r="AG12" s="5" t="str">
        <f t="shared" si="9"/>
        <v/>
      </c>
      <c r="AH12" s="5" t="str">
        <f t="shared" si="10"/>
        <v/>
      </c>
      <c r="AI12" s="5">
        <f t="shared" si="11"/>
        <v>100</v>
      </c>
      <c r="AJ12" s="5">
        <f t="shared" si="12"/>
        <v>100</v>
      </c>
      <c r="AK12" s="5">
        <f t="shared" si="13"/>
        <v>100</v>
      </c>
    </row>
    <row r="13" spans="1:37" x14ac:dyDescent="0.25">
      <c r="A13" t="s">
        <v>32</v>
      </c>
      <c r="B13">
        <v>14</v>
      </c>
      <c r="C13">
        <v>5</v>
      </c>
      <c r="D13">
        <v>19</v>
      </c>
      <c r="E13" s="5"/>
      <c r="F13" s="5"/>
      <c r="G13" s="5"/>
      <c r="H13" s="5"/>
      <c r="I13" s="5"/>
      <c r="J13" s="5"/>
      <c r="K13" s="5">
        <v>100</v>
      </c>
      <c r="L13" s="5">
        <v>100</v>
      </c>
      <c r="M13" s="5">
        <v>100</v>
      </c>
      <c r="N13" s="3">
        <v>11</v>
      </c>
      <c r="O13" s="3">
        <v>10</v>
      </c>
      <c r="P13" s="3">
        <v>21</v>
      </c>
      <c r="Q13" s="5"/>
      <c r="R13" s="5"/>
      <c r="S13" s="5"/>
      <c r="T13" s="5"/>
      <c r="U13" s="5"/>
      <c r="V13" s="5"/>
      <c r="W13" s="5">
        <v>100</v>
      </c>
      <c r="X13" s="5">
        <v>100</v>
      </c>
      <c r="Y13" s="5">
        <v>100</v>
      </c>
      <c r="Z13" s="3">
        <f t="shared" si="2"/>
        <v>12.5</v>
      </c>
      <c r="AA13" s="3">
        <f t="shared" si="3"/>
        <v>7.5</v>
      </c>
      <c r="AB13" s="3">
        <f t="shared" si="4"/>
        <v>20</v>
      </c>
      <c r="AC13" s="5" t="str">
        <f t="shared" si="5"/>
        <v/>
      </c>
      <c r="AD13" s="5" t="str">
        <f t="shared" si="6"/>
        <v/>
      </c>
      <c r="AE13" s="5" t="str">
        <f t="shared" si="7"/>
        <v/>
      </c>
      <c r="AF13" s="5" t="str">
        <f t="shared" si="8"/>
        <v/>
      </c>
      <c r="AG13" s="5" t="str">
        <f t="shared" si="9"/>
        <v/>
      </c>
      <c r="AH13" s="5" t="str">
        <f t="shared" si="10"/>
        <v/>
      </c>
      <c r="AI13" s="5">
        <f t="shared" si="11"/>
        <v>100</v>
      </c>
      <c r="AJ13" s="5">
        <f t="shared" si="12"/>
        <v>100</v>
      </c>
      <c r="AK13" s="5">
        <f t="shared" si="13"/>
        <v>100</v>
      </c>
    </row>
    <row r="14" spans="1:37" x14ac:dyDescent="0.25">
      <c r="A14" t="s">
        <v>33</v>
      </c>
      <c r="B14">
        <v>10</v>
      </c>
      <c r="C14">
        <v>14</v>
      </c>
      <c r="D14">
        <v>24</v>
      </c>
      <c r="E14" s="5"/>
      <c r="F14" s="5"/>
      <c r="G14" s="5"/>
      <c r="H14" s="5"/>
      <c r="I14" s="5"/>
      <c r="J14" s="5"/>
      <c r="K14" s="5">
        <v>100</v>
      </c>
      <c r="L14" s="5">
        <v>100</v>
      </c>
      <c r="M14" s="5">
        <v>100</v>
      </c>
      <c r="N14" s="3">
        <v>8</v>
      </c>
      <c r="O14" s="3">
        <v>14</v>
      </c>
      <c r="P14" s="3">
        <v>22</v>
      </c>
      <c r="Q14" s="5"/>
      <c r="R14" s="5"/>
      <c r="S14" s="5"/>
      <c r="T14" s="5"/>
      <c r="U14" s="5"/>
      <c r="V14" s="5"/>
      <c r="W14" s="5">
        <v>100</v>
      </c>
      <c r="X14" s="5">
        <v>100</v>
      </c>
      <c r="Y14" s="5">
        <v>100</v>
      </c>
      <c r="Z14" s="3">
        <f t="shared" si="2"/>
        <v>9</v>
      </c>
      <c r="AA14" s="3">
        <f t="shared" si="3"/>
        <v>14</v>
      </c>
      <c r="AB14" s="3">
        <f t="shared" si="4"/>
        <v>23</v>
      </c>
      <c r="AC14" s="5" t="str">
        <f t="shared" si="5"/>
        <v/>
      </c>
      <c r="AD14" s="5" t="str">
        <f t="shared" si="6"/>
        <v/>
      </c>
      <c r="AE14" s="5" t="str">
        <f t="shared" si="7"/>
        <v/>
      </c>
      <c r="AF14" s="5" t="str">
        <f t="shared" si="8"/>
        <v/>
      </c>
      <c r="AG14" s="5" t="str">
        <f t="shared" si="9"/>
        <v/>
      </c>
      <c r="AH14" s="5" t="str">
        <f t="shared" si="10"/>
        <v/>
      </c>
      <c r="AI14" s="5">
        <f t="shared" si="11"/>
        <v>100</v>
      </c>
      <c r="AJ14" s="5">
        <f t="shared" si="12"/>
        <v>100</v>
      </c>
      <c r="AK14" s="5">
        <f t="shared" si="13"/>
        <v>100</v>
      </c>
    </row>
    <row r="15" spans="1:37" x14ac:dyDescent="0.25">
      <c r="A15" t="s">
        <v>34</v>
      </c>
      <c r="B15">
        <v>8</v>
      </c>
      <c r="C15">
        <v>9</v>
      </c>
      <c r="D15">
        <v>17</v>
      </c>
      <c r="E15" s="5"/>
      <c r="F15" s="5"/>
      <c r="G15" s="5"/>
      <c r="H15" s="5"/>
      <c r="I15" s="5"/>
      <c r="J15" s="5"/>
      <c r="K15" s="5">
        <v>100</v>
      </c>
      <c r="L15" s="5">
        <v>100</v>
      </c>
      <c r="M15" s="5">
        <v>100</v>
      </c>
      <c r="N15" s="3">
        <v>8</v>
      </c>
      <c r="O15" s="3">
        <v>11</v>
      </c>
      <c r="P15" s="3">
        <v>19</v>
      </c>
      <c r="Q15" s="5"/>
      <c r="R15" s="5"/>
      <c r="S15" s="5"/>
      <c r="T15" s="5"/>
      <c r="U15" s="5"/>
      <c r="V15" s="5"/>
      <c r="W15" s="5">
        <v>100</v>
      </c>
      <c r="X15" s="5">
        <v>100</v>
      </c>
      <c r="Y15" s="5">
        <v>100</v>
      </c>
      <c r="Z15" s="3">
        <f t="shared" si="2"/>
        <v>8</v>
      </c>
      <c r="AA15" s="3">
        <f t="shared" si="3"/>
        <v>10</v>
      </c>
      <c r="AB15" s="3">
        <f t="shared" si="4"/>
        <v>18</v>
      </c>
      <c r="AC15" s="5" t="str">
        <f t="shared" si="5"/>
        <v/>
      </c>
      <c r="AD15" s="5" t="str">
        <f t="shared" si="6"/>
        <v/>
      </c>
      <c r="AE15" s="5" t="str">
        <f t="shared" si="7"/>
        <v/>
      </c>
      <c r="AF15" s="5" t="str">
        <f t="shared" si="8"/>
        <v/>
      </c>
      <c r="AG15" s="5" t="str">
        <f t="shared" si="9"/>
        <v/>
      </c>
      <c r="AH15" s="5" t="str">
        <f t="shared" si="10"/>
        <v/>
      </c>
      <c r="AI15" s="5">
        <f t="shared" si="11"/>
        <v>100</v>
      </c>
      <c r="AJ15" s="5">
        <f t="shared" si="12"/>
        <v>100</v>
      </c>
      <c r="AK15" s="5">
        <f t="shared" si="13"/>
        <v>100</v>
      </c>
    </row>
    <row r="16" spans="1:37" x14ac:dyDescent="0.25">
      <c r="A16" t="s">
        <v>35</v>
      </c>
      <c r="B16">
        <v>4</v>
      </c>
      <c r="C16">
        <v>8</v>
      </c>
      <c r="D16">
        <v>12</v>
      </c>
      <c r="E16" s="5"/>
      <c r="F16" s="5"/>
      <c r="G16" s="5"/>
      <c r="H16" s="5"/>
      <c r="I16" s="5"/>
      <c r="J16" s="5"/>
      <c r="K16" s="5">
        <v>100</v>
      </c>
      <c r="L16" s="5">
        <v>100</v>
      </c>
      <c r="M16" s="5">
        <v>100</v>
      </c>
      <c r="N16" s="3">
        <v>7</v>
      </c>
      <c r="O16" s="3">
        <v>7</v>
      </c>
      <c r="P16" s="3">
        <v>14</v>
      </c>
      <c r="Q16" s="5"/>
      <c r="R16" s="5">
        <v>9.0909090909090917</v>
      </c>
      <c r="S16" s="5">
        <v>5.2631578947368416</v>
      </c>
      <c r="T16" s="5">
        <v>100</v>
      </c>
      <c r="U16" s="5">
        <v>90.909090909090907</v>
      </c>
      <c r="V16" s="5">
        <v>94.73684210526315</v>
      </c>
      <c r="W16" s="5"/>
      <c r="X16" s="5"/>
      <c r="Y16" s="5"/>
      <c r="Z16" s="3">
        <f t="shared" si="2"/>
        <v>5.5</v>
      </c>
      <c r="AA16" s="3">
        <f t="shared" si="3"/>
        <v>7.5</v>
      </c>
      <c r="AB16" s="3">
        <f t="shared" si="4"/>
        <v>13</v>
      </c>
      <c r="AC16" s="5" t="str">
        <f t="shared" si="5"/>
        <v/>
      </c>
      <c r="AD16" s="5">
        <f t="shared" si="6"/>
        <v>4.5454545454545459</v>
      </c>
      <c r="AE16" s="5">
        <f t="shared" si="7"/>
        <v>2.6315789473684208</v>
      </c>
      <c r="AF16" s="5">
        <f t="shared" si="8"/>
        <v>50</v>
      </c>
      <c r="AG16" s="5">
        <f t="shared" si="9"/>
        <v>45.454545454545453</v>
      </c>
      <c r="AH16" s="5">
        <f t="shared" si="10"/>
        <v>47.368421052631575</v>
      </c>
      <c r="AI16" s="5">
        <f t="shared" si="11"/>
        <v>50</v>
      </c>
      <c r="AJ16" s="5">
        <f t="shared" si="12"/>
        <v>50</v>
      </c>
      <c r="AK16" s="5">
        <f t="shared" si="13"/>
        <v>50</v>
      </c>
    </row>
    <row r="17" spans="1:37" x14ac:dyDescent="0.25">
      <c r="A17" t="s">
        <v>36</v>
      </c>
      <c r="B17">
        <v>5</v>
      </c>
      <c r="C17">
        <v>10</v>
      </c>
      <c r="D17">
        <v>15</v>
      </c>
      <c r="E17" s="5"/>
      <c r="F17" s="5"/>
      <c r="G17" s="5"/>
      <c r="H17" s="5"/>
      <c r="I17" s="5"/>
      <c r="J17" s="5"/>
      <c r="K17" s="5">
        <v>100</v>
      </c>
      <c r="L17" s="5">
        <v>100</v>
      </c>
      <c r="M17" s="5">
        <v>100</v>
      </c>
      <c r="N17" s="3">
        <v>8</v>
      </c>
      <c r="O17" s="3">
        <v>8</v>
      </c>
      <c r="P17" s="3">
        <v>16</v>
      </c>
      <c r="Q17" s="5">
        <v>14.285714285714285</v>
      </c>
      <c r="R17" s="5"/>
      <c r="S17" s="5">
        <v>9.0909090909090917</v>
      </c>
      <c r="T17" s="5">
        <v>57.142857142857139</v>
      </c>
      <c r="U17" s="5">
        <v>87.5</v>
      </c>
      <c r="V17" s="5">
        <v>68.181818181818173</v>
      </c>
      <c r="W17" s="5">
        <v>28.571428571428569</v>
      </c>
      <c r="X17" s="5">
        <v>12.5</v>
      </c>
      <c r="Y17" s="5">
        <v>22.727272727272727</v>
      </c>
      <c r="Z17" s="3">
        <f t="shared" si="2"/>
        <v>6.5</v>
      </c>
      <c r="AA17" s="3">
        <f t="shared" si="3"/>
        <v>9</v>
      </c>
      <c r="AB17" s="3">
        <f t="shared" si="4"/>
        <v>15.5</v>
      </c>
      <c r="AC17" s="5">
        <f t="shared" si="5"/>
        <v>7.1428571428571423</v>
      </c>
      <c r="AD17" s="5" t="str">
        <f t="shared" si="6"/>
        <v/>
      </c>
      <c r="AE17" s="5">
        <f t="shared" si="7"/>
        <v>4.5454545454545459</v>
      </c>
      <c r="AF17" s="5">
        <f t="shared" si="8"/>
        <v>28.571428571428569</v>
      </c>
      <c r="AG17" s="5">
        <f t="shared" si="9"/>
        <v>43.75</v>
      </c>
      <c r="AH17" s="5">
        <f t="shared" si="10"/>
        <v>34.090909090909086</v>
      </c>
      <c r="AI17" s="5">
        <f t="shared" si="11"/>
        <v>64.285714285714278</v>
      </c>
      <c r="AJ17" s="5">
        <f t="shared" si="12"/>
        <v>56.25</v>
      </c>
      <c r="AK17" s="5">
        <f t="shared" si="13"/>
        <v>61.36363636363636</v>
      </c>
    </row>
    <row r="18" spans="1:37" x14ac:dyDescent="0.25">
      <c r="A18" t="s">
        <v>37</v>
      </c>
      <c r="B18">
        <v>15</v>
      </c>
      <c r="C18">
        <v>9</v>
      </c>
      <c r="D18">
        <v>24</v>
      </c>
      <c r="E18" s="5"/>
      <c r="F18" s="5"/>
      <c r="G18" s="5"/>
      <c r="H18" s="5"/>
      <c r="I18" s="5"/>
      <c r="J18" s="5"/>
      <c r="K18" s="5">
        <v>100</v>
      </c>
      <c r="L18" s="5">
        <v>100</v>
      </c>
      <c r="M18" s="5">
        <v>100</v>
      </c>
      <c r="N18" s="3">
        <v>8</v>
      </c>
      <c r="O18" s="3">
        <v>11</v>
      </c>
      <c r="P18" s="3">
        <v>19</v>
      </c>
      <c r="Q18" s="5">
        <v>4.7619047619047619</v>
      </c>
      <c r="R18" s="5">
        <v>33.333333333333329</v>
      </c>
      <c r="S18" s="5">
        <v>13.333333333333334</v>
      </c>
      <c r="T18" s="5">
        <v>66.666666666666657</v>
      </c>
      <c r="U18" s="5">
        <v>33.333333333333329</v>
      </c>
      <c r="V18" s="5">
        <v>56.666666666666664</v>
      </c>
      <c r="W18" s="5">
        <v>28.571428571428569</v>
      </c>
      <c r="X18" s="5">
        <v>33.333333333333329</v>
      </c>
      <c r="Y18" s="5">
        <v>30</v>
      </c>
      <c r="Z18" s="3">
        <f t="shared" si="2"/>
        <v>11.5</v>
      </c>
      <c r="AA18" s="3">
        <f t="shared" si="3"/>
        <v>10</v>
      </c>
      <c r="AB18" s="3">
        <f t="shared" si="4"/>
        <v>21.5</v>
      </c>
      <c r="AC18" s="5">
        <f t="shared" si="5"/>
        <v>2.3809523809523809</v>
      </c>
      <c r="AD18" s="5">
        <f t="shared" si="6"/>
        <v>16.666666666666664</v>
      </c>
      <c r="AE18" s="5">
        <f t="shared" si="7"/>
        <v>6.666666666666667</v>
      </c>
      <c r="AF18" s="5">
        <f t="shared" si="8"/>
        <v>33.333333333333329</v>
      </c>
      <c r="AG18" s="5">
        <f t="shared" si="9"/>
        <v>16.666666666666664</v>
      </c>
      <c r="AH18" s="5">
        <f t="shared" si="10"/>
        <v>28.333333333333332</v>
      </c>
      <c r="AI18" s="5">
        <f t="shared" si="11"/>
        <v>64.285714285714278</v>
      </c>
      <c r="AJ18" s="5">
        <f t="shared" si="12"/>
        <v>66.666666666666657</v>
      </c>
      <c r="AK18" s="5">
        <f t="shared" si="13"/>
        <v>65</v>
      </c>
    </row>
    <row r="19" spans="1:37" x14ac:dyDescent="0.25">
      <c r="A19" t="s">
        <v>38</v>
      </c>
      <c r="B19">
        <v>3</v>
      </c>
      <c r="C19">
        <v>8</v>
      </c>
      <c r="D19">
        <v>11</v>
      </c>
      <c r="E19" s="5"/>
      <c r="F19" s="5"/>
      <c r="G19" s="5"/>
      <c r="H19" s="5">
        <v>33.333333333333329</v>
      </c>
      <c r="I19" s="5">
        <v>12.5</v>
      </c>
      <c r="J19" s="5">
        <v>18.181818181818183</v>
      </c>
      <c r="K19" s="5">
        <v>66.666666666666657</v>
      </c>
      <c r="L19" s="5">
        <v>87.5</v>
      </c>
      <c r="M19" s="5">
        <v>81.818181818181827</v>
      </c>
      <c r="N19" s="3">
        <v>14</v>
      </c>
      <c r="O19" s="3">
        <v>8</v>
      </c>
      <c r="P19" s="3">
        <v>22</v>
      </c>
      <c r="Q19" s="5">
        <v>29.807692307692307</v>
      </c>
      <c r="R19" s="5">
        <v>38.775510204081634</v>
      </c>
      <c r="S19" s="5">
        <v>34.158415841584159</v>
      </c>
      <c r="T19" s="5">
        <v>62.980769230769226</v>
      </c>
      <c r="U19" s="5">
        <v>58.673469387755105</v>
      </c>
      <c r="V19" s="5">
        <v>60.89108910891089</v>
      </c>
      <c r="W19" s="5">
        <v>7.2115384615384608</v>
      </c>
      <c r="X19" s="5">
        <v>2.5510204081632653</v>
      </c>
      <c r="Y19" s="5">
        <v>4.9504950495049505</v>
      </c>
      <c r="Z19" s="3">
        <f t="shared" si="2"/>
        <v>8.5</v>
      </c>
      <c r="AA19" s="3">
        <f t="shared" si="3"/>
        <v>8</v>
      </c>
      <c r="AB19" s="3">
        <f t="shared" si="4"/>
        <v>16.5</v>
      </c>
      <c r="AC19" s="5">
        <f t="shared" si="5"/>
        <v>14.903846153846153</v>
      </c>
      <c r="AD19" s="5">
        <f t="shared" si="6"/>
        <v>19.387755102040817</v>
      </c>
      <c r="AE19" s="5">
        <f t="shared" si="7"/>
        <v>17.079207920792079</v>
      </c>
      <c r="AF19" s="5">
        <f t="shared" si="8"/>
        <v>48.157051282051277</v>
      </c>
      <c r="AG19" s="5">
        <f t="shared" si="9"/>
        <v>35.586734693877553</v>
      </c>
      <c r="AH19" s="5">
        <f t="shared" si="10"/>
        <v>39.536453645364539</v>
      </c>
      <c r="AI19" s="5">
        <f t="shared" si="11"/>
        <v>36.939102564102562</v>
      </c>
      <c r="AJ19" s="5">
        <f t="shared" si="12"/>
        <v>45.025510204081634</v>
      </c>
      <c r="AK19" s="5">
        <f t="shared" si="13"/>
        <v>43.384338433843389</v>
      </c>
    </row>
    <row r="20" spans="1:37" x14ac:dyDescent="0.25">
      <c r="A20" t="s">
        <v>39</v>
      </c>
      <c r="B20">
        <v>16</v>
      </c>
      <c r="C20">
        <v>14</v>
      </c>
      <c r="D20">
        <v>30</v>
      </c>
      <c r="E20" s="5">
        <v>6.25</v>
      </c>
      <c r="F20" s="5">
        <v>14.285714285714285</v>
      </c>
      <c r="G20" s="5">
        <v>10</v>
      </c>
      <c r="H20" s="5">
        <v>56.25</v>
      </c>
      <c r="I20" s="5">
        <v>35.714285714285715</v>
      </c>
      <c r="J20" s="5">
        <v>46.666666666666664</v>
      </c>
      <c r="K20" s="5">
        <v>37.5</v>
      </c>
      <c r="L20" s="5">
        <v>50</v>
      </c>
      <c r="M20" s="5">
        <v>43.333333333333336</v>
      </c>
      <c r="N20" s="3">
        <v>21</v>
      </c>
      <c r="O20" s="3">
        <v>9</v>
      </c>
      <c r="P20" s="3">
        <v>30</v>
      </c>
      <c r="Q20" s="5">
        <v>54.232804232804234</v>
      </c>
      <c r="R20" s="5">
        <v>70.772946859903385</v>
      </c>
      <c r="S20" s="5">
        <v>62.878787878787875</v>
      </c>
      <c r="T20" s="5">
        <v>14.814814814814813</v>
      </c>
      <c r="U20" s="5">
        <v>17.391304347826086</v>
      </c>
      <c r="V20" s="5">
        <v>16.161616161616163</v>
      </c>
      <c r="W20" s="5">
        <v>30.952380952380953</v>
      </c>
      <c r="X20" s="5">
        <v>11.835748792270531</v>
      </c>
      <c r="Y20" s="5">
        <v>20.959595959595958</v>
      </c>
      <c r="Z20" s="3">
        <f t="shared" si="2"/>
        <v>18.5</v>
      </c>
      <c r="AA20" s="3">
        <f t="shared" si="3"/>
        <v>11.5</v>
      </c>
      <c r="AB20" s="3">
        <f t="shared" si="4"/>
        <v>30</v>
      </c>
      <c r="AC20" s="5">
        <f t="shared" si="5"/>
        <v>30.241402116402117</v>
      </c>
      <c r="AD20" s="5">
        <f t="shared" si="6"/>
        <v>42.529330572808831</v>
      </c>
      <c r="AE20" s="5">
        <f t="shared" si="7"/>
        <v>36.439393939393938</v>
      </c>
      <c r="AF20" s="5">
        <f t="shared" si="8"/>
        <v>35.532407407407405</v>
      </c>
      <c r="AG20" s="5">
        <f t="shared" si="9"/>
        <v>26.552795031055901</v>
      </c>
      <c r="AH20" s="5">
        <f t="shared" si="10"/>
        <v>31.414141414141412</v>
      </c>
      <c r="AI20" s="5">
        <f t="shared" si="11"/>
        <v>34.226190476190474</v>
      </c>
      <c r="AJ20" s="5">
        <f t="shared" si="12"/>
        <v>30.917874396135264</v>
      </c>
      <c r="AK20" s="5">
        <f t="shared" si="13"/>
        <v>32.146464646464651</v>
      </c>
    </row>
    <row r="21" spans="1:37" x14ac:dyDescent="0.25">
      <c r="A21" t="s">
        <v>40</v>
      </c>
      <c r="B21">
        <v>190</v>
      </c>
      <c r="C21">
        <v>176</v>
      </c>
      <c r="D21">
        <v>366</v>
      </c>
      <c r="E21" s="5">
        <v>18.421052631578945</v>
      </c>
      <c r="F21" s="5">
        <v>34.659090909090914</v>
      </c>
      <c r="G21" s="5">
        <v>26.229508196721312</v>
      </c>
      <c r="H21" s="5">
        <v>44.736842105263158</v>
      </c>
      <c r="I21" s="5">
        <v>30.681818181818183</v>
      </c>
      <c r="J21" s="5">
        <v>37.978142076502728</v>
      </c>
      <c r="K21" s="5">
        <v>36.84210526315789</v>
      </c>
      <c r="L21" s="5">
        <v>34.659090909090914</v>
      </c>
      <c r="M21" s="5">
        <v>35.79234972677596</v>
      </c>
      <c r="N21" s="3">
        <v>208</v>
      </c>
      <c r="O21" s="3">
        <v>196</v>
      </c>
      <c r="P21" s="3">
        <v>404</v>
      </c>
      <c r="Q21" s="5">
        <v>63.300492610837431</v>
      </c>
      <c r="R21" s="5">
        <v>63.888888888888886</v>
      </c>
      <c r="S21" s="5">
        <v>63.603818615751791</v>
      </c>
      <c r="T21" s="5">
        <v>24.630541871921181</v>
      </c>
      <c r="U21" s="5">
        <v>21.75925925925926</v>
      </c>
      <c r="V21" s="5">
        <v>23.150357995226731</v>
      </c>
      <c r="W21" s="5">
        <v>12.068965517241379</v>
      </c>
      <c r="X21" s="5">
        <v>14.351851851851851</v>
      </c>
      <c r="Y21" s="5">
        <v>13.24582338902148</v>
      </c>
      <c r="Z21" s="3">
        <f t="shared" si="2"/>
        <v>199</v>
      </c>
      <c r="AA21" s="3">
        <f t="shared" si="3"/>
        <v>186</v>
      </c>
      <c r="AB21" s="3">
        <f t="shared" si="4"/>
        <v>385</v>
      </c>
      <c r="AC21" s="5">
        <f t="shared" si="5"/>
        <v>40.860772621208184</v>
      </c>
      <c r="AD21" s="5">
        <f t="shared" si="6"/>
        <v>49.273989898989896</v>
      </c>
      <c r="AE21" s="5">
        <f t="shared" si="7"/>
        <v>44.916663406236552</v>
      </c>
      <c r="AF21" s="5">
        <f t="shared" si="8"/>
        <v>34.683691988592173</v>
      </c>
      <c r="AG21" s="5">
        <f t="shared" si="9"/>
        <v>26.22053872053872</v>
      </c>
      <c r="AH21" s="5">
        <f t="shared" si="10"/>
        <v>30.564250035864731</v>
      </c>
      <c r="AI21" s="5">
        <f t="shared" si="11"/>
        <v>24.455535390199636</v>
      </c>
      <c r="AJ21" s="5">
        <f t="shared" si="12"/>
        <v>24.505471380471384</v>
      </c>
      <c r="AK21" s="5">
        <f t="shared" si="13"/>
        <v>24.519086557898721</v>
      </c>
    </row>
    <row r="22" spans="1:37" x14ac:dyDescent="0.25">
      <c r="A22" t="s">
        <v>41</v>
      </c>
      <c r="B22">
        <v>283</v>
      </c>
      <c r="C22">
        <v>287</v>
      </c>
      <c r="D22">
        <v>570</v>
      </c>
      <c r="E22" s="5">
        <v>59.717314487632514</v>
      </c>
      <c r="F22" s="5">
        <v>70.383275261324044</v>
      </c>
      <c r="G22" s="5">
        <v>65.087719298245617</v>
      </c>
      <c r="H22" s="5">
        <v>18.727915194346288</v>
      </c>
      <c r="I22" s="5">
        <v>15.6794425087108</v>
      </c>
      <c r="J22" s="5">
        <v>17.192982456140353</v>
      </c>
      <c r="K22" s="5">
        <v>21.554770318021202</v>
      </c>
      <c r="L22" s="5">
        <v>13.937282229965156</v>
      </c>
      <c r="M22" s="5">
        <v>17.719298245614034</v>
      </c>
      <c r="N22" s="3">
        <v>378</v>
      </c>
      <c r="O22" s="3">
        <v>414</v>
      </c>
      <c r="P22" s="3">
        <v>792</v>
      </c>
      <c r="Q22" s="5">
        <v>49.812734082397</v>
      </c>
      <c r="R22" s="5">
        <v>54.54545454545454</v>
      </c>
      <c r="S22" s="5">
        <v>52.214022140221402</v>
      </c>
      <c r="T22" s="5">
        <v>41.573033707865171</v>
      </c>
      <c r="U22" s="5">
        <v>40</v>
      </c>
      <c r="V22" s="5">
        <v>40.774907749077485</v>
      </c>
      <c r="W22" s="5">
        <v>8.6142322097378283</v>
      </c>
      <c r="X22" s="5">
        <v>5.4545454545454541</v>
      </c>
      <c r="Y22" s="5">
        <v>7.0110701107011062</v>
      </c>
      <c r="Z22" s="3">
        <f t="shared" si="2"/>
        <v>330.5</v>
      </c>
      <c r="AA22" s="3">
        <f t="shared" si="3"/>
        <v>350.5</v>
      </c>
      <c r="AB22" s="3">
        <f t="shared" si="4"/>
        <v>681</v>
      </c>
      <c r="AC22" s="5">
        <f t="shared" si="5"/>
        <v>54.765024285014761</v>
      </c>
      <c r="AD22" s="5">
        <f t="shared" si="6"/>
        <v>62.464364903389296</v>
      </c>
      <c r="AE22" s="5">
        <f t="shared" si="7"/>
        <v>58.650870719233509</v>
      </c>
      <c r="AF22" s="5">
        <f t="shared" si="8"/>
        <v>30.15047445110573</v>
      </c>
      <c r="AG22" s="5">
        <f t="shared" si="9"/>
        <v>27.8397212543554</v>
      </c>
      <c r="AH22" s="5">
        <f t="shared" si="10"/>
        <v>28.983945102608921</v>
      </c>
      <c r="AI22" s="5">
        <f t="shared" si="11"/>
        <v>15.084501263879515</v>
      </c>
      <c r="AJ22" s="5">
        <f t="shared" si="12"/>
        <v>9.6959138422553046</v>
      </c>
      <c r="AK22" s="5">
        <f t="shared" si="13"/>
        <v>12.36518417815757</v>
      </c>
    </row>
    <row r="23" spans="1:37" x14ac:dyDescent="0.25">
      <c r="A23" t="s">
        <v>42</v>
      </c>
      <c r="B23">
        <v>305</v>
      </c>
      <c r="C23">
        <v>291</v>
      </c>
      <c r="D23">
        <v>596</v>
      </c>
      <c r="E23" s="5">
        <v>58.688524590163937</v>
      </c>
      <c r="F23" s="5">
        <v>69.072164948453604</v>
      </c>
      <c r="G23" s="5">
        <v>63.758389261744966</v>
      </c>
      <c r="H23" s="5">
        <v>22.622950819672131</v>
      </c>
      <c r="I23" s="5">
        <v>13.402061855670103</v>
      </c>
      <c r="J23" s="5">
        <v>18.120805369127517</v>
      </c>
      <c r="K23" s="5">
        <v>18.688524590163937</v>
      </c>
      <c r="L23" s="5">
        <v>17.525773195876287</v>
      </c>
      <c r="M23" s="5">
        <v>18.120805369127517</v>
      </c>
      <c r="N23" s="3">
        <v>406</v>
      </c>
      <c r="O23" s="3">
        <v>432</v>
      </c>
      <c r="P23" s="3">
        <v>838</v>
      </c>
      <c r="Q23" s="5">
        <v>48.165137614678898</v>
      </c>
      <c r="R23" s="5">
        <v>43.627450980392155</v>
      </c>
      <c r="S23" s="5">
        <v>45.97156398104265</v>
      </c>
      <c r="T23" s="5">
        <v>41.284403669724774</v>
      </c>
      <c r="U23" s="5">
        <v>48.529411764705884</v>
      </c>
      <c r="V23" s="5">
        <v>44.786729857819907</v>
      </c>
      <c r="W23" s="5">
        <v>10.550458715596331</v>
      </c>
      <c r="X23" s="5">
        <v>7.8431372549019605</v>
      </c>
      <c r="Y23" s="5">
        <v>9.24170616113744</v>
      </c>
      <c r="Z23" s="3">
        <f t="shared" si="2"/>
        <v>355.5</v>
      </c>
      <c r="AA23" s="3">
        <f t="shared" si="3"/>
        <v>361.5</v>
      </c>
      <c r="AB23" s="3">
        <f t="shared" si="4"/>
        <v>717</v>
      </c>
      <c r="AC23" s="5">
        <f t="shared" si="5"/>
        <v>53.426831102421417</v>
      </c>
      <c r="AD23" s="5">
        <f t="shared" si="6"/>
        <v>56.34980796442288</v>
      </c>
      <c r="AE23" s="5">
        <f t="shared" si="7"/>
        <v>54.864976621393808</v>
      </c>
      <c r="AF23" s="5">
        <f t="shared" si="8"/>
        <v>31.953677244698454</v>
      </c>
      <c r="AG23" s="5">
        <f t="shared" si="9"/>
        <v>30.965736810187995</v>
      </c>
      <c r="AH23" s="5">
        <f t="shared" si="10"/>
        <v>31.453767613473712</v>
      </c>
      <c r="AI23" s="5">
        <f t="shared" si="11"/>
        <v>14.619491652880134</v>
      </c>
      <c r="AJ23" s="5">
        <f t="shared" si="12"/>
        <v>12.684455225389124</v>
      </c>
      <c r="AK23" s="5">
        <f t="shared" si="13"/>
        <v>13.681255765132478</v>
      </c>
    </row>
    <row r="24" spans="1:37" x14ac:dyDescent="0.25">
      <c r="A24" t="s">
        <v>43</v>
      </c>
      <c r="B24">
        <v>231</v>
      </c>
      <c r="C24">
        <v>197</v>
      </c>
      <c r="D24">
        <v>428</v>
      </c>
      <c r="E24" s="5">
        <v>56.277056277056282</v>
      </c>
      <c r="F24" s="5">
        <v>53.299492385786806</v>
      </c>
      <c r="G24" s="5">
        <v>54.90654205607477</v>
      </c>
      <c r="H24" s="5">
        <v>26.406926406926406</v>
      </c>
      <c r="I24" s="5">
        <v>29.441624365482234</v>
      </c>
      <c r="J24" s="5">
        <v>27.803738317757009</v>
      </c>
      <c r="K24" s="5">
        <v>17.316017316017316</v>
      </c>
      <c r="L24" s="5">
        <v>17.258883248730964</v>
      </c>
      <c r="M24" s="5">
        <v>17.289719626168225</v>
      </c>
      <c r="N24" s="3">
        <v>267</v>
      </c>
      <c r="O24" s="3">
        <v>275</v>
      </c>
      <c r="P24" s="3">
        <v>542</v>
      </c>
      <c r="Q24" s="5">
        <v>44.210526315789473</v>
      </c>
      <c r="R24" s="5">
        <v>48.837209302325576</v>
      </c>
      <c r="S24" s="5">
        <v>46.081504702194358</v>
      </c>
      <c r="T24" s="5">
        <v>48.947368421052637</v>
      </c>
      <c r="U24" s="5">
        <v>44.186046511627907</v>
      </c>
      <c r="V24" s="5">
        <v>47.021943573667713</v>
      </c>
      <c r="W24" s="5">
        <v>6.8421052631578956</v>
      </c>
      <c r="X24" s="5">
        <v>6.9767441860465116</v>
      </c>
      <c r="Y24" s="5">
        <v>6.8965517241379306</v>
      </c>
      <c r="Z24" s="3">
        <f t="shared" si="2"/>
        <v>249</v>
      </c>
      <c r="AA24" s="3">
        <f t="shared" si="3"/>
        <v>236</v>
      </c>
      <c r="AB24" s="3">
        <f t="shared" si="4"/>
        <v>485</v>
      </c>
      <c r="AC24" s="5">
        <f t="shared" si="5"/>
        <v>50.243791296422877</v>
      </c>
      <c r="AD24" s="5">
        <f t="shared" si="6"/>
        <v>51.068350844056191</v>
      </c>
      <c r="AE24" s="5">
        <f t="shared" si="7"/>
        <v>50.494023379134561</v>
      </c>
      <c r="AF24" s="5">
        <f t="shared" si="8"/>
        <v>37.677147413989523</v>
      </c>
      <c r="AG24" s="5">
        <f t="shared" si="9"/>
        <v>36.813835438555074</v>
      </c>
      <c r="AH24" s="5">
        <f t="shared" si="10"/>
        <v>37.412840945712361</v>
      </c>
      <c r="AI24" s="5">
        <f t="shared" si="11"/>
        <v>12.079061289587607</v>
      </c>
      <c r="AJ24" s="5">
        <f t="shared" si="12"/>
        <v>12.117813717388739</v>
      </c>
      <c r="AK24" s="5">
        <f t="shared" si="13"/>
        <v>12.093135675153079</v>
      </c>
    </row>
    <row r="25" spans="1:37" x14ac:dyDescent="0.25">
      <c r="A25" t="s">
        <v>44</v>
      </c>
      <c r="B25">
        <v>199</v>
      </c>
      <c r="C25">
        <v>188</v>
      </c>
      <c r="D25">
        <v>387</v>
      </c>
      <c r="E25" s="5">
        <v>49.748743718592962</v>
      </c>
      <c r="F25" s="5">
        <v>46.808510638297875</v>
      </c>
      <c r="G25" s="5">
        <v>48.320413436692505</v>
      </c>
      <c r="H25" s="5">
        <v>42.211055276381906</v>
      </c>
      <c r="I25" s="5">
        <v>35.638297872340424</v>
      </c>
      <c r="J25" s="5">
        <v>39.018087855297154</v>
      </c>
      <c r="K25" s="5">
        <v>8.0402010050251249</v>
      </c>
      <c r="L25" s="5">
        <v>17.553191489361701</v>
      </c>
      <c r="M25" s="5">
        <v>12.661498708010335</v>
      </c>
      <c r="N25" s="3">
        <v>218</v>
      </c>
      <c r="O25" s="3">
        <v>204</v>
      </c>
      <c r="P25" s="3">
        <v>422</v>
      </c>
      <c r="Q25" s="5">
        <v>50.318471337579616</v>
      </c>
      <c r="R25" s="5">
        <v>51.111111111111107</v>
      </c>
      <c r="S25" s="5">
        <v>50.684931506849317</v>
      </c>
      <c r="T25" s="5">
        <v>40.764331210191088</v>
      </c>
      <c r="U25" s="5">
        <v>36.296296296296298</v>
      </c>
      <c r="V25" s="5">
        <v>38.698630136986303</v>
      </c>
      <c r="W25" s="5">
        <v>8.9171974522292992</v>
      </c>
      <c r="X25" s="5">
        <v>12.592592592592592</v>
      </c>
      <c r="Y25" s="5">
        <v>10.616438356164384</v>
      </c>
      <c r="Z25" s="3">
        <f t="shared" si="2"/>
        <v>208.5</v>
      </c>
      <c r="AA25" s="3">
        <f t="shared" si="3"/>
        <v>196</v>
      </c>
      <c r="AB25" s="3">
        <f t="shared" si="4"/>
        <v>404.5</v>
      </c>
      <c r="AC25" s="5">
        <f t="shared" si="5"/>
        <v>50.033607528086293</v>
      </c>
      <c r="AD25" s="5">
        <f t="shared" si="6"/>
        <v>48.959810874704488</v>
      </c>
      <c r="AE25" s="5">
        <f t="shared" si="7"/>
        <v>49.502672471770907</v>
      </c>
      <c r="AF25" s="5">
        <f t="shared" si="8"/>
        <v>41.4876932432865</v>
      </c>
      <c r="AG25" s="5">
        <f t="shared" si="9"/>
        <v>35.967297084318361</v>
      </c>
      <c r="AH25" s="5">
        <f t="shared" si="10"/>
        <v>38.858358996141732</v>
      </c>
      <c r="AI25" s="5">
        <f t="shared" si="11"/>
        <v>8.478699228627212</v>
      </c>
      <c r="AJ25" s="5">
        <f t="shared" si="12"/>
        <v>15.072892040977147</v>
      </c>
      <c r="AK25" s="5">
        <f t="shared" si="13"/>
        <v>11.638968532087359</v>
      </c>
    </row>
    <row r="26" spans="1:37" x14ac:dyDescent="0.25">
      <c r="A26" t="s">
        <v>45</v>
      </c>
      <c r="B26">
        <v>169</v>
      </c>
      <c r="C26">
        <v>196</v>
      </c>
      <c r="D26">
        <v>365</v>
      </c>
      <c r="E26" s="5">
        <v>52.071005917159766</v>
      </c>
      <c r="F26" s="5">
        <v>45.91836734693878</v>
      </c>
      <c r="G26" s="5">
        <v>48.767123287671232</v>
      </c>
      <c r="H26" s="5">
        <v>30.177514792899409</v>
      </c>
      <c r="I26" s="5">
        <v>44.387755102040813</v>
      </c>
      <c r="J26" s="5">
        <v>37.80821917808219</v>
      </c>
      <c r="K26" s="5">
        <v>17.751479289940828</v>
      </c>
      <c r="L26" s="5">
        <v>9.6938775510204085</v>
      </c>
      <c r="M26" s="5">
        <v>13.424657534246576</v>
      </c>
      <c r="N26" s="3">
        <v>190</v>
      </c>
      <c r="O26" s="3">
        <v>129</v>
      </c>
      <c r="P26" s="3">
        <v>319</v>
      </c>
      <c r="Q26" s="5">
        <v>54.421768707482997</v>
      </c>
      <c r="R26" s="5">
        <v>61.417322834645674</v>
      </c>
      <c r="S26" s="5">
        <v>57.664233576642332</v>
      </c>
      <c r="T26" s="5">
        <v>33.333333333333329</v>
      </c>
      <c r="U26" s="5">
        <v>27.559055118110237</v>
      </c>
      <c r="V26" s="5">
        <v>30.656934306569344</v>
      </c>
      <c r="W26" s="5">
        <v>12.244897959183673</v>
      </c>
      <c r="X26" s="5">
        <v>11.023622047244094</v>
      </c>
      <c r="Y26" s="5">
        <v>11.678832116788321</v>
      </c>
      <c r="Z26" s="3">
        <f t="shared" si="2"/>
        <v>179.5</v>
      </c>
      <c r="AA26" s="3">
        <f t="shared" si="3"/>
        <v>162.5</v>
      </c>
      <c r="AB26" s="3">
        <f t="shared" si="4"/>
        <v>342</v>
      </c>
      <c r="AC26" s="5">
        <f t="shared" si="5"/>
        <v>53.246387312321382</v>
      </c>
      <c r="AD26" s="5">
        <f t="shared" si="6"/>
        <v>53.667845090792227</v>
      </c>
      <c r="AE26" s="5">
        <f t="shared" si="7"/>
        <v>53.215678432156778</v>
      </c>
      <c r="AF26" s="5">
        <f t="shared" si="8"/>
        <v>31.755424063116369</v>
      </c>
      <c r="AG26" s="5">
        <f t="shared" si="9"/>
        <v>35.973405110075525</v>
      </c>
      <c r="AH26" s="5">
        <f t="shared" si="10"/>
        <v>34.232576742325769</v>
      </c>
      <c r="AI26" s="5">
        <f t="shared" si="11"/>
        <v>14.99818862456225</v>
      </c>
      <c r="AJ26" s="5">
        <f t="shared" si="12"/>
        <v>10.358749799132251</v>
      </c>
      <c r="AK26" s="5">
        <f t="shared" si="13"/>
        <v>12.551744825517449</v>
      </c>
    </row>
    <row r="27" spans="1:37" x14ac:dyDescent="0.25">
      <c r="A27" t="s">
        <v>46</v>
      </c>
      <c r="B27">
        <v>177</v>
      </c>
      <c r="C27">
        <v>141</v>
      </c>
      <c r="D27">
        <v>318</v>
      </c>
      <c r="E27" s="5">
        <v>54.802259887005647</v>
      </c>
      <c r="F27" s="5">
        <v>43.262411347517734</v>
      </c>
      <c r="G27" s="5">
        <v>49.685534591194966</v>
      </c>
      <c r="H27" s="5">
        <v>36.158192090395481</v>
      </c>
      <c r="I27" s="5">
        <v>37.588652482269502</v>
      </c>
      <c r="J27" s="5">
        <v>36.79245283018868</v>
      </c>
      <c r="K27" s="5">
        <v>9.0395480225988702</v>
      </c>
      <c r="L27" s="5">
        <v>19.148936170212767</v>
      </c>
      <c r="M27" s="5">
        <v>13.522012578616351</v>
      </c>
      <c r="N27" s="3">
        <v>157</v>
      </c>
      <c r="O27" s="3">
        <v>135</v>
      </c>
      <c r="P27" s="3">
        <v>292</v>
      </c>
      <c r="Q27" s="5">
        <v>62.765957446808507</v>
      </c>
      <c r="R27" s="5">
        <v>79.166666666666657</v>
      </c>
      <c r="S27" s="5">
        <v>69.879518072289159</v>
      </c>
      <c r="T27" s="5">
        <v>21.276595744680851</v>
      </c>
      <c r="U27" s="5">
        <v>15.277777777777779</v>
      </c>
      <c r="V27" s="5">
        <v>18.674698795180721</v>
      </c>
      <c r="W27" s="5">
        <v>15.957446808510639</v>
      </c>
      <c r="X27" s="5">
        <v>5.5555555555555554</v>
      </c>
      <c r="Y27" s="5">
        <v>11.445783132530121</v>
      </c>
      <c r="Z27" s="3">
        <f t="shared" si="2"/>
        <v>167</v>
      </c>
      <c r="AA27" s="3">
        <f t="shared" si="3"/>
        <v>138</v>
      </c>
      <c r="AB27" s="3">
        <f t="shared" si="4"/>
        <v>305</v>
      </c>
      <c r="AC27" s="5">
        <f t="shared" si="5"/>
        <v>58.784108666907073</v>
      </c>
      <c r="AD27" s="5">
        <f t="shared" si="6"/>
        <v>61.214539007092199</v>
      </c>
      <c r="AE27" s="5">
        <f t="shared" si="7"/>
        <v>59.782526331742062</v>
      </c>
      <c r="AF27" s="5">
        <f t="shared" si="8"/>
        <v>28.717393917538168</v>
      </c>
      <c r="AG27" s="5">
        <f t="shared" si="9"/>
        <v>26.43321513002364</v>
      </c>
      <c r="AH27" s="5">
        <f t="shared" si="10"/>
        <v>27.733575812684698</v>
      </c>
      <c r="AI27" s="5">
        <f t="shared" si="11"/>
        <v>12.498497415554755</v>
      </c>
      <c r="AJ27" s="5">
        <f t="shared" si="12"/>
        <v>12.35224586288416</v>
      </c>
      <c r="AK27" s="5">
        <f t="shared" si="13"/>
        <v>12.483897855573236</v>
      </c>
    </row>
    <row r="28" spans="1:37" x14ac:dyDescent="0.25">
      <c r="A28" t="s">
        <v>47</v>
      </c>
      <c r="B28">
        <v>155</v>
      </c>
      <c r="C28">
        <v>102</v>
      </c>
      <c r="D28">
        <v>257</v>
      </c>
      <c r="E28" s="5">
        <v>54.193548387096783</v>
      </c>
      <c r="F28" s="5">
        <v>55.882352941176471</v>
      </c>
      <c r="G28" s="5">
        <v>54.863813229571988</v>
      </c>
      <c r="H28" s="5">
        <v>33.548387096774199</v>
      </c>
      <c r="I28" s="5">
        <v>21.568627450980394</v>
      </c>
      <c r="J28" s="5">
        <v>28.793774319066145</v>
      </c>
      <c r="K28" s="5">
        <v>12.258064516129032</v>
      </c>
      <c r="L28" s="5">
        <v>22.549019607843139</v>
      </c>
      <c r="M28" s="5">
        <v>16.342412451361866</v>
      </c>
      <c r="N28" s="3">
        <v>147</v>
      </c>
      <c r="O28" s="3">
        <v>127</v>
      </c>
      <c r="P28" s="3">
        <v>274</v>
      </c>
      <c r="Q28" s="5">
        <v>66.981132075471692</v>
      </c>
      <c r="R28" s="5">
        <v>73.4375</v>
      </c>
      <c r="S28" s="5">
        <v>69.411764705882348</v>
      </c>
      <c r="T28" s="5">
        <v>22.641509433962266</v>
      </c>
      <c r="U28" s="5">
        <v>10.9375</v>
      </c>
      <c r="V28" s="5">
        <v>18.235294117647058</v>
      </c>
      <c r="W28" s="5">
        <v>10.377358490566039</v>
      </c>
      <c r="X28" s="5">
        <v>15.625</v>
      </c>
      <c r="Y28" s="5">
        <v>12.352941176470589</v>
      </c>
      <c r="Z28" s="3">
        <f t="shared" si="2"/>
        <v>151</v>
      </c>
      <c r="AA28" s="3">
        <f t="shared" si="3"/>
        <v>114.5</v>
      </c>
      <c r="AB28" s="3">
        <f t="shared" si="4"/>
        <v>265.5</v>
      </c>
      <c r="AC28" s="5">
        <f t="shared" si="5"/>
        <v>60.587340231284237</v>
      </c>
      <c r="AD28" s="5">
        <f t="shared" si="6"/>
        <v>64.659926470588232</v>
      </c>
      <c r="AE28" s="5">
        <f t="shared" si="7"/>
        <v>62.137788967727168</v>
      </c>
      <c r="AF28" s="5">
        <f t="shared" si="8"/>
        <v>28.094948265368231</v>
      </c>
      <c r="AG28" s="5">
        <f t="shared" si="9"/>
        <v>16.253063725490197</v>
      </c>
      <c r="AH28" s="5">
        <f t="shared" si="10"/>
        <v>23.514534218356602</v>
      </c>
      <c r="AI28" s="5">
        <f t="shared" si="11"/>
        <v>11.317711503347535</v>
      </c>
      <c r="AJ28" s="5">
        <f t="shared" si="12"/>
        <v>19.087009803921568</v>
      </c>
      <c r="AK28" s="5">
        <f t="shared" si="13"/>
        <v>14.347676813916227</v>
      </c>
    </row>
    <row r="29" spans="1:37" x14ac:dyDescent="0.25">
      <c r="A29" t="s">
        <v>48</v>
      </c>
      <c r="B29">
        <v>125</v>
      </c>
      <c r="C29">
        <v>98</v>
      </c>
      <c r="D29">
        <v>223</v>
      </c>
      <c r="E29" s="5">
        <v>56.8</v>
      </c>
      <c r="F29" s="5">
        <v>62.244897959183675</v>
      </c>
      <c r="G29" s="5">
        <v>59.192825112107627</v>
      </c>
      <c r="H29" s="5">
        <v>20</v>
      </c>
      <c r="I29" s="5">
        <v>23.469387755102041</v>
      </c>
      <c r="J29" s="5">
        <v>21.524663677130047</v>
      </c>
      <c r="K29" s="5">
        <v>23.200000000000003</v>
      </c>
      <c r="L29" s="5">
        <v>14.285714285714285</v>
      </c>
      <c r="M29" s="5">
        <v>19.282511210762333</v>
      </c>
      <c r="N29" s="3">
        <v>94</v>
      </c>
      <c r="O29" s="3">
        <v>72</v>
      </c>
      <c r="P29" s="3">
        <v>166</v>
      </c>
      <c r="Q29" s="5">
        <v>65.151515151515156</v>
      </c>
      <c r="R29" s="5">
        <v>61.111111111111114</v>
      </c>
      <c r="S29" s="5">
        <v>63.333333333333329</v>
      </c>
      <c r="T29" s="5">
        <v>10.606060606060606</v>
      </c>
      <c r="U29" s="5">
        <v>12.962962962962962</v>
      </c>
      <c r="V29" s="5">
        <v>11.666666666666666</v>
      </c>
      <c r="W29" s="5">
        <v>24.242424242424242</v>
      </c>
      <c r="X29" s="5">
        <v>25.925925925925924</v>
      </c>
      <c r="Y29" s="5">
        <v>25</v>
      </c>
      <c r="Z29" s="3">
        <f t="shared" si="2"/>
        <v>109.5</v>
      </c>
      <c r="AA29" s="3">
        <f t="shared" si="3"/>
        <v>85</v>
      </c>
      <c r="AB29" s="3">
        <f t="shared" si="4"/>
        <v>194.5</v>
      </c>
      <c r="AC29" s="5">
        <f t="shared" si="5"/>
        <v>60.975757575757576</v>
      </c>
      <c r="AD29" s="5">
        <f t="shared" si="6"/>
        <v>61.678004535147394</v>
      </c>
      <c r="AE29" s="5">
        <f t="shared" si="7"/>
        <v>61.263079222720478</v>
      </c>
      <c r="AF29" s="5">
        <f t="shared" si="8"/>
        <v>15.303030303030303</v>
      </c>
      <c r="AG29" s="5">
        <f t="shared" si="9"/>
        <v>18.216175359032501</v>
      </c>
      <c r="AH29" s="5">
        <f t="shared" si="10"/>
        <v>16.595665171898357</v>
      </c>
      <c r="AI29" s="5">
        <f t="shared" si="11"/>
        <v>23.721212121212123</v>
      </c>
      <c r="AJ29" s="5">
        <f t="shared" si="12"/>
        <v>20.105820105820104</v>
      </c>
      <c r="AK29" s="5">
        <f t="shared" si="13"/>
        <v>22.141255605381168</v>
      </c>
    </row>
    <row r="30" spans="1:37" x14ac:dyDescent="0.25">
      <c r="A30" t="s">
        <v>49</v>
      </c>
      <c r="B30">
        <v>61</v>
      </c>
      <c r="C30">
        <v>66</v>
      </c>
      <c r="D30">
        <v>127</v>
      </c>
      <c r="E30" s="5">
        <v>62.295081967213115</v>
      </c>
      <c r="F30" s="5">
        <v>59.090909090909093</v>
      </c>
      <c r="G30" s="5">
        <v>60.629921259842526</v>
      </c>
      <c r="H30" s="5">
        <v>21.311475409836063</v>
      </c>
      <c r="I30" s="5">
        <v>21.212121212121211</v>
      </c>
      <c r="J30" s="5">
        <v>21.259842519685041</v>
      </c>
      <c r="K30" s="5">
        <v>16.393442622950818</v>
      </c>
      <c r="L30" s="5">
        <v>19.696969696969695</v>
      </c>
      <c r="M30" s="5">
        <v>18.110236220472441</v>
      </c>
      <c r="N30" s="3">
        <v>106</v>
      </c>
      <c r="O30" s="3">
        <v>64</v>
      </c>
      <c r="P30" s="3">
        <v>170</v>
      </c>
      <c r="Q30" s="5">
        <v>56.338028169014088</v>
      </c>
      <c r="R30" s="5">
        <v>60.416666666666664</v>
      </c>
      <c r="S30" s="5">
        <v>57.983193277310932</v>
      </c>
      <c r="T30" s="5">
        <v>14.084507042253522</v>
      </c>
      <c r="U30" s="5">
        <v>14.583333333333334</v>
      </c>
      <c r="V30" s="5">
        <v>14.285714285714285</v>
      </c>
      <c r="W30" s="5">
        <v>29.577464788732392</v>
      </c>
      <c r="X30" s="5">
        <v>25</v>
      </c>
      <c r="Y30" s="5">
        <v>27.731092436974791</v>
      </c>
      <c r="Z30" s="3">
        <f t="shared" si="2"/>
        <v>83.5</v>
      </c>
      <c r="AA30" s="3">
        <f t="shared" si="3"/>
        <v>65</v>
      </c>
      <c r="AB30" s="3">
        <f t="shared" si="4"/>
        <v>148.5</v>
      </c>
      <c r="AC30" s="5">
        <f t="shared" si="5"/>
        <v>59.316555068113601</v>
      </c>
      <c r="AD30" s="5">
        <f t="shared" si="6"/>
        <v>59.753787878787875</v>
      </c>
      <c r="AE30" s="5">
        <f t="shared" si="7"/>
        <v>59.306557268576725</v>
      </c>
      <c r="AF30" s="5">
        <f t="shared" si="8"/>
        <v>17.697991226044792</v>
      </c>
      <c r="AG30" s="5">
        <f t="shared" si="9"/>
        <v>17.897727272727273</v>
      </c>
      <c r="AH30" s="5">
        <f t="shared" si="10"/>
        <v>17.772778402699664</v>
      </c>
      <c r="AI30" s="5">
        <f t="shared" si="11"/>
        <v>22.985453705841607</v>
      </c>
      <c r="AJ30" s="5">
        <f t="shared" si="12"/>
        <v>22.348484848484848</v>
      </c>
      <c r="AK30" s="5">
        <f t="shared" si="13"/>
        <v>22.920664328723618</v>
      </c>
    </row>
    <row r="31" spans="1:37" x14ac:dyDescent="0.25">
      <c r="A31" t="s">
        <v>50</v>
      </c>
      <c r="B31">
        <v>81</v>
      </c>
      <c r="C31">
        <v>73</v>
      </c>
      <c r="D31">
        <v>154</v>
      </c>
      <c r="E31" s="5">
        <v>67.901234567901241</v>
      </c>
      <c r="F31" s="5">
        <v>73.972602739726028</v>
      </c>
      <c r="G31" s="5">
        <v>70.779220779220779</v>
      </c>
      <c r="H31" s="5">
        <v>13.580246913580247</v>
      </c>
      <c r="I31" s="5">
        <v>8.2191780821917799</v>
      </c>
      <c r="J31" s="5">
        <v>11.038961038961039</v>
      </c>
      <c r="K31" s="5">
        <v>18.518518518518519</v>
      </c>
      <c r="L31" s="5">
        <v>17.80821917808219</v>
      </c>
      <c r="M31" s="5">
        <v>18.181818181818183</v>
      </c>
      <c r="N31" s="3">
        <v>66</v>
      </c>
      <c r="O31" s="3">
        <v>54</v>
      </c>
      <c r="P31" s="3">
        <v>120</v>
      </c>
      <c r="Q31" s="5">
        <v>67.796610169491515</v>
      </c>
      <c r="R31" s="5">
        <v>59.523809523809526</v>
      </c>
      <c r="S31" s="5">
        <v>64.356435643564353</v>
      </c>
      <c r="T31" s="5">
        <v>6.7796610169491522</v>
      </c>
      <c r="U31" s="5">
        <v>11.904761904761903</v>
      </c>
      <c r="V31" s="5">
        <v>8.9108910891089099</v>
      </c>
      <c r="W31" s="5">
        <v>25.423728813559322</v>
      </c>
      <c r="X31" s="5">
        <v>28.571428571428569</v>
      </c>
      <c r="Y31" s="5">
        <v>26.732673267326735</v>
      </c>
      <c r="Z31" s="3">
        <f t="shared" si="2"/>
        <v>73.5</v>
      </c>
      <c r="AA31" s="3">
        <f t="shared" si="3"/>
        <v>63.5</v>
      </c>
      <c r="AB31" s="3">
        <f t="shared" si="4"/>
        <v>137</v>
      </c>
      <c r="AC31" s="5">
        <f t="shared" si="5"/>
        <v>67.848922368696378</v>
      </c>
      <c r="AD31" s="5">
        <f t="shared" si="6"/>
        <v>66.748206131767773</v>
      </c>
      <c r="AE31" s="5">
        <f t="shared" si="7"/>
        <v>67.567828211392566</v>
      </c>
      <c r="AF31" s="5">
        <f t="shared" si="8"/>
        <v>10.1799539652647</v>
      </c>
      <c r="AG31" s="5">
        <f t="shared" si="9"/>
        <v>10.061969993476842</v>
      </c>
      <c r="AH31" s="5">
        <f t="shared" si="10"/>
        <v>9.9749260640349746</v>
      </c>
      <c r="AI31" s="5">
        <f t="shared" si="11"/>
        <v>21.97112366603892</v>
      </c>
      <c r="AJ31" s="5">
        <f t="shared" si="12"/>
        <v>23.18982387475538</v>
      </c>
      <c r="AK31" s="5">
        <f t="shared" si="13"/>
        <v>22.457245724572459</v>
      </c>
    </row>
    <row r="32" spans="1:37" x14ac:dyDescent="0.25">
      <c r="A32" t="s">
        <v>51</v>
      </c>
      <c r="B32">
        <v>58</v>
      </c>
      <c r="C32">
        <v>52</v>
      </c>
      <c r="D32">
        <v>110</v>
      </c>
      <c r="E32" s="5">
        <v>68.965517241379317</v>
      </c>
      <c r="F32" s="5">
        <v>71.15384615384616</v>
      </c>
      <c r="G32" s="5">
        <v>70</v>
      </c>
      <c r="H32" s="5">
        <v>3.4482758620689653</v>
      </c>
      <c r="I32" s="5">
        <v>5.7692307692307692</v>
      </c>
      <c r="J32" s="5">
        <v>4.5454545454545459</v>
      </c>
      <c r="K32" s="5">
        <v>27.586206896551722</v>
      </c>
      <c r="L32" s="5">
        <v>23.076923076923077</v>
      </c>
      <c r="M32" s="5">
        <v>25.454545454545453</v>
      </c>
      <c r="N32" s="3">
        <v>71</v>
      </c>
      <c r="O32" s="3">
        <v>48</v>
      </c>
      <c r="P32" s="3">
        <v>119</v>
      </c>
      <c r="Q32" s="5">
        <v>78.94736842105263</v>
      </c>
      <c r="R32" s="5">
        <v>68.421052631578945</v>
      </c>
      <c r="S32" s="5">
        <v>74.73684210526315</v>
      </c>
      <c r="T32" s="5">
        <v>5.2631578947368416</v>
      </c>
      <c r="U32" s="5">
        <v>5.2631578947368416</v>
      </c>
      <c r="V32" s="5">
        <v>5.2631578947368416</v>
      </c>
      <c r="W32" s="5">
        <v>15.789473684210526</v>
      </c>
      <c r="X32" s="5">
        <v>26.315789473684209</v>
      </c>
      <c r="Y32" s="5">
        <v>20</v>
      </c>
      <c r="Z32" s="3">
        <f t="shared" si="2"/>
        <v>64.5</v>
      </c>
      <c r="AA32" s="3">
        <f t="shared" si="3"/>
        <v>50</v>
      </c>
      <c r="AB32" s="3">
        <f t="shared" si="4"/>
        <v>114.5</v>
      </c>
      <c r="AC32" s="5">
        <f t="shared" si="5"/>
        <v>73.956442831215981</v>
      </c>
      <c r="AD32" s="5">
        <f t="shared" si="6"/>
        <v>69.787449392712546</v>
      </c>
      <c r="AE32" s="5">
        <f t="shared" si="7"/>
        <v>72.368421052631575</v>
      </c>
      <c r="AF32" s="5">
        <f t="shared" si="8"/>
        <v>4.3557168784029034</v>
      </c>
      <c r="AG32" s="5">
        <f t="shared" si="9"/>
        <v>5.5161943319838054</v>
      </c>
      <c r="AH32" s="5">
        <f t="shared" si="10"/>
        <v>4.9043062200956937</v>
      </c>
      <c r="AI32" s="5">
        <f t="shared" si="11"/>
        <v>21.687840290381125</v>
      </c>
      <c r="AJ32" s="5">
        <f t="shared" si="12"/>
        <v>24.696356275303643</v>
      </c>
      <c r="AK32" s="5">
        <f t="shared" si="13"/>
        <v>22.727272727272727</v>
      </c>
    </row>
    <row r="33" spans="1:37" x14ac:dyDescent="0.25">
      <c r="A33" t="s">
        <v>52</v>
      </c>
      <c r="B33">
        <v>51</v>
      </c>
      <c r="C33">
        <v>41</v>
      </c>
      <c r="D33">
        <v>92</v>
      </c>
      <c r="E33" s="5">
        <v>72.549019607843135</v>
      </c>
      <c r="F33" s="5">
        <v>65.853658536585371</v>
      </c>
      <c r="G33" s="5">
        <v>69.565217391304344</v>
      </c>
      <c r="H33" s="5">
        <v>3.9215686274509802</v>
      </c>
      <c r="I33" s="5">
        <v>4.8780487804878048</v>
      </c>
      <c r="J33" s="5">
        <v>4.3478260869565215</v>
      </c>
      <c r="K33" s="5">
        <v>23.52941176470588</v>
      </c>
      <c r="L33" s="5">
        <v>29.268292682926827</v>
      </c>
      <c r="M33" s="5">
        <v>26.086956521739129</v>
      </c>
      <c r="N33" s="3">
        <v>59</v>
      </c>
      <c r="O33" s="3">
        <v>42</v>
      </c>
      <c r="P33" s="3">
        <v>101</v>
      </c>
      <c r="Q33" s="5">
        <v>62.962962962962962</v>
      </c>
      <c r="R33" s="5">
        <v>76.08695652173914</v>
      </c>
      <c r="S33" s="5">
        <v>69</v>
      </c>
      <c r="T33" s="5">
        <v>18.518518518518519</v>
      </c>
      <c r="U33" s="5">
        <v>4.3478260869565215</v>
      </c>
      <c r="V33" s="5">
        <v>12</v>
      </c>
      <c r="W33" s="5">
        <v>18.518518518518519</v>
      </c>
      <c r="X33" s="5">
        <v>19.565217391304348</v>
      </c>
      <c r="Y33" s="5">
        <v>19</v>
      </c>
      <c r="Z33" s="3">
        <f t="shared" si="2"/>
        <v>55</v>
      </c>
      <c r="AA33" s="3">
        <f t="shared" si="3"/>
        <v>41.5</v>
      </c>
      <c r="AB33" s="3">
        <f t="shared" si="4"/>
        <v>96.5</v>
      </c>
      <c r="AC33" s="5">
        <f t="shared" si="5"/>
        <v>67.755991285403042</v>
      </c>
      <c r="AD33" s="5">
        <f t="shared" si="6"/>
        <v>70.970307529162255</v>
      </c>
      <c r="AE33" s="5">
        <f t="shared" si="7"/>
        <v>69.282608695652172</v>
      </c>
      <c r="AF33" s="5">
        <f t="shared" si="8"/>
        <v>11.22004357298475</v>
      </c>
      <c r="AG33" s="5">
        <f t="shared" si="9"/>
        <v>4.6129374337221627</v>
      </c>
      <c r="AH33" s="5">
        <f t="shared" si="10"/>
        <v>8.1739130434782616</v>
      </c>
      <c r="AI33" s="5">
        <f t="shared" si="11"/>
        <v>21.023965141612202</v>
      </c>
      <c r="AJ33" s="5">
        <f t="shared" si="12"/>
        <v>24.416755037115585</v>
      </c>
      <c r="AK33" s="5">
        <f t="shared" si="13"/>
        <v>22.543478260869563</v>
      </c>
    </row>
    <row r="34" spans="1:37" x14ac:dyDescent="0.25">
      <c r="A34" t="s">
        <v>53</v>
      </c>
      <c r="B34">
        <v>50</v>
      </c>
      <c r="C34">
        <v>27</v>
      </c>
      <c r="D34">
        <v>77</v>
      </c>
      <c r="E34" s="5">
        <v>68</v>
      </c>
      <c r="F34" s="5">
        <v>70.370370370370367</v>
      </c>
      <c r="G34" s="5">
        <v>68.831168831168839</v>
      </c>
      <c r="H34" s="5">
        <v>8</v>
      </c>
      <c r="I34" s="5">
        <v>7.4074074074074066</v>
      </c>
      <c r="J34" s="5">
        <v>7.7922077922077921</v>
      </c>
      <c r="K34" s="5">
        <v>24</v>
      </c>
      <c r="L34" s="5">
        <v>22.222222222222221</v>
      </c>
      <c r="M34" s="5">
        <v>23.376623376623375</v>
      </c>
      <c r="N34" s="3">
        <v>57</v>
      </c>
      <c r="O34" s="3">
        <v>38</v>
      </c>
      <c r="P34" s="3">
        <v>95</v>
      </c>
      <c r="Q34" s="5">
        <v>75.675675675675677</v>
      </c>
      <c r="R34" s="5">
        <v>66.666666666666657</v>
      </c>
      <c r="S34" s="5">
        <v>71.875</v>
      </c>
      <c r="T34" s="5">
        <v>5.4054054054054053</v>
      </c>
      <c r="U34" s="5">
        <v>3.7037037037037033</v>
      </c>
      <c r="V34" s="5">
        <v>4.6875</v>
      </c>
      <c r="W34" s="5">
        <v>18.918918918918919</v>
      </c>
      <c r="X34" s="5">
        <v>29.629629629629626</v>
      </c>
      <c r="Y34" s="5">
        <v>23.4375</v>
      </c>
      <c r="Z34" s="3">
        <f t="shared" si="2"/>
        <v>53.5</v>
      </c>
      <c r="AA34" s="3">
        <f t="shared" si="3"/>
        <v>32.5</v>
      </c>
      <c r="AB34" s="3">
        <f t="shared" si="4"/>
        <v>86</v>
      </c>
      <c r="AC34" s="5">
        <f t="shared" si="5"/>
        <v>71.837837837837839</v>
      </c>
      <c r="AD34" s="5">
        <f t="shared" si="6"/>
        <v>68.518518518518505</v>
      </c>
      <c r="AE34" s="5">
        <f t="shared" si="7"/>
        <v>70.353084415584419</v>
      </c>
      <c r="AF34" s="5">
        <f t="shared" si="8"/>
        <v>6.7027027027027026</v>
      </c>
      <c r="AG34" s="5">
        <f t="shared" si="9"/>
        <v>5.5555555555555554</v>
      </c>
      <c r="AH34" s="5">
        <f t="shared" si="10"/>
        <v>6.2398538961038961</v>
      </c>
      <c r="AI34" s="5">
        <f t="shared" si="11"/>
        <v>21.45945945945946</v>
      </c>
      <c r="AJ34" s="5">
        <f t="shared" si="12"/>
        <v>25.925925925925924</v>
      </c>
      <c r="AK34" s="5">
        <f t="shared" si="13"/>
        <v>23.407061688311686</v>
      </c>
    </row>
    <row r="35" spans="1:37" x14ac:dyDescent="0.25">
      <c r="A35" t="s">
        <v>54</v>
      </c>
      <c r="B35">
        <v>46</v>
      </c>
      <c r="C35">
        <v>31</v>
      </c>
      <c r="D35">
        <v>77</v>
      </c>
      <c r="E35" s="5">
        <v>78.260869565217391</v>
      </c>
      <c r="F35" s="5">
        <v>74.193548387096769</v>
      </c>
      <c r="G35" s="5">
        <v>76.623376623376629</v>
      </c>
      <c r="H35" s="5">
        <v>2.1739130434782608</v>
      </c>
      <c r="I35" s="5"/>
      <c r="J35" s="5">
        <v>1.2987012987012987</v>
      </c>
      <c r="K35" s="5">
        <v>19.565217391304348</v>
      </c>
      <c r="L35" s="5">
        <v>25.806451612903224</v>
      </c>
      <c r="M35" s="5">
        <v>22.077922077922079</v>
      </c>
      <c r="N35" s="3">
        <v>54</v>
      </c>
      <c r="O35" s="3">
        <v>46</v>
      </c>
      <c r="P35" s="3">
        <v>100</v>
      </c>
      <c r="Q35" s="5">
        <v>61.363636363636367</v>
      </c>
      <c r="R35" s="5">
        <v>76.19047619047619</v>
      </c>
      <c r="S35" s="5">
        <v>66.153846153846146</v>
      </c>
      <c r="T35" s="5">
        <v>9.0909090909090917</v>
      </c>
      <c r="U35" s="5">
        <v>4.7619047619047619</v>
      </c>
      <c r="V35" s="5">
        <v>7.6923076923076925</v>
      </c>
      <c r="W35" s="5">
        <v>29.545454545454547</v>
      </c>
      <c r="X35" s="5">
        <v>19.047619047619047</v>
      </c>
      <c r="Y35" s="5">
        <v>26.153846153846157</v>
      </c>
      <c r="Z35" s="3">
        <f t="shared" si="2"/>
        <v>50</v>
      </c>
      <c r="AA35" s="3">
        <f t="shared" si="3"/>
        <v>38.5</v>
      </c>
      <c r="AB35" s="3">
        <f t="shared" si="4"/>
        <v>88.5</v>
      </c>
      <c r="AC35" s="5">
        <f t="shared" si="5"/>
        <v>69.812252964426875</v>
      </c>
      <c r="AD35" s="5">
        <f t="shared" si="6"/>
        <v>75.192012288786486</v>
      </c>
      <c r="AE35" s="5">
        <f t="shared" si="7"/>
        <v>71.388611388611395</v>
      </c>
      <c r="AF35" s="5">
        <f t="shared" si="8"/>
        <v>5.6324110671936758</v>
      </c>
      <c r="AG35" s="5">
        <f t="shared" si="9"/>
        <v>2.3809523809523809</v>
      </c>
      <c r="AH35" s="5">
        <f t="shared" si="10"/>
        <v>4.4955044955044956</v>
      </c>
      <c r="AI35" s="5">
        <f t="shared" si="11"/>
        <v>24.555335968379445</v>
      </c>
      <c r="AJ35" s="5">
        <f t="shared" si="12"/>
        <v>22.427035330261134</v>
      </c>
      <c r="AK35" s="5">
        <f t="shared" si="13"/>
        <v>24.115884115884118</v>
      </c>
    </row>
    <row r="36" spans="1:37" x14ac:dyDescent="0.25">
      <c r="A36" t="s">
        <v>55</v>
      </c>
      <c r="B36">
        <v>33</v>
      </c>
      <c r="C36">
        <v>35</v>
      </c>
      <c r="D36">
        <v>68</v>
      </c>
      <c r="E36" s="5">
        <v>81.818181818181827</v>
      </c>
      <c r="F36" s="5">
        <v>71.428571428571431</v>
      </c>
      <c r="G36" s="5">
        <v>76.470588235294116</v>
      </c>
      <c r="H36" s="5">
        <v>9.0909090909090917</v>
      </c>
      <c r="I36" s="5"/>
      <c r="J36" s="5">
        <v>4.4117647058823533</v>
      </c>
      <c r="K36" s="5">
        <v>9.0909090909090917</v>
      </c>
      <c r="L36" s="5">
        <v>28.571428571428569</v>
      </c>
      <c r="M36" s="5">
        <v>19.117647058823529</v>
      </c>
      <c r="N36" s="3">
        <v>37</v>
      </c>
      <c r="O36" s="3">
        <v>27</v>
      </c>
      <c r="P36" s="3">
        <v>64</v>
      </c>
      <c r="Q36" s="5">
        <v>67.64705882352942</v>
      </c>
      <c r="R36" s="5">
        <v>66.666666666666657</v>
      </c>
      <c r="S36" s="5">
        <v>67.1875</v>
      </c>
      <c r="T36" s="5">
        <v>2.9411764705882351</v>
      </c>
      <c r="U36" s="5"/>
      <c r="V36" s="5">
        <v>1.5625</v>
      </c>
      <c r="W36" s="5">
        <v>29.411764705882355</v>
      </c>
      <c r="X36" s="5">
        <v>33.333333333333329</v>
      </c>
      <c r="Y36" s="5">
        <v>31.25</v>
      </c>
      <c r="Z36" s="3">
        <f t="shared" si="2"/>
        <v>35</v>
      </c>
      <c r="AA36" s="3">
        <f t="shared" si="3"/>
        <v>31</v>
      </c>
      <c r="AB36" s="3">
        <f t="shared" si="4"/>
        <v>66</v>
      </c>
      <c r="AC36" s="5">
        <f t="shared" si="5"/>
        <v>74.732620320855631</v>
      </c>
      <c r="AD36" s="5">
        <f t="shared" si="6"/>
        <v>69.047619047619037</v>
      </c>
      <c r="AE36" s="5">
        <f t="shared" si="7"/>
        <v>71.829044117647058</v>
      </c>
      <c r="AF36" s="5">
        <f t="shared" si="8"/>
        <v>6.0160427807486636</v>
      </c>
      <c r="AG36" s="5" t="str">
        <f t="shared" si="9"/>
        <v/>
      </c>
      <c r="AH36" s="5">
        <f t="shared" si="10"/>
        <v>2.9871323529411766</v>
      </c>
      <c r="AI36" s="5">
        <f t="shared" si="11"/>
        <v>19.251336898395724</v>
      </c>
      <c r="AJ36" s="5">
        <f t="shared" si="12"/>
        <v>30.952380952380949</v>
      </c>
      <c r="AK36" s="5">
        <f t="shared" si="13"/>
        <v>25.183823529411764</v>
      </c>
    </row>
    <row r="37" spans="1:37" x14ac:dyDescent="0.25">
      <c r="A37" t="s">
        <v>56</v>
      </c>
      <c r="B37">
        <v>31</v>
      </c>
      <c r="C37">
        <v>21</v>
      </c>
      <c r="D37">
        <v>52</v>
      </c>
      <c r="E37" s="5">
        <v>70.967741935483872</v>
      </c>
      <c r="F37" s="5">
        <v>80.952380952380949</v>
      </c>
      <c r="G37" s="5">
        <v>75</v>
      </c>
      <c r="H37" s="5"/>
      <c r="I37" s="5">
        <v>4.7619047619047619</v>
      </c>
      <c r="J37" s="5">
        <v>1.9230769230769231</v>
      </c>
      <c r="K37" s="5">
        <v>29.032258064516132</v>
      </c>
      <c r="L37" s="5">
        <v>14.285714285714285</v>
      </c>
      <c r="M37" s="5">
        <v>23.076923076923077</v>
      </c>
      <c r="N37" s="3">
        <v>44</v>
      </c>
      <c r="O37" s="3">
        <v>21</v>
      </c>
      <c r="P37" s="3">
        <v>65</v>
      </c>
      <c r="Q37" s="5">
        <v>78.260869565217391</v>
      </c>
      <c r="R37" s="5">
        <v>88.235294117647058</v>
      </c>
      <c r="S37" s="5">
        <v>82.5</v>
      </c>
      <c r="T37" s="5"/>
      <c r="U37" s="5">
        <v>5.8823529411764701</v>
      </c>
      <c r="V37" s="5">
        <v>2.5</v>
      </c>
      <c r="W37" s="5">
        <v>21.739130434782609</v>
      </c>
      <c r="X37" s="5">
        <v>5.8823529411764701</v>
      </c>
      <c r="Y37" s="5">
        <v>15</v>
      </c>
      <c r="Z37" s="3">
        <f t="shared" si="2"/>
        <v>37.5</v>
      </c>
      <c r="AA37" s="3">
        <f t="shared" si="3"/>
        <v>21</v>
      </c>
      <c r="AB37" s="3">
        <f t="shared" si="4"/>
        <v>58.5</v>
      </c>
      <c r="AC37" s="5">
        <f t="shared" si="5"/>
        <v>74.614305750350638</v>
      </c>
      <c r="AD37" s="5">
        <f t="shared" si="6"/>
        <v>84.593837535014003</v>
      </c>
      <c r="AE37" s="5">
        <f t="shared" si="7"/>
        <v>78.75</v>
      </c>
      <c r="AF37" s="5" t="str">
        <f t="shared" si="8"/>
        <v/>
      </c>
      <c r="AG37" s="5">
        <f t="shared" si="9"/>
        <v>5.322128851540616</v>
      </c>
      <c r="AH37" s="5">
        <f t="shared" si="10"/>
        <v>2.2115384615384617</v>
      </c>
      <c r="AI37" s="5">
        <f t="shared" si="11"/>
        <v>25.385694249649369</v>
      </c>
      <c r="AJ37" s="5">
        <f t="shared" si="12"/>
        <v>10.084033613445378</v>
      </c>
      <c r="AK37" s="5">
        <f t="shared" si="13"/>
        <v>19.03846153846154</v>
      </c>
    </row>
    <row r="38" spans="1:37" x14ac:dyDescent="0.25">
      <c r="A38" t="s">
        <v>57</v>
      </c>
      <c r="B38">
        <v>32</v>
      </c>
      <c r="C38">
        <v>21</v>
      </c>
      <c r="D38">
        <v>53</v>
      </c>
      <c r="E38" s="5">
        <v>59.375</v>
      </c>
      <c r="F38" s="5">
        <v>52.380952380952387</v>
      </c>
      <c r="G38" s="5">
        <v>56.60377358490566</v>
      </c>
      <c r="H38" s="5">
        <v>6.25</v>
      </c>
      <c r="I38" s="5">
        <v>9.5238095238095237</v>
      </c>
      <c r="J38" s="5">
        <v>7.5471698113207548</v>
      </c>
      <c r="K38" s="5">
        <v>34.375</v>
      </c>
      <c r="L38" s="5">
        <v>38.095238095238095</v>
      </c>
      <c r="M38" s="5">
        <v>35.849056603773583</v>
      </c>
      <c r="N38" s="3">
        <v>34</v>
      </c>
      <c r="O38" s="3">
        <v>30</v>
      </c>
      <c r="P38" s="3">
        <v>64</v>
      </c>
      <c r="Q38" s="5">
        <v>61.904761904761905</v>
      </c>
      <c r="R38" s="5">
        <v>69.230769230769226</v>
      </c>
      <c r="S38" s="5">
        <v>64.705882352941174</v>
      </c>
      <c r="T38" s="5">
        <v>9.5238095238095237</v>
      </c>
      <c r="U38" s="5"/>
      <c r="V38" s="5">
        <v>5.8823529411764701</v>
      </c>
      <c r="W38" s="5">
        <v>28.571428571428569</v>
      </c>
      <c r="X38" s="5">
        <v>30.76923076923077</v>
      </c>
      <c r="Y38" s="5">
        <v>29.411764705882355</v>
      </c>
      <c r="Z38" s="3">
        <f t="shared" si="2"/>
        <v>33</v>
      </c>
      <c r="AA38" s="3">
        <f t="shared" si="3"/>
        <v>25.5</v>
      </c>
      <c r="AB38" s="3">
        <f t="shared" si="4"/>
        <v>58.5</v>
      </c>
      <c r="AC38" s="5">
        <f t="shared" si="5"/>
        <v>60.639880952380949</v>
      </c>
      <c r="AD38" s="5">
        <f t="shared" si="6"/>
        <v>60.805860805860803</v>
      </c>
      <c r="AE38" s="5">
        <f t="shared" si="7"/>
        <v>60.654827968923414</v>
      </c>
      <c r="AF38" s="5">
        <f t="shared" si="8"/>
        <v>7.8869047619047619</v>
      </c>
      <c r="AG38" s="5">
        <f t="shared" si="9"/>
        <v>4.7619047619047619</v>
      </c>
      <c r="AH38" s="5">
        <f t="shared" si="10"/>
        <v>6.714761376248612</v>
      </c>
      <c r="AI38" s="5">
        <f t="shared" si="11"/>
        <v>31.473214285714285</v>
      </c>
      <c r="AJ38" s="5">
        <f t="shared" si="12"/>
        <v>34.432234432234431</v>
      </c>
      <c r="AK38" s="5">
        <f t="shared" si="13"/>
        <v>32.630410654827969</v>
      </c>
    </row>
    <row r="39" spans="1:37" x14ac:dyDescent="0.25">
      <c r="A39" t="s">
        <v>58</v>
      </c>
      <c r="B39">
        <v>21</v>
      </c>
      <c r="C39">
        <v>13</v>
      </c>
      <c r="D39">
        <v>34</v>
      </c>
      <c r="E39" s="5">
        <v>66.666666666666657</v>
      </c>
      <c r="F39" s="5">
        <v>69.230769230769226</v>
      </c>
      <c r="G39" s="5">
        <v>67.64705882352942</v>
      </c>
      <c r="H39" s="5">
        <v>4.7619047619047619</v>
      </c>
      <c r="I39" s="5"/>
      <c r="J39" s="5">
        <v>2.9411764705882351</v>
      </c>
      <c r="K39" s="5">
        <v>28.571428571428569</v>
      </c>
      <c r="L39" s="5">
        <v>30.76923076923077</v>
      </c>
      <c r="M39" s="5">
        <v>29.411764705882355</v>
      </c>
      <c r="N39" s="3">
        <v>23</v>
      </c>
      <c r="O39" s="3">
        <v>17</v>
      </c>
      <c r="P39" s="3">
        <v>40</v>
      </c>
      <c r="Q39" s="5">
        <v>68.75</v>
      </c>
      <c r="R39" s="5">
        <v>76.923076923076934</v>
      </c>
      <c r="S39" s="5">
        <v>72.41379310344827</v>
      </c>
      <c r="T39" s="5"/>
      <c r="U39" s="5"/>
      <c r="V39" s="5"/>
      <c r="W39" s="5">
        <v>31.25</v>
      </c>
      <c r="X39" s="5">
        <v>23.076923076923077</v>
      </c>
      <c r="Y39" s="5">
        <v>27.586206896551722</v>
      </c>
      <c r="Z39" s="3">
        <f t="shared" si="2"/>
        <v>22</v>
      </c>
      <c r="AA39" s="3">
        <f t="shared" si="3"/>
        <v>15</v>
      </c>
      <c r="AB39" s="3">
        <f t="shared" si="4"/>
        <v>37</v>
      </c>
      <c r="AC39" s="5">
        <f t="shared" si="5"/>
        <v>67.708333333333329</v>
      </c>
      <c r="AD39" s="5">
        <f t="shared" si="6"/>
        <v>73.07692307692308</v>
      </c>
      <c r="AE39" s="5">
        <f t="shared" si="7"/>
        <v>70.030425963488852</v>
      </c>
      <c r="AF39" s="5">
        <f t="shared" si="8"/>
        <v>2.3809523809523809</v>
      </c>
      <c r="AG39" s="5" t="str">
        <f t="shared" si="9"/>
        <v/>
      </c>
      <c r="AH39" s="5">
        <f t="shared" si="10"/>
        <v>1.4705882352941175</v>
      </c>
      <c r="AI39" s="5">
        <f t="shared" si="11"/>
        <v>29.910714285714285</v>
      </c>
      <c r="AJ39" s="5">
        <f t="shared" si="12"/>
        <v>26.923076923076923</v>
      </c>
      <c r="AK39" s="5">
        <f t="shared" si="13"/>
        <v>28.498985801217039</v>
      </c>
    </row>
    <row r="40" spans="1:37" x14ac:dyDescent="0.25">
      <c r="A40" t="s">
        <v>59</v>
      </c>
      <c r="B40">
        <v>15</v>
      </c>
      <c r="C40">
        <v>9</v>
      </c>
      <c r="D40">
        <v>24</v>
      </c>
      <c r="E40" s="5">
        <v>66.666666666666657</v>
      </c>
      <c r="F40" s="5">
        <v>66.666666666666657</v>
      </c>
      <c r="G40" s="5">
        <v>66.666666666666657</v>
      </c>
      <c r="H40" s="5"/>
      <c r="I40" s="5">
        <v>11.111111111111111</v>
      </c>
      <c r="J40" s="5">
        <v>4.1666666666666661</v>
      </c>
      <c r="K40" s="5">
        <v>33.333333333333329</v>
      </c>
      <c r="L40" s="5">
        <v>22.222222222222221</v>
      </c>
      <c r="M40" s="5">
        <v>29.166666666666668</v>
      </c>
      <c r="N40" s="3">
        <v>21</v>
      </c>
      <c r="O40" s="3">
        <v>13</v>
      </c>
      <c r="P40" s="3">
        <v>34</v>
      </c>
      <c r="Q40" s="5">
        <v>70.833333333333343</v>
      </c>
      <c r="R40" s="5">
        <v>70.588235294117652</v>
      </c>
      <c r="S40" s="5">
        <v>70.731707317073173</v>
      </c>
      <c r="T40" s="5">
        <v>8.3333333333333321</v>
      </c>
      <c r="U40" s="5"/>
      <c r="V40" s="5">
        <v>4.8780487804878048</v>
      </c>
      <c r="W40" s="5">
        <v>20.833333333333336</v>
      </c>
      <c r="X40" s="5">
        <v>29.411764705882355</v>
      </c>
      <c r="Y40" s="5">
        <v>24.390243902439025</v>
      </c>
      <c r="Z40" s="3">
        <f t="shared" si="2"/>
        <v>18</v>
      </c>
      <c r="AA40" s="3">
        <f t="shared" si="3"/>
        <v>11</v>
      </c>
      <c r="AB40" s="3">
        <f t="shared" si="4"/>
        <v>29</v>
      </c>
      <c r="AC40" s="5">
        <f t="shared" si="5"/>
        <v>68.75</v>
      </c>
      <c r="AD40" s="5">
        <f t="shared" si="6"/>
        <v>68.627450980392155</v>
      </c>
      <c r="AE40" s="5">
        <f t="shared" si="7"/>
        <v>68.699186991869908</v>
      </c>
      <c r="AF40" s="5">
        <f t="shared" si="8"/>
        <v>4.1666666666666661</v>
      </c>
      <c r="AG40" s="5">
        <f t="shared" si="9"/>
        <v>5.5555555555555554</v>
      </c>
      <c r="AH40" s="5">
        <f t="shared" si="10"/>
        <v>4.522357723577235</v>
      </c>
      <c r="AI40" s="5">
        <f t="shared" si="11"/>
        <v>27.083333333333332</v>
      </c>
      <c r="AJ40" s="5">
        <f t="shared" si="12"/>
        <v>25.816993464052288</v>
      </c>
      <c r="AK40" s="5">
        <f t="shared" si="13"/>
        <v>26.778455284552848</v>
      </c>
    </row>
    <row r="41" spans="1:37" x14ac:dyDescent="0.25">
      <c r="A41" t="s">
        <v>60</v>
      </c>
      <c r="B41">
        <v>21</v>
      </c>
      <c r="C41">
        <v>9</v>
      </c>
      <c r="D41">
        <v>30</v>
      </c>
      <c r="E41" s="5">
        <v>38.095238095238095</v>
      </c>
      <c r="F41" s="5">
        <v>66.666666666666657</v>
      </c>
      <c r="G41" s="5">
        <v>46.666666666666664</v>
      </c>
      <c r="H41" s="5"/>
      <c r="I41" s="5"/>
      <c r="J41" s="5"/>
      <c r="K41" s="5">
        <v>61.904761904761905</v>
      </c>
      <c r="L41" s="5">
        <v>33.333333333333329</v>
      </c>
      <c r="M41" s="5">
        <v>53.333333333333336</v>
      </c>
      <c r="N41" s="3">
        <v>16</v>
      </c>
      <c r="O41" s="3">
        <v>13</v>
      </c>
      <c r="P41" s="3">
        <v>29</v>
      </c>
      <c r="Q41" s="5">
        <v>70.833333333333343</v>
      </c>
      <c r="R41" s="5">
        <v>75</v>
      </c>
      <c r="S41" s="5">
        <v>71.428571428571431</v>
      </c>
      <c r="T41" s="5">
        <v>4.1666666666666661</v>
      </c>
      <c r="U41" s="5">
        <v>25</v>
      </c>
      <c r="V41" s="5">
        <v>7.1428571428571423</v>
      </c>
      <c r="W41" s="5">
        <v>25</v>
      </c>
      <c r="X41" s="5"/>
      <c r="Y41" s="5">
        <v>21.428571428571427</v>
      </c>
      <c r="Z41" s="3">
        <f t="shared" si="2"/>
        <v>18.5</v>
      </c>
      <c r="AA41" s="3">
        <f t="shared" si="3"/>
        <v>11</v>
      </c>
      <c r="AB41" s="3">
        <f t="shared" si="4"/>
        <v>29.5</v>
      </c>
      <c r="AC41" s="5">
        <f t="shared" si="5"/>
        <v>54.464285714285722</v>
      </c>
      <c r="AD41" s="5">
        <f t="shared" si="6"/>
        <v>70.833333333333329</v>
      </c>
      <c r="AE41" s="5">
        <f t="shared" si="7"/>
        <v>59.047619047619051</v>
      </c>
      <c r="AF41" s="5">
        <f t="shared" si="8"/>
        <v>2.083333333333333</v>
      </c>
      <c r="AG41" s="5">
        <f t="shared" si="9"/>
        <v>12.5</v>
      </c>
      <c r="AH41" s="5">
        <f t="shared" si="10"/>
        <v>3.5714285714285712</v>
      </c>
      <c r="AI41" s="5">
        <f t="shared" si="11"/>
        <v>43.452380952380949</v>
      </c>
      <c r="AJ41" s="5">
        <f t="shared" si="12"/>
        <v>16.666666666666664</v>
      </c>
      <c r="AK41" s="5">
        <f t="shared" si="13"/>
        <v>37.38095238095238</v>
      </c>
    </row>
    <row r="42" spans="1:37" x14ac:dyDescent="0.25">
      <c r="A42" t="s">
        <v>61</v>
      </c>
      <c r="B42">
        <v>13</v>
      </c>
      <c r="C42">
        <v>20</v>
      </c>
      <c r="D42">
        <v>33</v>
      </c>
      <c r="E42" s="5">
        <v>92.307692307692307</v>
      </c>
      <c r="F42" s="5">
        <v>55.000000000000007</v>
      </c>
      <c r="G42" s="5">
        <v>69.696969696969703</v>
      </c>
      <c r="H42" s="5"/>
      <c r="I42" s="5">
        <v>5</v>
      </c>
      <c r="J42" s="5">
        <v>3.0303030303030303</v>
      </c>
      <c r="K42" s="5">
        <v>7.6923076923076925</v>
      </c>
      <c r="L42" s="5">
        <v>40</v>
      </c>
      <c r="M42" s="5">
        <v>27.27272727272727</v>
      </c>
      <c r="N42" s="3">
        <v>24</v>
      </c>
      <c r="O42" s="3">
        <v>17</v>
      </c>
      <c r="P42" s="3">
        <v>41</v>
      </c>
      <c r="Q42" s="5">
        <v>66.666666666666657</v>
      </c>
      <c r="R42" s="5">
        <v>63.636363636363633</v>
      </c>
      <c r="S42" s="5">
        <v>65.384615384615387</v>
      </c>
      <c r="T42" s="5"/>
      <c r="U42" s="5"/>
      <c r="V42" s="5"/>
      <c r="W42" s="5">
        <v>33.333333333333329</v>
      </c>
      <c r="X42" s="5">
        <v>36.363636363636367</v>
      </c>
      <c r="Y42" s="5">
        <v>34.615384615384613</v>
      </c>
      <c r="Z42" s="3">
        <f t="shared" si="2"/>
        <v>18.5</v>
      </c>
      <c r="AA42" s="3">
        <f t="shared" si="3"/>
        <v>18.5</v>
      </c>
      <c r="AB42" s="3">
        <f t="shared" si="4"/>
        <v>37</v>
      </c>
      <c r="AC42" s="5">
        <f t="shared" si="5"/>
        <v>79.487179487179475</v>
      </c>
      <c r="AD42" s="5">
        <f t="shared" si="6"/>
        <v>59.31818181818182</v>
      </c>
      <c r="AE42" s="5">
        <f t="shared" si="7"/>
        <v>67.540792540792552</v>
      </c>
      <c r="AF42" s="5" t="str">
        <f t="shared" si="8"/>
        <v/>
      </c>
      <c r="AG42" s="5">
        <f t="shared" si="9"/>
        <v>2.5</v>
      </c>
      <c r="AH42" s="5">
        <f t="shared" si="10"/>
        <v>1.5151515151515151</v>
      </c>
      <c r="AI42" s="5">
        <f t="shared" si="11"/>
        <v>20.512820512820511</v>
      </c>
      <c r="AJ42" s="5">
        <f t="shared" si="12"/>
        <v>38.181818181818187</v>
      </c>
      <c r="AK42" s="5">
        <f t="shared" si="13"/>
        <v>30.94405594405594</v>
      </c>
    </row>
    <row r="43" spans="1:37" x14ac:dyDescent="0.25">
      <c r="A43" t="s">
        <v>62</v>
      </c>
      <c r="B43">
        <v>22</v>
      </c>
      <c r="C43">
        <v>8</v>
      </c>
      <c r="D43">
        <v>30</v>
      </c>
      <c r="E43" s="5">
        <v>68.181818181818173</v>
      </c>
      <c r="F43" s="5">
        <v>75</v>
      </c>
      <c r="G43" s="5">
        <v>70</v>
      </c>
      <c r="H43" s="5">
        <v>4.5454545454545459</v>
      </c>
      <c r="I43" s="5"/>
      <c r="J43" s="5">
        <v>3.3333333333333335</v>
      </c>
      <c r="K43" s="5">
        <v>27.27272727272727</v>
      </c>
      <c r="L43" s="5">
        <v>25</v>
      </c>
      <c r="M43" s="5">
        <v>26.666666666666668</v>
      </c>
      <c r="N43" s="3">
        <v>24</v>
      </c>
      <c r="O43" s="3">
        <v>4</v>
      </c>
      <c r="P43" s="3">
        <v>28</v>
      </c>
      <c r="Q43" s="5">
        <v>84.615384615384613</v>
      </c>
      <c r="R43" s="5">
        <v>60</v>
      </c>
      <c r="S43" s="5">
        <v>73.91304347826086</v>
      </c>
      <c r="T43" s="5"/>
      <c r="U43" s="5"/>
      <c r="V43" s="5"/>
      <c r="W43" s="5">
        <v>15.384615384615385</v>
      </c>
      <c r="X43" s="5">
        <v>40</v>
      </c>
      <c r="Y43" s="5">
        <v>26.086956521739129</v>
      </c>
      <c r="Z43" s="3">
        <f t="shared" si="2"/>
        <v>23</v>
      </c>
      <c r="AA43" s="3">
        <f t="shared" si="3"/>
        <v>6</v>
      </c>
      <c r="AB43" s="3">
        <f t="shared" si="4"/>
        <v>29</v>
      </c>
      <c r="AC43" s="5">
        <f t="shared" si="5"/>
        <v>76.398601398601386</v>
      </c>
      <c r="AD43" s="5">
        <f t="shared" si="6"/>
        <v>67.5</v>
      </c>
      <c r="AE43" s="5">
        <f t="shared" si="7"/>
        <v>71.956521739130437</v>
      </c>
      <c r="AF43" s="5">
        <f t="shared" si="8"/>
        <v>2.2727272727272729</v>
      </c>
      <c r="AG43" s="5" t="str">
        <f t="shared" si="9"/>
        <v/>
      </c>
      <c r="AH43" s="5">
        <f t="shared" si="10"/>
        <v>1.6666666666666667</v>
      </c>
      <c r="AI43" s="5">
        <f t="shared" si="11"/>
        <v>21.328671328671327</v>
      </c>
      <c r="AJ43" s="5">
        <f t="shared" si="12"/>
        <v>32.5</v>
      </c>
      <c r="AK43" s="5">
        <f t="shared" si="13"/>
        <v>26.376811594202898</v>
      </c>
    </row>
    <row r="44" spans="1:37" x14ac:dyDescent="0.25">
      <c r="A44" t="s">
        <v>63</v>
      </c>
      <c r="B44">
        <v>14</v>
      </c>
      <c r="C44">
        <v>11</v>
      </c>
      <c r="D44">
        <v>25</v>
      </c>
      <c r="E44" s="5">
        <v>64.285714285714292</v>
      </c>
      <c r="F44" s="5">
        <v>72.727272727272734</v>
      </c>
      <c r="G44" s="5">
        <v>68</v>
      </c>
      <c r="H44" s="5"/>
      <c r="I44" s="5"/>
      <c r="J44" s="5"/>
      <c r="K44" s="5">
        <v>35.714285714285715</v>
      </c>
      <c r="L44" s="5">
        <v>27.27272727272727</v>
      </c>
      <c r="M44" s="5">
        <v>32</v>
      </c>
      <c r="N44" s="3">
        <v>15</v>
      </c>
      <c r="O44" s="3">
        <v>11</v>
      </c>
      <c r="P44" s="3">
        <v>26</v>
      </c>
      <c r="Q44" s="5">
        <v>63.636363636363633</v>
      </c>
      <c r="R44" s="5">
        <v>66.666666666666657</v>
      </c>
      <c r="S44" s="5">
        <v>64.285714285714292</v>
      </c>
      <c r="T44" s="5"/>
      <c r="U44" s="5"/>
      <c r="V44" s="5"/>
      <c r="W44" s="5">
        <v>36.363636363636367</v>
      </c>
      <c r="X44" s="5">
        <v>33.333333333333329</v>
      </c>
      <c r="Y44" s="5">
        <v>35.714285714285715</v>
      </c>
      <c r="Z44" s="3">
        <f t="shared" si="2"/>
        <v>14.5</v>
      </c>
      <c r="AA44" s="3">
        <f t="shared" si="3"/>
        <v>11</v>
      </c>
      <c r="AB44" s="3">
        <f t="shared" si="4"/>
        <v>25.5</v>
      </c>
      <c r="AC44" s="5">
        <f t="shared" si="5"/>
        <v>63.961038961038966</v>
      </c>
      <c r="AD44" s="5">
        <f t="shared" si="6"/>
        <v>69.696969696969688</v>
      </c>
      <c r="AE44" s="5">
        <f t="shared" si="7"/>
        <v>66.142857142857139</v>
      </c>
      <c r="AF44" s="5" t="str">
        <f t="shared" si="8"/>
        <v/>
      </c>
      <c r="AG44" s="5" t="str">
        <f t="shared" si="9"/>
        <v/>
      </c>
      <c r="AH44" s="5" t="str">
        <f t="shared" si="10"/>
        <v/>
      </c>
      <c r="AI44" s="5">
        <f t="shared" si="11"/>
        <v>36.038961038961041</v>
      </c>
      <c r="AJ44" s="5">
        <f t="shared" si="12"/>
        <v>30.303030303030297</v>
      </c>
      <c r="AK44" s="5">
        <f t="shared" si="13"/>
        <v>33.857142857142861</v>
      </c>
    </row>
    <row r="45" spans="1:37" x14ac:dyDescent="0.25">
      <c r="A45" t="s">
        <v>64</v>
      </c>
      <c r="B45">
        <v>17</v>
      </c>
      <c r="C45">
        <v>10</v>
      </c>
      <c r="D45">
        <v>27</v>
      </c>
      <c r="E45" s="5">
        <v>64.705882352941174</v>
      </c>
      <c r="F45" s="5">
        <v>30</v>
      </c>
      <c r="G45" s="5">
        <v>51.851851851851848</v>
      </c>
      <c r="H45" s="5"/>
      <c r="I45" s="5"/>
      <c r="J45" s="5"/>
      <c r="K45" s="5">
        <v>35.294117647058826</v>
      </c>
      <c r="L45" s="5">
        <v>70</v>
      </c>
      <c r="M45" s="5">
        <v>48.148148148148145</v>
      </c>
      <c r="N45" s="3">
        <v>13</v>
      </c>
      <c r="O45" s="3">
        <v>10</v>
      </c>
      <c r="P45" s="3">
        <v>23</v>
      </c>
      <c r="Q45" s="5">
        <v>82.35294117647058</v>
      </c>
      <c r="R45" s="5">
        <v>87.5</v>
      </c>
      <c r="S45" s="5">
        <v>84</v>
      </c>
      <c r="T45" s="5"/>
      <c r="U45" s="5"/>
      <c r="V45" s="5"/>
      <c r="W45" s="5">
        <v>17.647058823529413</v>
      </c>
      <c r="X45" s="5">
        <v>12.5</v>
      </c>
      <c r="Y45" s="5">
        <v>16</v>
      </c>
      <c r="Z45" s="3">
        <f t="shared" si="2"/>
        <v>15</v>
      </c>
      <c r="AA45" s="3">
        <f t="shared" si="3"/>
        <v>10</v>
      </c>
      <c r="AB45" s="3">
        <f t="shared" si="4"/>
        <v>25</v>
      </c>
      <c r="AC45" s="5">
        <f t="shared" si="5"/>
        <v>73.529411764705884</v>
      </c>
      <c r="AD45" s="5">
        <f t="shared" si="6"/>
        <v>58.75</v>
      </c>
      <c r="AE45" s="5">
        <f t="shared" si="7"/>
        <v>67.925925925925924</v>
      </c>
      <c r="AF45" s="5" t="str">
        <f t="shared" si="8"/>
        <v/>
      </c>
      <c r="AG45" s="5" t="str">
        <f t="shared" si="9"/>
        <v/>
      </c>
      <c r="AH45" s="5" t="str">
        <f t="shared" si="10"/>
        <v/>
      </c>
      <c r="AI45" s="5">
        <f t="shared" si="11"/>
        <v>26.47058823529412</v>
      </c>
      <c r="AJ45" s="5">
        <f t="shared" si="12"/>
        <v>41.25</v>
      </c>
      <c r="AK45" s="5">
        <f t="shared" si="13"/>
        <v>32.074074074074076</v>
      </c>
    </row>
    <row r="46" spans="1:37" x14ac:dyDescent="0.25">
      <c r="A46" t="s">
        <v>65</v>
      </c>
      <c r="B46">
        <v>10</v>
      </c>
      <c r="C46">
        <v>11</v>
      </c>
      <c r="D46">
        <v>21</v>
      </c>
      <c r="E46" s="5">
        <v>90</v>
      </c>
      <c r="F46" s="5">
        <v>72.727272727272734</v>
      </c>
      <c r="G46" s="5">
        <v>80.952380952380949</v>
      </c>
      <c r="H46" s="5"/>
      <c r="I46" s="5">
        <v>9.0909090909090917</v>
      </c>
      <c r="J46" s="5">
        <v>4.7619047619047619</v>
      </c>
      <c r="K46" s="5">
        <v>10</v>
      </c>
      <c r="L46" s="5">
        <v>18.181818181818183</v>
      </c>
      <c r="M46" s="5">
        <v>14.285714285714285</v>
      </c>
      <c r="N46" s="3">
        <v>11</v>
      </c>
      <c r="O46" s="3">
        <v>3</v>
      </c>
      <c r="P46" s="3">
        <v>14</v>
      </c>
      <c r="Q46" s="5">
        <v>80</v>
      </c>
      <c r="R46" s="5">
        <v>50</v>
      </c>
      <c r="S46" s="5">
        <v>65</v>
      </c>
      <c r="T46" s="5"/>
      <c r="U46" s="5"/>
      <c r="V46" s="5"/>
      <c r="W46" s="5">
        <v>20</v>
      </c>
      <c r="X46" s="5">
        <v>50</v>
      </c>
      <c r="Y46" s="5">
        <v>35</v>
      </c>
      <c r="Z46" s="3">
        <f t="shared" si="2"/>
        <v>10.5</v>
      </c>
      <c r="AA46" s="3">
        <f t="shared" si="3"/>
        <v>7</v>
      </c>
      <c r="AB46" s="3">
        <f t="shared" si="4"/>
        <v>17.5</v>
      </c>
      <c r="AC46" s="5">
        <f t="shared" si="5"/>
        <v>85</v>
      </c>
      <c r="AD46" s="5">
        <f t="shared" si="6"/>
        <v>61.363636363636367</v>
      </c>
      <c r="AE46" s="5">
        <f t="shared" si="7"/>
        <v>72.976190476190482</v>
      </c>
      <c r="AF46" s="5" t="str">
        <f t="shared" si="8"/>
        <v/>
      </c>
      <c r="AG46" s="5">
        <f t="shared" si="9"/>
        <v>4.5454545454545459</v>
      </c>
      <c r="AH46" s="5">
        <f t="shared" si="10"/>
        <v>2.3809523809523809</v>
      </c>
      <c r="AI46" s="5">
        <f t="shared" si="11"/>
        <v>15</v>
      </c>
      <c r="AJ46" s="5">
        <f t="shared" si="12"/>
        <v>34.090909090909093</v>
      </c>
      <c r="AK46" s="5">
        <f t="shared" si="13"/>
        <v>24.642857142857142</v>
      </c>
    </row>
    <row r="47" spans="1:37" x14ac:dyDescent="0.25">
      <c r="A47" t="s">
        <v>66</v>
      </c>
      <c r="B47">
        <v>19</v>
      </c>
      <c r="C47">
        <v>8</v>
      </c>
      <c r="D47">
        <v>27</v>
      </c>
      <c r="E47" s="5">
        <v>78.94736842105263</v>
      </c>
      <c r="F47" s="5">
        <v>62.5</v>
      </c>
      <c r="G47" s="5">
        <v>74.074074074074076</v>
      </c>
      <c r="H47" s="5"/>
      <c r="I47" s="5"/>
      <c r="J47" s="5"/>
      <c r="K47" s="5">
        <v>21.052631578947366</v>
      </c>
      <c r="L47" s="5">
        <v>37.5</v>
      </c>
      <c r="M47" s="5">
        <v>25.925925925925924</v>
      </c>
      <c r="N47" s="3">
        <v>17</v>
      </c>
      <c r="O47" s="3">
        <v>8</v>
      </c>
      <c r="P47" s="3">
        <v>25</v>
      </c>
      <c r="Q47" s="5">
        <v>60</v>
      </c>
      <c r="R47" s="5">
        <v>57.142857142857139</v>
      </c>
      <c r="S47" s="5">
        <v>58.82352941176471</v>
      </c>
      <c r="T47" s="5"/>
      <c r="U47" s="5">
        <v>28.571428571428569</v>
      </c>
      <c r="V47" s="5">
        <v>11.76470588235294</v>
      </c>
      <c r="W47" s="5">
        <v>40</v>
      </c>
      <c r="X47" s="5">
        <v>14.285714285714285</v>
      </c>
      <c r="Y47" s="5">
        <v>29.411764705882355</v>
      </c>
      <c r="Z47" s="3">
        <f t="shared" si="2"/>
        <v>18</v>
      </c>
      <c r="AA47" s="3">
        <f t="shared" si="3"/>
        <v>8</v>
      </c>
      <c r="AB47" s="3">
        <f t="shared" si="4"/>
        <v>26</v>
      </c>
      <c r="AC47" s="5">
        <f t="shared" si="5"/>
        <v>69.473684210526315</v>
      </c>
      <c r="AD47" s="5">
        <f t="shared" si="6"/>
        <v>59.821428571428569</v>
      </c>
      <c r="AE47" s="5">
        <f t="shared" si="7"/>
        <v>66.448801742919386</v>
      </c>
      <c r="AF47" s="5" t="str">
        <f t="shared" si="8"/>
        <v/>
      </c>
      <c r="AG47" s="5">
        <f t="shared" si="9"/>
        <v>14.285714285714285</v>
      </c>
      <c r="AH47" s="5">
        <f t="shared" si="10"/>
        <v>5.8823529411764701</v>
      </c>
      <c r="AI47" s="5">
        <f t="shared" si="11"/>
        <v>30.526315789473685</v>
      </c>
      <c r="AJ47" s="5">
        <f t="shared" si="12"/>
        <v>25.892857142857142</v>
      </c>
      <c r="AK47" s="5">
        <f t="shared" si="13"/>
        <v>27.668845315904139</v>
      </c>
    </row>
    <row r="48" spans="1:37" x14ac:dyDescent="0.25">
      <c r="A48" t="s">
        <v>67</v>
      </c>
      <c r="B48">
        <v>10</v>
      </c>
      <c r="C48">
        <v>5</v>
      </c>
      <c r="D48">
        <v>15</v>
      </c>
      <c r="E48" s="5">
        <v>70</v>
      </c>
      <c r="F48" s="5">
        <v>80</v>
      </c>
      <c r="G48" s="5">
        <v>73.333333333333329</v>
      </c>
      <c r="H48" s="5"/>
      <c r="I48" s="5"/>
      <c r="J48" s="5"/>
      <c r="K48" s="5">
        <v>30</v>
      </c>
      <c r="L48" s="5">
        <v>20</v>
      </c>
      <c r="M48" s="5">
        <v>26.666666666666668</v>
      </c>
      <c r="N48" s="3">
        <v>10</v>
      </c>
      <c r="O48" s="3">
        <v>10</v>
      </c>
      <c r="P48" s="3">
        <v>20</v>
      </c>
      <c r="Q48" s="5">
        <v>62.5</v>
      </c>
      <c r="R48" s="5">
        <v>60</v>
      </c>
      <c r="S48" s="5">
        <v>61.111111111111114</v>
      </c>
      <c r="T48" s="5"/>
      <c r="U48" s="5"/>
      <c r="V48" s="5"/>
      <c r="W48" s="5">
        <v>37.5</v>
      </c>
      <c r="X48" s="5">
        <v>40</v>
      </c>
      <c r="Y48" s="5">
        <v>38.888888888888893</v>
      </c>
      <c r="Z48" s="3">
        <f t="shared" si="2"/>
        <v>10</v>
      </c>
      <c r="AA48" s="3">
        <f t="shared" si="3"/>
        <v>7.5</v>
      </c>
      <c r="AB48" s="3">
        <f t="shared" si="4"/>
        <v>17.5</v>
      </c>
      <c r="AC48" s="5">
        <f t="shared" si="5"/>
        <v>66.25</v>
      </c>
      <c r="AD48" s="5">
        <f t="shared" si="6"/>
        <v>70</v>
      </c>
      <c r="AE48" s="5">
        <f t="shared" si="7"/>
        <v>67.222222222222229</v>
      </c>
      <c r="AF48" s="5" t="str">
        <f t="shared" si="8"/>
        <v/>
      </c>
      <c r="AG48" s="5" t="str">
        <f t="shared" si="9"/>
        <v/>
      </c>
      <c r="AH48" s="5" t="str">
        <f t="shared" si="10"/>
        <v/>
      </c>
      <c r="AI48" s="5">
        <f t="shared" si="11"/>
        <v>33.75</v>
      </c>
      <c r="AJ48" s="5">
        <f t="shared" si="12"/>
        <v>30</v>
      </c>
      <c r="AK48" s="5">
        <f t="shared" si="13"/>
        <v>32.777777777777779</v>
      </c>
    </row>
    <row r="49" spans="1:37" x14ac:dyDescent="0.25">
      <c r="A49" t="s">
        <v>68</v>
      </c>
      <c r="B49">
        <v>7</v>
      </c>
      <c r="C49">
        <v>7</v>
      </c>
      <c r="D49">
        <v>14</v>
      </c>
      <c r="E49" s="5">
        <v>85.714285714285708</v>
      </c>
      <c r="F49" s="5">
        <v>85.714285714285708</v>
      </c>
      <c r="G49" s="5">
        <v>85.714285714285708</v>
      </c>
      <c r="H49" s="5"/>
      <c r="I49" s="5"/>
      <c r="J49" s="5"/>
      <c r="K49" s="5">
        <v>14.285714285714285</v>
      </c>
      <c r="L49" s="5">
        <v>14.285714285714285</v>
      </c>
      <c r="M49" s="5">
        <v>14.285714285714285</v>
      </c>
      <c r="N49" s="3">
        <v>10</v>
      </c>
      <c r="O49" s="3">
        <v>7</v>
      </c>
      <c r="P49" s="3">
        <v>17</v>
      </c>
      <c r="Q49" s="5">
        <v>85.714285714285708</v>
      </c>
      <c r="R49" s="5">
        <v>66.666666666666657</v>
      </c>
      <c r="S49" s="5">
        <v>75</v>
      </c>
      <c r="T49" s="5"/>
      <c r="U49" s="5"/>
      <c r="V49" s="5"/>
      <c r="W49" s="5">
        <v>14.285714285714285</v>
      </c>
      <c r="X49" s="5">
        <v>33.333333333333329</v>
      </c>
      <c r="Y49" s="5">
        <v>25</v>
      </c>
      <c r="Z49" s="3">
        <f t="shared" si="2"/>
        <v>8.5</v>
      </c>
      <c r="AA49" s="3">
        <f t="shared" si="3"/>
        <v>7</v>
      </c>
      <c r="AB49" s="3">
        <f t="shared" si="4"/>
        <v>15.5</v>
      </c>
      <c r="AC49" s="5">
        <f t="shared" si="5"/>
        <v>85.714285714285708</v>
      </c>
      <c r="AD49" s="5">
        <f t="shared" si="6"/>
        <v>76.190476190476176</v>
      </c>
      <c r="AE49" s="5">
        <f t="shared" si="7"/>
        <v>80.357142857142861</v>
      </c>
      <c r="AF49" s="5" t="str">
        <f t="shared" si="8"/>
        <v/>
      </c>
      <c r="AG49" s="5" t="str">
        <f t="shared" si="9"/>
        <v/>
      </c>
      <c r="AH49" s="5" t="str">
        <f t="shared" si="10"/>
        <v/>
      </c>
      <c r="AI49" s="5">
        <f t="shared" si="11"/>
        <v>14.285714285714285</v>
      </c>
      <c r="AJ49" s="5">
        <f t="shared" si="12"/>
        <v>23.809523809523807</v>
      </c>
      <c r="AK49" s="5">
        <f t="shared" si="13"/>
        <v>19.642857142857142</v>
      </c>
    </row>
    <row r="50" spans="1:37" x14ac:dyDescent="0.25">
      <c r="A50" t="s">
        <v>69</v>
      </c>
      <c r="B50">
        <v>8</v>
      </c>
      <c r="C50">
        <v>5</v>
      </c>
      <c r="D50">
        <v>13</v>
      </c>
      <c r="E50" s="5">
        <v>87.5</v>
      </c>
      <c r="F50" s="5">
        <v>40</v>
      </c>
      <c r="G50" s="5">
        <v>69.230769230769226</v>
      </c>
      <c r="H50" s="5"/>
      <c r="I50" s="5"/>
      <c r="J50" s="5"/>
      <c r="K50" s="5">
        <v>12.5</v>
      </c>
      <c r="L50" s="5">
        <v>60</v>
      </c>
      <c r="M50" s="5">
        <v>30.76923076923077</v>
      </c>
      <c r="N50" s="3">
        <v>8</v>
      </c>
      <c r="O50" s="3">
        <v>10</v>
      </c>
      <c r="P50" s="3">
        <v>18</v>
      </c>
      <c r="Q50" s="5">
        <v>75</v>
      </c>
      <c r="R50" s="5">
        <v>66.666666666666657</v>
      </c>
      <c r="S50" s="5">
        <v>71.428571428571431</v>
      </c>
      <c r="T50" s="5"/>
      <c r="U50" s="5"/>
      <c r="V50" s="5"/>
      <c r="W50" s="5">
        <v>25</v>
      </c>
      <c r="X50" s="5">
        <v>33.333333333333329</v>
      </c>
      <c r="Y50" s="5">
        <v>28.571428571428569</v>
      </c>
      <c r="Z50" s="3">
        <f t="shared" si="2"/>
        <v>8</v>
      </c>
      <c r="AA50" s="3">
        <f t="shared" si="3"/>
        <v>7.5</v>
      </c>
      <c r="AB50" s="3">
        <f t="shared" si="4"/>
        <v>15.5</v>
      </c>
      <c r="AC50" s="5">
        <f t="shared" si="5"/>
        <v>81.25</v>
      </c>
      <c r="AD50" s="5">
        <f t="shared" si="6"/>
        <v>53.333333333333329</v>
      </c>
      <c r="AE50" s="5">
        <f t="shared" si="7"/>
        <v>70.329670329670336</v>
      </c>
      <c r="AF50" s="5" t="str">
        <f t="shared" si="8"/>
        <v/>
      </c>
      <c r="AG50" s="5" t="str">
        <f t="shared" si="9"/>
        <v/>
      </c>
      <c r="AH50" s="5" t="str">
        <f t="shared" si="10"/>
        <v/>
      </c>
      <c r="AI50" s="5">
        <f t="shared" si="11"/>
        <v>18.75</v>
      </c>
      <c r="AJ50" s="5">
        <f t="shared" si="12"/>
        <v>46.666666666666664</v>
      </c>
      <c r="AK50" s="5">
        <f t="shared" si="13"/>
        <v>29.670329670329672</v>
      </c>
    </row>
    <row r="51" spans="1:37" x14ac:dyDescent="0.25">
      <c r="A51" t="s">
        <v>70</v>
      </c>
      <c r="B51">
        <v>8</v>
      </c>
      <c r="C51">
        <v>9</v>
      </c>
      <c r="D51">
        <v>17</v>
      </c>
      <c r="E51" s="5">
        <v>37.5</v>
      </c>
      <c r="F51" s="5">
        <v>77.777777777777786</v>
      </c>
      <c r="G51" s="5">
        <v>58.82352941176471</v>
      </c>
      <c r="H51" s="5"/>
      <c r="I51" s="5"/>
      <c r="J51" s="5"/>
      <c r="K51" s="5">
        <v>62.5</v>
      </c>
      <c r="L51" s="5">
        <v>22.222222222222221</v>
      </c>
      <c r="M51" s="5">
        <v>41.17647058823529</v>
      </c>
      <c r="N51" s="3">
        <v>7</v>
      </c>
      <c r="O51" s="3">
        <v>9</v>
      </c>
      <c r="P51" s="3">
        <v>16</v>
      </c>
      <c r="Q51" s="5">
        <v>81.818181818181827</v>
      </c>
      <c r="R51" s="5">
        <v>55.555555555555557</v>
      </c>
      <c r="S51" s="5">
        <v>70</v>
      </c>
      <c r="T51" s="5"/>
      <c r="U51" s="5">
        <v>11.111111111111111</v>
      </c>
      <c r="V51" s="5">
        <v>5</v>
      </c>
      <c r="W51" s="5">
        <v>18.181818181818183</v>
      </c>
      <c r="X51" s="5">
        <v>33.333333333333329</v>
      </c>
      <c r="Y51" s="5">
        <v>25</v>
      </c>
      <c r="Z51" s="3">
        <f t="shared" si="2"/>
        <v>7.5</v>
      </c>
      <c r="AA51" s="3">
        <f t="shared" si="3"/>
        <v>9</v>
      </c>
      <c r="AB51" s="3">
        <f t="shared" si="4"/>
        <v>16.5</v>
      </c>
      <c r="AC51" s="5">
        <f t="shared" si="5"/>
        <v>59.659090909090914</v>
      </c>
      <c r="AD51" s="5">
        <f t="shared" si="6"/>
        <v>66.666666666666671</v>
      </c>
      <c r="AE51" s="5">
        <f t="shared" si="7"/>
        <v>64.411764705882348</v>
      </c>
      <c r="AF51" s="5" t="str">
        <f t="shared" si="8"/>
        <v/>
      </c>
      <c r="AG51" s="5">
        <f t="shared" si="9"/>
        <v>5.5555555555555554</v>
      </c>
      <c r="AH51" s="5">
        <f t="shared" si="10"/>
        <v>2.5</v>
      </c>
      <c r="AI51" s="5">
        <f t="shared" si="11"/>
        <v>40.340909090909093</v>
      </c>
      <c r="AJ51" s="5">
        <f t="shared" si="12"/>
        <v>27.777777777777775</v>
      </c>
      <c r="AK51" s="5">
        <f t="shared" si="13"/>
        <v>33.088235294117645</v>
      </c>
    </row>
    <row r="52" spans="1:37" x14ac:dyDescent="0.25">
      <c r="A52" t="s">
        <v>71</v>
      </c>
      <c r="B52">
        <v>10</v>
      </c>
      <c r="C52">
        <v>10</v>
      </c>
      <c r="D52">
        <v>20</v>
      </c>
      <c r="E52" s="5">
        <v>50</v>
      </c>
      <c r="F52" s="5">
        <v>70</v>
      </c>
      <c r="G52" s="5">
        <v>60</v>
      </c>
      <c r="H52" s="5"/>
      <c r="I52" s="5"/>
      <c r="J52" s="5"/>
      <c r="K52" s="5">
        <v>50</v>
      </c>
      <c r="L52" s="5">
        <v>30</v>
      </c>
      <c r="M52" s="5">
        <v>40</v>
      </c>
      <c r="N52" s="3">
        <v>8</v>
      </c>
      <c r="O52" s="3">
        <v>6</v>
      </c>
      <c r="P52" s="3">
        <v>14</v>
      </c>
      <c r="Q52" s="5">
        <v>77.777777777777786</v>
      </c>
      <c r="R52" s="5">
        <v>55.555555555555557</v>
      </c>
      <c r="S52" s="5">
        <v>66.666666666666657</v>
      </c>
      <c r="T52" s="5"/>
      <c r="U52" s="5"/>
      <c r="V52" s="5"/>
      <c r="W52" s="5">
        <v>22.222222222222221</v>
      </c>
      <c r="X52" s="5">
        <v>44.444444444444443</v>
      </c>
      <c r="Y52" s="5">
        <v>33.333333333333329</v>
      </c>
      <c r="Z52" s="3">
        <f t="shared" si="2"/>
        <v>9</v>
      </c>
      <c r="AA52" s="3">
        <f t="shared" si="3"/>
        <v>8</v>
      </c>
      <c r="AB52" s="3">
        <f t="shared" si="4"/>
        <v>17</v>
      </c>
      <c r="AC52" s="5">
        <f t="shared" si="5"/>
        <v>63.888888888888893</v>
      </c>
      <c r="AD52" s="5">
        <f t="shared" si="6"/>
        <v>62.777777777777779</v>
      </c>
      <c r="AE52" s="5">
        <f t="shared" si="7"/>
        <v>63.333333333333329</v>
      </c>
      <c r="AF52" s="5" t="str">
        <f t="shared" si="8"/>
        <v/>
      </c>
      <c r="AG52" s="5" t="str">
        <f t="shared" si="9"/>
        <v/>
      </c>
      <c r="AH52" s="5" t="str">
        <f t="shared" si="10"/>
        <v/>
      </c>
      <c r="AI52" s="5">
        <f t="shared" si="11"/>
        <v>36.111111111111114</v>
      </c>
      <c r="AJ52" s="5">
        <f t="shared" si="12"/>
        <v>37.222222222222221</v>
      </c>
      <c r="AK52" s="5">
        <f t="shared" si="13"/>
        <v>36.666666666666664</v>
      </c>
    </row>
    <row r="53" spans="1:37" x14ac:dyDescent="0.25">
      <c r="A53" t="s">
        <v>72</v>
      </c>
      <c r="B53">
        <v>10</v>
      </c>
      <c r="C53">
        <v>5</v>
      </c>
      <c r="D53">
        <v>15</v>
      </c>
      <c r="E53" s="5">
        <v>50</v>
      </c>
      <c r="F53" s="5">
        <v>40</v>
      </c>
      <c r="G53" s="5">
        <v>46.666666666666664</v>
      </c>
      <c r="H53" s="5"/>
      <c r="I53" s="5"/>
      <c r="J53" s="5"/>
      <c r="K53" s="5">
        <v>50</v>
      </c>
      <c r="L53" s="5">
        <v>60</v>
      </c>
      <c r="M53" s="5">
        <v>53.333333333333336</v>
      </c>
      <c r="N53" s="3">
        <v>11</v>
      </c>
      <c r="O53" s="3">
        <v>9</v>
      </c>
      <c r="P53" s="3">
        <v>20</v>
      </c>
      <c r="Q53" s="5">
        <v>76.923076923076934</v>
      </c>
      <c r="R53" s="5">
        <v>71.428571428571431</v>
      </c>
      <c r="S53" s="5">
        <v>75</v>
      </c>
      <c r="T53" s="5"/>
      <c r="U53" s="5"/>
      <c r="V53" s="5"/>
      <c r="W53" s="5">
        <v>23.076923076923077</v>
      </c>
      <c r="X53" s="5">
        <v>28.571428571428569</v>
      </c>
      <c r="Y53" s="5">
        <v>25</v>
      </c>
      <c r="Z53" s="3">
        <f t="shared" si="2"/>
        <v>10.5</v>
      </c>
      <c r="AA53" s="3">
        <f t="shared" si="3"/>
        <v>7</v>
      </c>
      <c r="AB53" s="3">
        <f t="shared" si="4"/>
        <v>17.5</v>
      </c>
      <c r="AC53" s="5">
        <f t="shared" si="5"/>
        <v>63.461538461538467</v>
      </c>
      <c r="AD53" s="5">
        <f t="shared" si="6"/>
        <v>55.714285714285715</v>
      </c>
      <c r="AE53" s="5">
        <f t="shared" si="7"/>
        <v>60.833333333333329</v>
      </c>
      <c r="AF53" s="5" t="str">
        <f t="shared" si="8"/>
        <v/>
      </c>
      <c r="AG53" s="5" t="str">
        <f t="shared" si="9"/>
        <v/>
      </c>
      <c r="AH53" s="5" t="str">
        <f t="shared" si="10"/>
        <v/>
      </c>
      <c r="AI53" s="5">
        <f t="shared" si="11"/>
        <v>36.53846153846154</v>
      </c>
      <c r="AJ53" s="5">
        <f t="shared" si="12"/>
        <v>44.285714285714285</v>
      </c>
      <c r="AK53" s="5">
        <f t="shared" si="13"/>
        <v>39.166666666666671</v>
      </c>
    </row>
    <row r="54" spans="1:37" x14ac:dyDescent="0.25">
      <c r="A54" t="s">
        <v>73</v>
      </c>
      <c r="B54">
        <v>9</v>
      </c>
      <c r="C54">
        <v>7</v>
      </c>
      <c r="D54">
        <v>16</v>
      </c>
      <c r="E54" s="5">
        <v>77.777777777777786</v>
      </c>
      <c r="F54" s="5">
        <v>71.428571428571431</v>
      </c>
      <c r="G54" s="5">
        <v>75</v>
      </c>
      <c r="H54" s="5"/>
      <c r="I54" s="5"/>
      <c r="J54" s="5"/>
      <c r="K54" s="5">
        <v>22.222222222222221</v>
      </c>
      <c r="L54" s="5">
        <v>28.571428571428569</v>
      </c>
      <c r="M54" s="5">
        <v>25</v>
      </c>
      <c r="N54" s="3">
        <v>9</v>
      </c>
      <c r="O54" s="3">
        <v>9</v>
      </c>
      <c r="P54" s="3">
        <v>18</v>
      </c>
      <c r="Q54" s="5">
        <v>66.666666666666657</v>
      </c>
      <c r="R54" s="5">
        <v>50</v>
      </c>
      <c r="S54" s="5">
        <v>60</v>
      </c>
      <c r="T54" s="5"/>
      <c r="U54" s="5"/>
      <c r="V54" s="5"/>
      <c r="W54" s="5">
        <v>33.333333333333329</v>
      </c>
      <c r="X54" s="5">
        <v>50</v>
      </c>
      <c r="Y54" s="5">
        <v>40</v>
      </c>
      <c r="Z54" s="3">
        <f t="shared" si="2"/>
        <v>9</v>
      </c>
      <c r="AA54" s="3">
        <f t="shared" si="3"/>
        <v>8</v>
      </c>
      <c r="AB54" s="3">
        <f t="shared" si="4"/>
        <v>17</v>
      </c>
      <c r="AC54" s="5">
        <f t="shared" si="5"/>
        <v>72.222222222222229</v>
      </c>
      <c r="AD54" s="5">
        <f t="shared" si="6"/>
        <v>60.714285714285715</v>
      </c>
      <c r="AE54" s="5">
        <f t="shared" si="7"/>
        <v>67.5</v>
      </c>
      <c r="AF54" s="5" t="str">
        <f t="shared" si="8"/>
        <v/>
      </c>
      <c r="AG54" s="5" t="str">
        <f t="shared" si="9"/>
        <v/>
      </c>
      <c r="AH54" s="5" t="str">
        <f t="shared" si="10"/>
        <v/>
      </c>
      <c r="AI54" s="5">
        <f t="shared" si="11"/>
        <v>27.777777777777775</v>
      </c>
      <c r="AJ54" s="5">
        <f t="shared" si="12"/>
        <v>39.285714285714285</v>
      </c>
      <c r="AK54" s="5">
        <f t="shared" si="13"/>
        <v>32.5</v>
      </c>
    </row>
    <row r="55" spans="1:37" x14ac:dyDescent="0.25">
      <c r="A55" t="s">
        <v>74</v>
      </c>
      <c r="B55">
        <v>4</v>
      </c>
      <c r="C55">
        <v>4</v>
      </c>
      <c r="D55">
        <v>8</v>
      </c>
      <c r="E55" s="5">
        <v>100</v>
      </c>
      <c r="F55" s="5">
        <v>100</v>
      </c>
      <c r="G55" s="5">
        <v>100</v>
      </c>
      <c r="H55" s="5"/>
      <c r="I55" s="5"/>
      <c r="J55" s="5"/>
      <c r="K55" s="5"/>
      <c r="L55" s="5"/>
      <c r="M55" s="5"/>
      <c r="N55" s="3">
        <v>13</v>
      </c>
      <c r="O55" s="3">
        <v>7</v>
      </c>
      <c r="P55" s="3">
        <v>20</v>
      </c>
      <c r="Q55" s="5">
        <v>100</v>
      </c>
      <c r="R55" s="5">
        <v>83.333333333333343</v>
      </c>
      <c r="S55" s="5">
        <v>90.909090909090907</v>
      </c>
      <c r="T55" s="5"/>
      <c r="U55" s="5"/>
      <c r="V55" s="5"/>
      <c r="W55" s="5"/>
      <c r="X55" s="5">
        <v>16.666666666666664</v>
      </c>
      <c r="Y55" s="5">
        <v>9.0909090909090917</v>
      </c>
      <c r="Z55" s="3">
        <f t="shared" si="2"/>
        <v>8.5</v>
      </c>
      <c r="AA55" s="3">
        <f t="shared" si="3"/>
        <v>5.5</v>
      </c>
      <c r="AB55" s="3">
        <f t="shared" si="4"/>
        <v>14</v>
      </c>
      <c r="AC55" s="5">
        <f t="shared" si="5"/>
        <v>100</v>
      </c>
      <c r="AD55" s="5">
        <f t="shared" si="6"/>
        <v>91.666666666666671</v>
      </c>
      <c r="AE55" s="5">
        <f t="shared" si="7"/>
        <v>95.454545454545453</v>
      </c>
      <c r="AF55" s="5" t="str">
        <f t="shared" si="8"/>
        <v/>
      </c>
      <c r="AG55" s="5" t="str">
        <f t="shared" si="9"/>
        <v/>
      </c>
      <c r="AH55" s="5" t="str">
        <f t="shared" si="10"/>
        <v/>
      </c>
      <c r="AI55" s="5" t="str">
        <f t="shared" si="11"/>
        <v/>
      </c>
      <c r="AJ55" s="5">
        <f t="shared" si="12"/>
        <v>8.3333333333333321</v>
      </c>
      <c r="AK55" s="5">
        <f t="shared" si="13"/>
        <v>4.5454545454545459</v>
      </c>
    </row>
    <row r="56" spans="1:37" x14ac:dyDescent="0.25">
      <c r="A56" t="s">
        <v>75</v>
      </c>
      <c r="B56">
        <v>2</v>
      </c>
      <c r="C56">
        <v>8</v>
      </c>
      <c r="D56">
        <v>10</v>
      </c>
      <c r="E56" s="5">
        <v>50</v>
      </c>
      <c r="F56" s="5">
        <v>62.5</v>
      </c>
      <c r="G56" s="5">
        <v>60</v>
      </c>
      <c r="H56" s="5"/>
      <c r="I56" s="5"/>
      <c r="J56" s="5"/>
      <c r="K56" s="5">
        <v>50</v>
      </c>
      <c r="L56" s="5">
        <v>37.5</v>
      </c>
      <c r="M56" s="5">
        <v>40</v>
      </c>
      <c r="N56" s="3">
        <v>6</v>
      </c>
      <c r="O56" s="3">
        <v>4</v>
      </c>
      <c r="P56" s="3">
        <v>10</v>
      </c>
      <c r="Q56" s="5">
        <v>62.5</v>
      </c>
      <c r="R56" s="5">
        <v>100</v>
      </c>
      <c r="S56" s="5">
        <v>72.727272727272734</v>
      </c>
      <c r="T56" s="5"/>
      <c r="U56" s="5"/>
      <c r="V56" s="5"/>
      <c r="W56" s="5">
        <v>37.5</v>
      </c>
      <c r="X56" s="5"/>
      <c r="Y56" s="5">
        <v>27.27272727272727</v>
      </c>
      <c r="Z56" s="3">
        <f t="shared" si="2"/>
        <v>4</v>
      </c>
      <c r="AA56" s="3">
        <f t="shared" si="3"/>
        <v>6</v>
      </c>
      <c r="AB56" s="3">
        <f t="shared" si="4"/>
        <v>10</v>
      </c>
      <c r="AC56" s="5">
        <f t="shared" si="5"/>
        <v>56.25</v>
      </c>
      <c r="AD56" s="5">
        <f t="shared" si="6"/>
        <v>81.25</v>
      </c>
      <c r="AE56" s="5">
        <f t="shared" si="7"/>
        <v>66.363636363636374</v>
      </c>
      <c r="AF56" s="5" t="str">
        <f t="shared" si="8"/>
        <v/>
      </c>
      <c r="AG56" s="5" t="str">
        <f t="shared" si="9"/>
        <v/>
      </c>
      <c r="AH56" s="5" t="str">
        <f t="shared" si="10"/>
        <v/>
      </c>
      <c r="AI56" s="5">
        <f t="shared" si="11"/>
        <v>43.75</v>
      </c>
      <c r="AJ56" s="5">
        <f t="shared" si="12"/>
        <v>18.75</v>
      </c>
      <c r="AK56" s="5">
        <f t="shared" si="13"/>
        <v>33.636363636363633</v>
      </c>
    </row>
    <row r="57" spans="1:37" x14ac:dyDescent="0.25">
      <c r="A57" t="s">
        <v>76</v>
      </c>
      <c r="B57">
        <v>6</v>
      </c>
      <c r="C57">
        <v>7</v>
      </c>
      <c r="D57">
        <v>13</v>
      </c>
      <c r="E57" s="5">
        <v>83.333333333333343</v>
      </c>
      <c r="F57" s="5">
        <v>71.428571428571431</v>
      </c>
      <c r="G57" s="5">
        <v>76.923076923076934</v>
      </c>
      <c r="H57" s="5"/>
      <c r="I57" s="5"/>
      <c r="J57" s="5"/>
      <c r="K57" s="5">
        <v>16.666666666666664</v>
      </c>
      <c r="L57" s="5">
        <v>28.571428571428569</v>
      </c>
      <c r="M57" s="5">
        <v>23.076923076923077</v>
      </c>
      <c r="N57" s="3">
        <v>5</v>
      </c>
      <c r="O57" s="3">
        <v>6</v>
      </c>
      <c r="P57" s="3">
        <v>11</v>
      </c>
      <c r="Q57" s="5">
        <v>61.53846153846154</v>
      </c>
      <c r="R57" s="5">
        <v>100</v>
      </c>
      <c r="S57" s="5">
        <v>76.19047619047619</v>
      </c>
      <c r="T57" s="5"/>
      <c r="U57" s="5"/>
      <c r="V57" s="5"/>
      <c r="W57" s="5">
        <v>38.461538461538467</v>
      </c>
      <c r="X57" s="5"/>
      <c r="Y57" s="5">
        <v>23.809523809523807</v>
      </c>
      <c r="Z57" s="3">
        <f t="shared" si="2"/>
        <v>5.5</v>
      </c>
      <c r="AA57" s="3">
        <f t="shared" si="3"/>
        <v>6.5</v>
      </c>
      <c r="AB57" s="3">
        <f t="shared" si="4"/>
        <v>12</v>
      </c>
      <c r="AC57" s="5">
        <f t="shared" si="5"/>
        <v>72.435897435897445</v>
      </c>
      <c r="AD57" s="5">
        <f t="shared" si="6"/>
        <v>85.714285714285722</v>
      </c>
      <c r="AE57" s="5">
        <f t="shared" si="7"/>
        <v>76.556776556776555</v>
      </c>
      <c r="AF57" s="5" t="str">
        <f t="shared" si="8"/>
        <v/>
      </c>
      <c r="AG57" s="5" t="str">
        <f t="shared" si="9"/>
        <v/>
      </c>
      <c r="AH57" s="5" t="str">
        <f t="shared" si="10"/>
        <v/>
      </c>
      <c r="AI57" s="5">
        <f t="shared" si="11"/>
        <v>27.564102564102566</v>
      </c>
      <c r="AJ57" s="5">
        <f t="shared" si="12"/>
        <v>14.285714285714285</v>
      </c>
      <c r="AK57" s="5">
        <f t="shared" si="13"/>
        <v>23.443223443223442</v>
      </c>
    </row>
    <row r="58" spans="1:37" x14ac:dyDescent="0.25">
      <c r="A58" t="s">
        <v>77</v>
      </c>
      <c r="B58">
        <v>7</v>
      </c>
      <c r="C58">
        <v>10</v>
      </c>
      <c r="D58">
        <v>17</v>
      </c>
      <c r="E58" s="5">
        <v>100</v>
      </c>
      <c r="F58" s="5">
        <v>60</v>
      </c>
      <c r="G58" s="5">
        <v>76.470588235294116</v>
      </c>
      <c r="H58" s="5"/>
      <c r="I58" s="5"/>
      <c r="J58" s="5"/>
      <c r="K58" s="5"/>
      <c r="L58" s="5">
        <v>40</v>
      </c>
      <c r="M58" s="5">
        <v>23.52941176470588</v>
      </c>
      <c r="N58" s="3">
        <v>8</v>
      </c>
      <c r="O58" s="3">
        <v>3</v>
      </c>
      <c r="P58" s="3">
        <v>11</v>
      </c>
      <c r="Q58" s="5">
        <v>87.5</v>
      </c>
      <c r="R58" s="5">
        <v>33.333333333333329</v>
      </c>
      <c r="S58" s="5">
        <v>64.285714285714292</v>
      </c>
      <c r="T58" s="5"/>
      <c r="U58" s="5"/>
      <c r="V58" s="5"/>
      <c r="W58" s="5">
        <v>12.5</v>
      </c>
      <c r="X58" s="5">
        <v>66.666666666666657</v>
      </c>
      <c r="Y58" s="5">
        <v>35.714285714285715</v>
      </c>
      <c r="Z58" s="3">
        <f t="shared" si="2"/>
        <v>7.5</v>
      </c>
      <c r="AA58" s="3">
        <f t="shared" si="3"/>
        <v>6.5</v>
      </c>
      <c r="AB58" s="3">
        <f t="shared" si="4"/>
        <v>14</v>
      </c>
      <c r="AC58" s="5">
        <f t="shared" si="5"/>
        <v>93.75</v>
      </c>
      <c r="AD58" s="5">
        <f t="shared" si="6"/>
        <v>46.666666666666664</v>
      </c>
      <c r="AE58" s="5">
        <f t="shared" si="7"/>
        <v>70.378151260504211</v>
      </c>
      <c r="AF58" s="5" t="str">
        <f t="shared" si="8"/>
        <v/>
      </c>
      <c r="AG58" s="5" t="str">
        <f t="shared" si="9"/>
        <v/>
      </c>
      <c r="AH58" s="5" t="str">
        <f t="shared" si="10"/>
        <v/>
      </c>
      <c r="AI58" s="5">
        <f t="shared" si="11"/>
        <v>6.25</v>
      </c>
      <c r="AJ58" s="5">
        <f t="shared" si="12"/>
        <v>53.333333333333329</v>
      </c>
      <c r="AK58" s="5">
        <f t="shared" si="13"/>
        <v>29.621848739495796</v>
      </c>
    </row>
    <row r="59" spans="1:37" x14ac:dyDescent="0.25">
      <c r="A59" t="s">
        <v>78</v>
      </c>
      <c r="B59">
        <v>11</v>
      </c>
      <c r="C59">
        <v>6</v>
      </c>
      <c r="D59">
        <v>17</v>
      </c>
      <c r="E59" s="5">
        <v>63.636363636363633</v>
      </c>
      <c r="F59" s="5">
        <v>66.666666666666657</v>
      </c>
      <c r="G59" s="5">
        <v>64.705882352941174</v>
      </c>
      <c r="H59" s="5"/>
      <c r="I59" s="5"/>
      <c r="J59" s="5"/>
      <c r="K59" s="5">
        <v>36.363636363636367</v>
      </c>
      <c r="L59" s="5">
        <v>33.333333333333329</v>
      </c>
      <c r="M59" s="5">
        <v>35.294117647058826</v>
      </c>
      <c r="N59" s="3">
        <v>13</v>
      </c>
      <c r="O59" s="3">
        <v>8</v>
      </c>
      <c r="P59" s="3">
        <v>21</v>
      </c>
      <c r="Q59" s="5">
        <v>87.5</v>
      </c>
      <c r="R59" s="5">
        <v>66.666666666666657</v>
      </c>
      <c r="S59" s="5">
        <v>78.571428571428569</v>
      </c>
      <c r="T59" s="5"/>
      <c r="U59" s="5">
        <v>16.666666666666664</v>
      </c>
      <c r="V59" s="5">
        <v>7.1428571428571423</v>
      </c>
      <c r="W59" s="5">
        <v>12.5</v>
      </c>
      <c r="X59" s="5">
        <v>16.666666666666664</v>
      </c>
      <c r="Y59" s="5">
        <v>14.285714285714285</v>
      </c>
      <c r="Z59" s="3">
        <f t="shared" si="2"/>
        <v>12</v>
      </c>
      <c r="AA59" s="3">
        <f t="shared" si="3"/>
        <v>7</v>
      </c>
      <c r="AB59" s="3">
        <f t="shared" si="4"/>
        <v>19</v>
      </c>
      <c r="AC59" s="5">
        <f t="shared" si="5"/>
        <v>75.568181818181813</v>
      </c>
      <c r="AD59" s="5">
        <f t="shared" si="6"/>
        <v>66.666666666666657</v>
      </c>
      <c r="AE59" s="5">
        <f t="shared" si="7"/>
        <v>71.638655462184872</v>
      </c>
      <c r="AF59" s="5" t="str">
        <f t="shared" si="8"/>
        <v/>
      </c>
      <c r="AG59" s="5">
        <f t="shared" si="9"/>
        <v>8.3333333333333321</v>
      </c>
      <c r="AH59" s="5">
        <f t="shared" si="10"/>
        <v>3.5714285714285712</v>
      </c>
      <c r="AI59" s="5">
        <f t="shared" si="11"/>
        <v>24.431818181818183</v>
      </c>
      <c r="AJ59" s="5">
        <f t="shared" si="12"/>
        <v>24.999999999999996</v>
      </c>
      <c r="AK59" s="5">
        <f t="shared" si="13"/>
        <v>24.789915966386555</v>
      </c>
    </row>
    <row r="60" spans="1:37" x14ac:dyDescent="0.25">
      <c r="A60" t="s">
        <v>79</v>
      </c>
      <c r="B60">
        <v>7</v>
      </c>
      <c r="C60">
        <v>8</v>
      </c>
      <c r="D60">
        <v>15</v>
      </c>
      <c r="E60" s="5">
        <v>100</v>
      </c>
      <c r="F60" s="5">
        <v>62.5</v>
      </c>
      <c r="G60" s="5">
        <v>80</v>
      </c>
      <c r="H60" s="5"/>
      <c r="I60" s="5"/>
      <c r="J60" s="5"/>
      <c r="K60" s="5"/>
      <c r="L60" s="5">
        <v>37.5</v>
      </c>
      <c r="M60" s="5">
        <v>20</v>
      </c>
      <c r="N60" s="3">
        <v>8</v>
      </c>
      <c r="O60" s="3">
        <v>6</v>
      </c>
      <c r="P60" s="3">
        <v>14</v>
      </c>
      <c r="Q60" s="5">
        <v>72.727272727272734</v>
      </c>
      <c r="R60" s="5">
        <v>100</v>
      </c>
      <c r="S60" s="5">
        <v>82.35294117647058</v>
      </c>
      <c r="T60" s="5"/>
      <c r="U60" s="5"/>
      <c r="V60" s="5"/>
      <c r="W60" s="5">
        <v>27.27272727272727</v>
      </c>
      <c r="X60" s="5"/>
      <c r="Y60" s="5">
        <v>17.647058823529413</v>
      </c>
      <c r="Z60" s="3">
        <f t="shared" si="2"/>
        <v>7.5</v>
      </c>
      <c r="AA60" s="3">
        <f t="shared" si="3"/>
        <v>7</v>
      </c>
      <c r="AB60" s="3">
        <f t="shared" si="4"/>
        <v>14.5</v>
      </c>
      <c r="AC60" s="5">
        <f t="shared" si="5"/>
        <v>86.363636363636374</v>
      </c>
      <c r="AD60" s="5">
        <f t="shared" si="6"/>
        <v>81.25</v>
      </c>
      <c r="AE60" s="5">
        <f t="shared" si="7"/>
        <v>81.17647058823529</v>
      </c>
      <c r="AF60" s="5" t="str">
        <f t="shared" si="8"/>
        <v/>
      </c>
      <c r="AG60" s="5" t="str">
        <f t="shared" si="9"/>
        <v/>
      </c>
      <c r="AH60" s="5" t="str">
        <f t="shared" si="10"/>
        <v/>
      </c>
      <c r="AI60" s="5">
        <f t="shared" si="11"/>
        <v>13.636363636363635</v>
      </c>
      <c r="AJ60" s="5">
        <f t="shared" si="12"/>
        <v>18.75</v>
      </c>
      <c r="AK60" s="5">
        <f t="shared" si="13"/>
        <v>18.823529411764707</v>
      </c>
    </row>
    <row r="61" spans="1:37" x14ac:dyDescent="0.25">
      <c r="A61" t="s">
        <v>80</v>
      </c>
      <c r="B61">
        <v>2</v>
      </c>
      <c r="C61">
        <v>10</v>
      </c>
      <c r="D61">
        <v>12</v>
      </c>
      <c r="E61" s="5">
        <v>100</v>
      </c>
      <c r="F61" s="5">
        <v>60</v>
      </c>
      <c r="G61" s="5">
        <v>66.666666666666657</v>
      </c>
      <c r="H61" s="5"/>
      <c r="I61" s="5"/>
      <c r="J61" s="5"/>
      <c r="K61" s="5"/>
      <c r="L61" s="5">
        <v>40</v>
      </c>
      <c r="M61" s="5">
        <v>33.333333333333329</v>
      </c>
      <c r="N61" s="3">
        <v>8</v>
      </c>
      <c r="O61" s="3">
        <v>6</v>
      </c>
      <c r="P61" s="3">
        <v>14</v>
      </c>
      <c r="Q61" s="5">
        <v>40</v>
      </c>
      <c r="R61" s="5">
        <v>40</v>
      </c>
      <c r="S61" s="5">
        <v>40</v>
      </c>
      <c r="T61" s="5"/>
      <c r="U61" s="5"/>
      <c r="V61" s="5"/>
      <c r="W61" s="5">
        <v>60</v>
      </c>
      <c r="X61" s="5">
        <v>60</v>
      </c>
      <c r="Y61" s="5">
        <v>60</v>
      </c>
      <c r="Z61" s="3">
        <f t="shared" si="2"/>
        <v>5</v>
      </c>
      <c r="AA61" s="3">
        <f t="shared" si="3"/>
        <v>8</v>
      </c>
      <c r="AB61" s="3">
        <f t="shared" si="4"/>
        <v>13</v>
      </c>
      <c r="AC61" s="5">
        <f t="shared" si="5"/>
        <v>70</v>
      </c>
      <c r="AD61" s="5">
        <f t="shared" si="6"/>
        <v>50</v>
      </c>
      <c r="AE61" s="5">
        <f t="shared" si="7"/>
        <v>53.333333333333329</v>
      </c>
      <c r="AF61" s="5" t="str">
        <f t="shared" si="8"/>
        <v/>
      </c>
      <c r="AG61" s="5" t="str">
        <f t="shared" si="9"/>
        <v/>
      </c>
      <c r="AH61" s="5" t="str">
        <f t="shared" si="10"/>
        <v/>
      </c>
      <c r="AI61" s="5">
        <f t="shared" si="11"/>
        <v>30</v>
      </c>
      <c r="AJ61" s="5">
        <f t="shared" si="12"/>
        <v>50</v>
      </c>
      <c r="AK61" s="5">
        <f t="shared" si="13"/>
        <v>46.666666666666664</v>
      </c>
    </row>
    <row r="62" spans="1:37" x14ac:dyDescent="0.25">
      <c r="A62" t="s">
        <v>81</v>
      </c>
      <c r="B62">
        <v>6</v>
      </c>
      <c r="C62">
        <v>4</v>
      </c>
      <c r="D62">
        <v>10</v>
      </c>
      <c r="E62" s="5">
        <v>50</v>
      </c>
      <c r="F62" s="5">
        <v>75</v>
      </c>
      <c r="G62" s="5">
        <v>60</v>
      </c>
      <c r="H62" s="5"/>
      <c r="I62" s="5"/>
      <c r="J62" s="5"/>
      <c r="K62" s="5">
        <v>50</v>
      </c>
      <c r="L62" s="5">
        <v>25</v>
      </c>
      <c r="M62" s="5">
        <v>40</v>
      </c>
      <c r="N62" s="3">
        <v>11</v>
      </c>
      <c r="O62" s="3">
        <v>6</v>
      </c>
      <c r="P62" s="3">
        <v>17</v>
      </c>
      <c r="Q62" s="5">
        <v>40</v>
      </c>
      <c r="R62" s="5">
        <v>33.333333333333329</v>
      </c>
      <c r="S62" s="5">
        <v>35.714285714285715</v>
      </c>
      <c r="T62" s="5"/>
      <c r="U62" s="5"/>
      <c r="V62" s="5"/>
      <c r="W62" s="5">
        <v>60</v>
      </c>
      <c r="X62" s="5">
        <v>66.666666666666657</v>
      </c>
      <c r="Y62" s="5">
        <v>64.285714285714292</v>
      </c>
      <c r="Z62" s="3">
        <f t="shared" si="2"/>
        <v>8.5</v>
      </c>
      <c r="AA62" s="3">
        <f t="shared" si="3"/>
        <v>5</v>
      </c>
      <c r="AB62" s="3">
        <f t="shared" si="4"/>
        <v>13.5</v>
      </c>
      <c r="AC62" s="5">
        <f t="shared" si="5"/>
        <v>45</v>
      </c>
      <c r="AD62" s="5">
        <f t="shared" si="6"/>
        <v>54.166666666666664</v>
      </c>
      <c r="AE62" s="5">
        <f t="shared" si="7"/>
        <v>47.857142857142861</v>
      </c>
      <c r="AF62" s="5" t="str">
        <f t="shared" si="8"/>
        <v/>
      </c>
      <c r="AG62" s="5" t="str">
        <f t="shared" si="9"/>
        <v/>
      </c>
      <c r="AH62" s="5" t="str">
        <f t="shared" si="10"/>
        <v/>
      </c>
      <c r="AI62" s="5">
        <f t="shared" si="11"/>
        <v>55</v>
      </c>
      <c r="AJ62" s="5">
        <f t="shared" si="12"/>
        <v>45.833333333333329</v>
      </c>
      <c r="AK62" s="5">
        <f t="shared" si="13"/>
        <v>52.142857142857146</v>
      </c>
    </row>
    <row r="63" spans="1:37" x14ac:dyDescent="0.25">
      <c r="A63" t="s">
        <v>82</v>
      </c>
      <c r="B63">
        <v>3</v>
      </c>
      <c r="C63">
        <v>5</v>
      </c>
      <c r="D63">
        <v>8</v>
      </c>
      <c r="E63" s="5">
        <v>66.666666666666657</v>
      </c>
      <c r="F63" s="5">
        <v>40</v>
      </c>
      <c r="G63" s="5">
        <v>50</v>
      </c>
      <c r="H63" s="5"/>
      <c r="I63" s="5"/>
      <c r="J63" s="5"/>
      <c r="K63" s="5">
        <v>33.333333333333329</v>
      </c>
      <c r="L63" s="5">
        <v>60</v>
      </c>
      <c r="M63" s="5">
        <v>50</v>
      </c>
      <c r="N63" s="3">
        <v>5</v>
      </c>
      <c r="O63" s="3">
        <v>5</v>
      </c>
      <c r="P63" s="3">
        <v>10</v>
      </c>
      <c r="Q63" s="5">
        <v>50</v>
      </c>
      <c r="R63" s="5">
        <v>80</v>
      </c>
      <c r="S63" s="5">
        <v>66.666666666666657</v>
      </c>
      <c r="T63" s="5"/>
      <c r="U63" s="5"/>
      <c r="V63" s="5"/>
      <c r="W63" s="5">
        <v>50</v>
      </c>
      <c r="X63" s="5">
        <v>20</v>
      </c>
      <c r="Y63" s="5">
        <v>33.333333333333329</v>
      </c>
      <c r="Z63" s="3">
        <f t="shared" si="2"/>
        <v>4</v>
      </c>
      <c r="AA63" s="3">
        <f t="shared" si="3"/>
        <v>5</v>
      </c>
      <c r="AB63" s="3">
        <f t="shared" si="4"/>
        <v>9</v>
      </c>
      <c r="AC63" s="5">
        <f t="shared" si="5"/>
        <v>58.333333333333329</v>
      </c>
      <c r="AD63" s="5">
        <f t="shared" si="6"/>
        <v>60</v>
      </c>
      <c r="AE63" s="5">
        <f t="shared" si="7"/>
        <v>58.333333333333329</v>
      </c>
      <c r="AF63" s="5" t="str">
        <f t="shared" si="8"/>
        <v/>
      </c>
      <c r="AG63" s="5" t="str">
        <f t="shared" si="9"/>
        <v/>
      </c>
      <c r="AH63" s="5" t="str">
        <f t="shared" si="10"/>
        <v/>
      </c>
      <c r="AI63" s="5">
        <f t="shared" si="11"/>
        <v>41.666666666666664</v>
      </c>
      <c r="AJ63" s="5">
        <f t="shared" si="12"/>
        <v>40</v>
      </c>
      <c r="AK63" s="5">
        <f t="shared" si="13"/>
        <v>41.666666666666664</v>
      </c>
    </row>
    <row r="64" spans="1:37" x14ac:dyDescent="0.25">
      <c r="A64" t="s">
        <v>83</v>
      </c>
      <c r="B64">
        <v>4</v>
      </c>
      <c r="C64">
        <v>9</v>
      </c>
      <c r="D64">
        <v>13</v>
      </c>
      <c r="E64" s="5">
        <v>100</v>
      </c>
      <c r="F64" s="5">
        <v>44.444444444444443</v>
      </c>
      <c r="G64" s="5">
        <v>61.53846153846154</v>
      </c>
      <c r="H64" s="5"/>
      <c r="I64" s="5"/>
      <c r="J64" s="5"/>
      <c r="K64" s="5"/>
      <c r="L64" s="5">
        <v>55.555555555555557</v>
      </c>
      <c r="M64" s="5">
        <v>38.461538461538467</v>
      </c>
      <c r="N64" s="3">
        <v>5</v>
      </c>
      <c r="O64" s="3">
        <v>9</v>
      </c>
      <c r="P64" s="3">
        <v>14</v>
      </c>
      <c r="Q64" s="5">
        <v>100</v>
      </c>
      <c r="R64" s="5">
        <v>28.571428571428569</v>
      </c>
      <c r="S64" s="5">
        <v>37.5</v>
      </c>
      <c r="T64" s="5"/>
      <c r="U64" s="5"/>
      <c r="V64" s="5"/>
      <c r="W64" s="5"/>
      <c r="X64" s="5">
        <v>71.428571428571431</v>
      </c>
      <c r="Y64" s="5">
        <v>62.5</v>
      </c>
      <c r="Z64" s="3">
        <f t="shared" si="2"/>
        <v>4.5</v>
      </c>
      <c r="AA64" s="3">
        <f t="shared" si="3"/>
        <v>9</v>
      </c>
      <c r="AB64" s="3">
        <f t="shared" si="4"/>
        <v>13.5</v>
      </c>
      <c r="AC64" s="5">
        <f t="shared" si="5"/>
        <v>100</v>
      </c>
      <c r="AD64" s="5">
        <f t="shared" si="6"/>
        <v>36.507936507936506</v>
      </c>
      <c r="AE64" s="5">
        <f t="shared" si="7"/>
        <v>49.519230769230774</v>
      </c>
      <c r="AF64" s="5" t="str">
        <f t="shared" si="8"/>
        <v/>
      </c>
      <c r="AG64" s="5" t="str">
        <f t="shared" si="9"/>
        <v/>
      </c>
      <c r="AH64" s="5" t="str">
        <f t="shared" si="10"/>
        <v/>
      </c>
      <c r="AI64" s="5" t="str">
        <f t="shared" si="11"/>
        <v/>
      </c>
      <c r="AJ64" s="5">
        <f t="shared" si="12"/>
        <v>63.492063492063494</v>
      </c>
      <c r="AK64" s="5">
        <f t="shared" si="13"/>
        <v>50.480769230769234</v>
      </c>
    </row>
    <row r="65" spans="1:37" x14ac:dyDescent="0.25">
      <c r="A65" t="s">
        <v>84</v>
      </c>
      <c r="B65">
        <v>4</v>
      </c>
      <c r="C65">
        <v>3</v>
      </c>
      <c r="D65">
        <v>7</v>
      </c>
      <c r="E65" s="5">
        <v>100</v>
      </c>
      <c r="F65" s="5">
        <v>33.333333333333329</v>
      </c>
      <c r="G65" s="5">
        <v>71.428571428571431</v>
      </c>
      <c r="H65" s="5"/>
      <c r="I65" s="5"/>
      <c r="J65" s="5"/>
      <c r="K65" s="5"/>
      <c r="L65" s="5">
        <v>66.666666666666657</v>
      </c>
      <c r="M65" s="5">
        <v>28.571428571428569</v>
      </c>
      <c r="N65" s="3">
        <v>4</v>
      </c>
      <c r="O65" s="3">
        <v>5</v>
      </c>
      <c r="P65" s="3">
        <v>9</v>
      </c>
      <c r="Q65" s="5">
        <v>83.333333333333343</v>
      </c>
      <c r="R65" s="5">
        <v>85.714285714285708</v>
      </c>
      <c r="S65" s="5">
        <v>84.615384615384613</v>
      </c>
      <c r="T65" s="5"/>
      <c r="U65" s="5"/>
      <c r="V65" s="5"/>
      <c r="W65" s="5">
        <v>16.666666666666664</v>
      </c>
      <c r="X65" s="5">
        <v>14.285714285714285</v>
      </c>
      <c r="Y65" s="5">
        <v>15.384615384615385</v>
      </c>
      <c r="Z65" s="3">
        <f t="shared" si="2"/>
        <v>4</v>
      </c>
      <c r="AA65" s="3">
        <f t="shared" si="3"/>
        <v>4</v>
      </c>
      <c r="AB65" s="3">
        <f t="shared" si="4"/>
        <v>8</v>
      </c>
      <c r="AC65" s="5">
        <f t="shared" si="5"/>
        <v>91.666666666666671</v>
      </c>
      <c r="AD65" s="5">
        <f t="shared" si="6"/>
        <v>59.523809523809518</v>
      </c>
      <c r="AE65" s="5">
        <f t="shared" si="7"/>
        <v>78.021978021978015</v>
      </c>
      <c r="AF65" s="5" t="str">
        <f t="shared" si="8"/>
        <v/>
      </c>
      <c r="AG65" s="5" t="str">
        <f t="shared" si="9"/>
        <v/>
      </c>
      <c r="AH65" s="5" t="str">
        <f t="shared" si="10"/>
        <v/>
      </c>
      <c r="AI65" s="5">
        <f t="shared" si="11"/>
        <v>8.3333333333333321</v>
      </c>
      <c r="AJ65" s="5">
        <f t="shared" si="12"/>
        <v>40.476190476190467</v>
      </c>
      <c r="AK65" s="5">
        <f t="shared" si="13"/>
        <v>21.978021978021978</v>
      </c>
    </row>
    <row r="66" spans="1:37" x14ac:dyDescent="0.25">
      <c r="A66" t="s">
        <v>85</v>
      </c>
      <c r="B66">
        <v>5</v>
      </c>
      <c r="C66">
        <v>4</v>
      </c>
      <c r="D66">
        <v>9</v>
      </c>
      <c r="E66" s="5">
        <v>80</v>
      </c>
      <c r="F66" s="5">
        <v>25</v>
      </c>
      <c r="G66" s="5">
        <v>55.555555555555557</v>
      </c>
      <c r="H66" s="5"/>
      <c r="I66" s="5"/>
      <c r="J66" s="5"/>
      <c r="K66" s="5">
        <v>20</v>
      </c>
      <c r="L66" s="5">
        <v>75</v>
      </c>
      <c r="M66" s="5">
        <v>44.444444444444443</v>
      </c>
      <c r="N66" s="3">
        <v>1</v>
      </c>
      <c r="O66" s="3">
        <v>7</v>
      </c>
      <c r="P66" s="3">
        <v>8</v>
      </c>
      <c r="Q66" s="5">
        <v>20</v>
      </c>
      <c r="R66" s="5">
        <v>40</v>
      </c>
      <c r="S66" s="5">
        <v>30</v>
      </c>
      <c r="T66" s="5"/>
      <c r="U66" s="5"/>
      <c r="V66" s="5"/>
      <c r="W66" s="5">
        <v>80</v>
      </c>
      <c r="X66" s="5">
        <v>60</v>
      </c>
      <c r="Y66" s="5">
        <v>70</v>
      </c>
      <c r="Z66" s="3">
        <f t="shared" si="2"/>
        <v>3</v>
      </c>
      <c r="AA66" s="3">
        <f t="shared" si="3"/>
        <v>5.5</v>
      </c>
      <c r="AB66" s="3">
        <f t="shared" si="4"/>
        <v>8.5</v>
      </c>
      <c r="AC66" s="5">
        <f t="shared" si="5"/>
        <v>50</v>
      </c>
      <c r="AD66" s="5">
        <f t="shared" si="6"/>
        <v>32.5</v>
      </c>
      <c r="AE66" s="5">
        <f t="shared" si="7"/>
        <v>42.777777777777779</v>
      </c>
      <c r="AF66" s="5" t="str">
        <f t="shared" si="8"/>
        <v/>
      </c>
      <c r="AG66" s="5" t="str">
        <f t="shared" si="9"/>
        <v/>
      </c>
      <c r="AH66" s="5" t="str">
        <f t="shared" si="10"/>
        <v/>
      </c>
      <c r="AI66" s="5">
        <f t="shared" si="11"/>
        <v>50</v>
      </c>
      <c r="AJ66" s="5">
        <f t="shared" si="12"/>
        <v>67.5</v>
      </c>
      <c r="AK66" s="5">
        <f t="shared" si="13"/>
        <v>57.222222222222221</v>
      </c>
    </row>
    <row r="67" spans="1:37" x14ac:dyDescent="0.25">
      <c r="A67" t="s">
        <v>86</v>
      </c>
      <c r="B67">
        <v>7</v>
      </c>
      <c r="C67">
        <v>6</v>
      </c>
      <c r="D67">
        <v>13</v>
      </c>
      <c r="E67" s="5">
        <v>71.428571428571431</v>
      </c>
      <c r="F67" s="5">
        <v>66.666666666666657</v>
      </c>
      <c r="G67" s="5">
        <v>69.230769230769226</v>
      </c>
      <c r="H67" s="5"/>
      <c r="I67" s="5"/>
      <c r="J67" s="5"/>
      <c r="K67" s="5">
        <v>28.571428571428569</v>
      </c>
      <c r="L67" s="5">
        <v>33.333333333333329</v>
      </c>
      <c r="M67" s="5">
        <v>30.76923076923077</v>
      </c>
      <c r="N67" s="3">
        <v>6</v>
      </c>
      <c r="O67" s="3">
        <v>7</v>
      </c>
      <c r="P67" s="3">
        <v>13</v>
      </c>
      <c r="Q67" s="5">
        <v>20</v>
      </c>
      <c r="R67" s="5">
        <v>66.666666666666657</v>
      </c>
      <c r="S67" s="5">
        <v>50</v>
      </c>
      <c r="T67" s="5"/>
      <c r="U67" s="5"/>
      <c r="V67" s="5"/>
      <c r="W67" s="5">
        <v>80</v>
      </c>
      <c r="X67" s="5">
        <v>33.333333333333329</v>
      </c>
      <c r="Y67" s="5">
        <v>50</v>
      </c>
      <c r="Z67" s="3">
        <f t="shared" ref="Z67:Z103" si="14">SUM(B67+N67)/2</f>
        <v>6.5</v>
      </c>
      <c r="AA67" s="3">
        <f t="shared" ref="AA67:AA103" si="15">SUM(C67+O67)/2</f>
        <v>6.5</v>
      </c>
      <c r="AB67" s="3">
        <f t="shared" ref="AB67:AB103" si="16">SUM(D67+P67)/2</f>
        <v>13</v>
      </c>
      <c r="AC67" s="5">
        <f t="shared" ref="AC67:AC89" si="17">IF((E67+Q67)&gt;0,SUM((Q67+E67)/2),"")</f>
        <v>45.714285714285715</v>
      </c>
      <c r="AD67" s="5">
        <f t="shared" ref="AD67:AD89" si="18">IF((F67+R67)&gt;0,SUM((R67+F67)/2),"")</f>
        <v>66.666666666666657</v>
      </c>
      <c r="AE67" s="5">
        <f t="shared" ref="AE67:AE89" si="19">IF((G67+S67)&gt;0,SUM((S67+G67)/2),"")</f>
        <v>59.615384615384613</v>
      </c>
      <c r="AF67" s="5" t="str">
        <f t="shared" ref="AF67:AF89" si="20">IF((H67+T67)&gt;0,SUM((T67+H67)/2),"")</f>
        <v/>
      </c>
      <c r="AG67" s="5" t="str">
        <f t="shared" ref="AG67:AG89" si="21">IF((I67+U67)&gt;0,SUM((U67+I67)/2),"")</f>
        <v/>
      </c>
      <c r="AH67" s="5" t="str">
        <f t="shared" ref="AH67:AH89" si="22">IF((J67+V67)&gt;0,SUM((V67+J67)/2),"")</f>
        <v/>
      </c>
      <c r="AI67" s="5">
        <f t="shared" ref="AI67:AI89" si="23">IF((K67+W67)&gt;0,SUM((W67+K67)/2),"")</f>
        <v>54.285714285714285</v>
      </c>
      <c r="AJ67" s="5">
        <f t="shared" ref="AJ67:AJ89" si="24">IF((L67+X67)&gt;0,SUM((X67+L67)/2),"")</f>
        <v>33.333333333333329</v>
      </c>
      <c r="AK67" s="5">
        <f t="shared" ref="AK67:AK89" si="25">IF((M67+Y67)&gt;0,SUM((Y67+M67)/2),"")</f>
        <v>40.384615384615387</v>
      </c>
    </row>
    <row r="68" spans="1:37" x14ac:dyDescent="0.25">
      <c r="A68" t="s">
        <v>87</v>
      </c>
      <c r="B68">
        <v>6</v>
      </c>
      <c r="C68">
        <v>6</v>
      </c>
      <c r="D68">
        <v>12</v>
      </c>
      <c r="E68" s="5"/>
      <c r="F68" s="5"/>
      <c r="G68" s="5"/>
      <c r="H68" s="5"/>
      <c r="I68" s="5"/>
      <c r="J68" s="5"/>
      <c r="K68" s="5">
        <v>100</v>
      </c>
      <c r="L68" s="5">
        <v>100</v>
      </c>
      <c r="M68" s="5">
        <v>100</v>
      </c>
      <c r="N68" s="3">
        <v>5</v>
      </c>
      <c r="O68" s="3">
        <v>5</v>
      </c>
      <c r="P68" s="3">
        <v>10</v>
      </c>
      <c r="Q68" s="5">
        <v>20</v>
      </c>
      <c r="R68" s="5">
        <v>75</v>
      </c>
      <c r="S68" s="5">
        <v>44.444444444444443</v>
      </c>
      <c r="T68" s="5"/>
      <c r="U68" s="5"/>
      <c r="V68" s="5"/>
      <c r="W68" s="5">
        <v>80</v>
      </c>
      <c r="X68" s="5">
        <v>25</v>
      </c>
      <c r="Y68" s="5">
        <v>55.555555555555557</v>
      </c>
      <c r="Z68" s="3">
        <f t="shared" si="14"/>
        <v>5.5</v>
      </c>
      <c r="AA68" s="3">
        <f t="shared" si="15"/>
        <v>5.5</v>
      </c>
      <c r="AB68" s="3">
        <f t="shared" si="16"/>
        <v>11</v>
      </c>
      <c r="AC68" s="5">
        <f t="shared" si="17"/>
        <v>10</v>
      </c>
      <c r="AD68" s="5">
        <f t="shared" si="18"/>
        <v>37.5</v>
      </c>
      <c r="AE68" s="5">
        <f t="shared" si="19"/>
        <v>22.222222222222221</v>
      </c>
      <c r="AF68" s="5" t="str">
        <f t="shared" si="20"/>
        <v/>
      </c>
      <c r="AG68" s="5" t="str">
        <f t="shared" si="21"/>
        <v/>
      </c>
      <c r="AH68" s="5" t="str">
        <f t="shared" si="22"/>
        <v/>
      </c>
      <c r="AI68" s="5">
        <f t="shared" si="23"/>
        <v>90</v>
      </c>
      <c r="AJ68" s="5">
        <f t="shared" si="24"/>
        <v>62.5</v>
      </c>
      <c r="AK68" s="5">
        <f t="shared" si="25"/>
        <v>77.777777777777771</v>
      </c>
    </row>
    <row r="69" spans="1:37" x14ac:dyDescent="0.25">
      <c r="A69" t="s">
        <v>88</v>
      </c>
      <c r="B69">
        <v>3</v>
      </c>
      <c r="C69">
        <v>6</v>
      </c>
      <c r="D69">
        <v>9</v>
      </c>
      <c r="E69" s="5"/>
      <c r="F69" s="5"/>
      <c r="G69" s="5"/>
      <c r="H69" s="5"/>
      <c r="I69" s="5"/>
      <c r="J69" s="5"/>
      <c r="K69" s="5">
        <v>100</v>
      </c>
      <c r="L69" s="5">
        <v>100</v>
      </c>
      <c r="M69" s="5">
        <v>100</v>
      </c>
      <c r="N69" s="3">
        <v>5</v>
      </c>
      <c r="O69" s="3">
        <v>9</v>
      </c>
      <c r="P69" s="3">
        <v>14</v>
      </c>
      <c r="Q69" s="5">
        <v>50</v>
      </c>
      <c r="R69" s="5">
        <v>33.333333333333329</v>
      </c>
      <c r="S69" s="5">
        <v>42.857142857142854</v>
      </c>
      <c r="T69" s="5"/>
      <c r="U69" s="5"/>
      <c r="V69" s="5"/>
      <c r="W69" s="5">
        <v>50</v>
      </c>
      <c r="X69" s="5">
        <v>66.666666666666657</v>
      </c>
      <c r="Y69" s="5">
        <v>57.142857142857139</v>
      </c>
      <c r="Z69" s="3">
        <f t="shared" si="14"/>
        <v>4</v>
      </c>
      <c r="AA69" s="3">
        <f t="shared" si="15"/>
        <v>7.5</v>
      </c>
      <c r="AB69" s="3">
        <f t="shared" si="16"/>
        <v>11.5</v>
      </c>
      <c r="AC69" s="5">
        <f t="shared" si="17"/>
        <v>25</v>
      </c>
      <c r="AD69" s="5">
        <f t="shared" si="18"/>
        <v>16.666666666666664</v>
      </c>
      <c r="AE69" s="5">
        <f t="shared" si="19"/>
        <v>21.428571428571427</v>
      </c>
      <c r="AF69" s="5" t="str">
        <f t="shared" si="20"/>
        <v/>
      </c>
      <c r="AG69" s="5" t="str">
        <f t="shared" si="21"/>
        <v/>
      </c>
      <c r="AH69" s="5" t="str">
        <f t="shared" si="22"/>
        <v/>
      </c>
      <c r="AI69" s="5">
        <f t="shared" si="23"/>
        <v>75</v>
      </c>
      <c r="AJ69" s="5">
        <f t="shared" si="24"/>
        <v>83.333333333333329</v>
      </c>
      <c r="AK69" s="5">
        <f t="shared" si="25"/>
        <v>78.571428571428569</v>
      </c>
    </row>
    <row r="70" spans="1:37" x14ac:dyDescent="0.25">
      <c r="A70" t="s">
        <v>89</v>
      </c>
      <c r="B70">
        <v>6</v>
      </c>
      <c r="C70">
        <v>3</v>
      </c>
      <c r="D70">
        <v>9</v>
      </c>
      <c r="E70" s="5"/>
      <c r="F70" s="5"/>
      <c r="G70" s="5"/>
      <c r="H70" s="5"/>
      <c r="I70" s="5"/>
      <c r="J70" s="5"/>
      <c r="K70" s="5">
        <v>100</v>
      </c>
      <c r="L70" s="5">
        <v>100</v>
      </c>
      <c r="M70" s="5">
        <v>100</v>
      </c>
      <c r="N70" s="3">
        <v>5</v>
      </c>
      <c r="O70" s="3">
        <v>4</v>
      </c>
      <c r="P70" s="3">
        <v>9</v>
      </c>
      <c r="Q70" s="5">
        <v>66.666666666666657</v>
      </c>
      <c r="R70" s="5"/>
      <c r="S70" s="5">
        <v>50</v>
      </c>
      <c r="T70" s="5"/>
      <c r="U70" s="5"/>
      <c r="V70" s="5"/>
      <c r="W70" s="5">
        <v>33.333333333333329</v>
      </c>
      <c r="X70" s="5">
        <v>100</v>
      </c>
      <c r="Y70" s="5">
        <v>50</v>
      </c>
      <c r="Z70" s="3">
        <f t="shared" si="14"/>
        <v>5.5</v>
      </c>
      <c r="AA70" s="3">
        <f t="shared" si="15"/>
        <v>3.5</v>
      </c>
      <c r="AB70" s="3">
        <f t="shared" si="16"/>
        <v>9</v>
      </c>
      <c r="AC70" s="5">
        <f t="shared" si="17"/>
        <v>33.333333333333329</v>
      </c>
      <c r="AD70" s="5" t="str">
        <f t="shared" si="18"/>
        <v/>
      </c>
      <c r="AE70" s="5">
        <f t="shared" si="19"/>
        <v>25</v>
      </c>
      <c r="AF70" s="5" t="str">
        <f t="shared" si="20"/>
        <v/>
      </c>
      <c r="AG70" s="5" t="str">
        <f t="shared" si="21"/>
        <v/>
      </c>
      <c r="AH70" s="5" t="str">
        <f t="shared" si="22"/>
        <v/>
      </c>
      <c r="AI70" s="5">
        <f t="shared" si="23"/>
        <v>66.666666666666657</v>
      </c>
      <c r="AJ70" s="5">
        <f t="shared" si="24"/>
        <v>100</v>
      </c>
      <c r="AK70" s="5">
        <f t="shared" si="25"/>
        <v>75</v>
      </c>
    </row>
    <row r="71" spans="1:37" x14ac:dyDescent="0.25">
      <c r="A71" t="s">
        <v>90</v>
      </c>
      <c r="B71">
        <v>1</v>
      </c>
      <c r="C71">
        <v>5</v>
      </c>
      <c r="D71">
        <v>6</v>
      </c>
      <c r="E71" s="5"/>
      <c r="F71" s="5"/>
      <c r="G71" s="5"/>
      <c r="H71" s="5"/>
      <c r="I71" s="5"/>
      <c r="J71" s="5"/>
      <c r="K71" s="5">
        <v>100</v>
      </c>
      <c r="L71" s="5">
        <v>100</v>
      </c>
      <c r="M71" s="5">
        <v>100</v>
      </c>
      <c r="N71" s="3">
        <v>4</v>
      </c>
      <c r="O71" s="3">
        <v>3</v>
      </c>
      <c r="P71" s="3">
        <v>7</v>
      </c>
      <c r="Q71" s="5">
        <v>20</v>
      </c>
      <c r="R71" s="5">
        <v>16.666666666666664</v>
      </c>
      <c r="S71" s="5">
        <v>18.181818181818183</v>
      </c>
      <c r="T71" s="5"/>
      <c r="U71" s="5"/>
      <c r="V71" s="5"/>
      <c r="W71" s="5">
        <v>80</v>
      </c>
      <c r="X71" s="5">
        <v>83.333333333333343</v>
      </c>
      <c r="Y71" s="5">
        <v>81.818181818181827</v>
      </c>
      <c r="Z71" s="3">
        <f t="shared" si="14"/>
        <v>2.5</v>
      </c>
      <c r="AA71" s="3">
        <f t="shared" si="15"/>
        <v>4</v>
      </c>
      <c r="AB71" s="3">
        <f t="shared" si="16"/>
        <v>6.5</v>
      </c>
      <c r="AC71" s="5">
        <f t="shared" si="17"/>
        <v>10</v>
      </c>
      <c r="AD71" s="5">
        <f t="shared" si="18"/>
        <v>8.3333333333333321</v>
      </c>
      <c r="AE71" s="5">
        <f t="shared" si="19"/>
        <v>9.0909090909090917</v>
      </c>
      <c r="AF71" s="5" t="str">
        <f t="shared" si="20"/>
        <v/>
      </c>
      <c r="AG71" s="5" t="str">
        <f t="shared" si="21"/>
        <v/>
      </c>
      <c r="AH71" s="5" t="str">
        <f t="shared" si="22"/>
        <v/>
      </c>
      <c r="AI71" s="5">
        <f t="shared" si="23"/>
        <v>90</v>
      </c>
      <c r="AJ71" s="5">
        <f t="shared" si="24"/>
        <v>91.666666666666671</v>
      </c>
      <c r="AK71" s="5">
        <f t="shared" si="25"/>
        <v>90.909090909090907</v>
      </c>
    </row>
    <row r="72" spans="1:37" x14ac:dyDescent="0.25">
      <c r="A72" t="s">
        <v>91</v>
      </c>
      <c r="B72">
        <v>2</v>
      </c>
      <c r="C72">
        <v>1</v>
      </c>
      <c r="D72">
        <v>3</v>
      </c>
      <c r="E72" s="5"/>
      <c r="F72" s="5"/>
      <c r="G72" s="5"/>
      <c r="H72" s="5"/>
      <c r="I72" s="5"/>
      <c r="J72" s="5"/>
      <c r="K72" s="5">
        <v>100</v>
      </c>
      <c r="L72" s="5">
        <v>100</v>
      </c>
      <c r="M72" s="5">
        <v>100</v>
      </c>
      <c r="N72" s="3">
        <v>3</v>
      </c>
      <c r="O72" s="3">
        <v>1</v>
      </c>
      <c r="P72" s="3">
        <v>4</v>
      </c>
      <c r="Q72" s="5"/>
      <c r="R72" s="5"/>
      <c r="S72" s="5"/>
      <c r="T72" s="5"/>
      <c r="U72" s="5"/>
      <c r="V72" s="5"/>
      <c r="W72" s="5">
        <v>100</v>
      </c>
      <c r="X72" s="5">
        <v>100</v>
      </c>
      <c r="Y72" s="5">
        <v>100</v>
      </c>
      <c r="Z72" s="3">
        <f t="shared" si="14"/>
        <v>2.5</v>
      </c>
      <c r="AA72" s="3">
        <f t="shared" si="15"/>
        <v>1</v>
      </c>
      <c r="AB72" s="3">
        <f t="shared" si="16"/>
        <v>3.5</v>
      </c>
      <c r="AC72" s="5" t="str">
        <f t="shared" si="17"/>
        <v/>
      </c>
      <c r="AD72" s="5" t="str">
        <f t="shared" si="18"/>
        <v/>
      </c>
      <c r="AE72" s="5" t="str">
        <f t="shared" si="19"/>
        <v/>
      </c>
      <c r="AF72" s="5" t="str">
        <f t="shared" si="20"/>
        <v/>
      </c>
      <c r="AG72" s="5" t="str">
        <f t="shared" si="21"/>
        <v/>
      </c>
      <c r="AH72" s="5" t="str">
        <f t="shared" si="22"/>
        <v/>
      </c>
      <c r="AI72" s="5">
        <f t="shared" si="23"/>
        <v>100</v>
      </c>
      <c r="AJ72" s="5">
        <f t="shared" si="24"/>
        <v>100</v>
      </c>
      <c r="AK72" s="5">
        <f t="shared" si="25"/>
        <v>100</v>
      </c>
    </row>
    <row r="73" spans="1:37" x14ac:dyDescent="0.25">
      <c r="A73" t="s">
        <v>92</v>
      </c>
      <c r="B73">
        <v>1</v>
      </c>
      <c r="C73">
        <v>3</v>
      </c>
      <c r="D73">
        <v>4</v>
      </c>
      <c r="E73" s="5"/>
      <c r="F73" s="5"/>
      <c r="G73" s="5"/>
      <c r="H73" s="5"/>
      <c r="I73" s="5"/>
      <c r="J73" s="5"/>
      <c r="K73" s="5">
        <v>100</v>
      </c>
      <c r="L73" s="5">
        <v>100</v>
      </c>
      <c r="M73" s="5">
        <v>100</v>
      </c>
      <c r="N73" s="3">
        <v>5</v>
      </c>
      <c r="O73" s="3">
        <v>6</v>
      </c>
      <c r="P73" s="3">
        <v>11</v>
      </c>
      <c r="Q73" s="5"/>
      <c r="R73" s="5"/>
      <c r="S73" s="5"/>
      <c r="T73" s="5"/>
      <c r="U73" s="5"/>
      <c r="V73" s="5"/>
      <c r="W73" s="5">
        <v>100</v>
      </c>
      <c r="X73" s="5">
        <v>100</v>
      </c>
      <c r="Y73" s="5">
        <v>100</v>
      </c>
      <c r="Z73" s="3">
        <f t="shared" si="14"/>
        <v>3</v>
      </c>
      <c r="AA73" s="3">
        <f t="shared" si="15"/>
        <v>4.5</v>
      </c>
      <c r="AB73" s="3">
        <f t="shared" si="16"/>
        <v>7.5</v>
      </c>
      <c r="AC73" s="5" t="str">
        <f t="shared" si="17"/>
        <v/>
      </c>
      <c r="AD73" s="5" t="str">
        <f t="shared" si="18"/>
        <v/>
      </c>
      <c r="AE73" s="5" t="str">
        <f t="shared" si="19"/>
        <v/>
      </c>
      <c r="AF73" s="5" t="str">
        <f t="shared" si="20"/>
        <v/>
      </c>
      <c r="AG73" s="5" t="str">
        <f t="shared" si="21"/>
        <v/>
      </c>
      <c r="AH73" s="5" t="str">
        <f t="shared" si="22"/>
        <v/>
      </c>
      <c r="AI73" s="5">
        <f t="shared" si="23"/>
        <v>100</v>
      </c>
      <c r="AJ73" s="5">
        <f t="shared" si="24"/>
        <v>100</v>
      </c>
      <c r="AK73" s="5">
        <f t="shared" si="25"/>
        <v>100</v>
      </c>
    </row>
    <row r="74" spans="1:37" x14ac:dyDescent="0.25">
      <c r="A74" t="s">
        <v>93</v>
      </c>
      <c r="B74">
        <v>2</v>
      </c>
      <c r="C74">
        <v>4</v>
      </c>
      <c r="D74">
        <v>6</v>
      </c>
      <c r="E74" s="5"/>
      <c r="F74" s="5"/>
      <c r="G74" s="5"/>
      <c r="H74" s="5"/>
      <c r="I74" s="5"/>
      <c r="J74" s="5"/>
      <c r="K74" s="5">
        <v>100</v>
      </c>
      <c r="L74" s="5">
        <v>100</v>
      </c>
      <c r="M74" s="5">
        <v>100</v>
      </c>
      <c r="N74" s="3">
        <v>1</v>
      </c>
      <c r="O74" s="3">
        <v>1</v>
      </c>
      <c r="P74" s="3">
        <v>2</v>
      </c>
      <c r="Q74" s="5">
        <v>25</v>
      </c>
      <c r="R74" s="5">
        <v>20</v>
      </c>
      <c r="S74" s="5">
        <v>22.222222222222221</v>
      </c>
      <c r="T74" s="5"/>
      <c r="U74" s="5"/>
      <c r="V74" s="5"/>
      <c r="W74" s="5">
        <v>75</v>
      </c>
      <c r="X74" s="5">
        <v>80</v>
      </c>
      <c r="Y74" s="5">
        <v>77.777777777777786</v>
      </c>
      <c r="Z74" s="3">
        <f t="shared" si="14"/>
        <v>1.5</v>
      </c>
      <c r="AA74" s="3">
        <f t="shared" si="15"/>
        <v>2.5</v>
      </c>
      <c r="AB74" s="3">
        <f t="shared" si="16"/>
        <v>4</v>
      </c>
      <c r="AC74" s="5">
        <f t="shared" si="17"/>
        <v>12.5</v>
      </c>
      <c r="AD74" s="5">
        <f t="shared" si="18"/>
        <v>10</v>
      </c>
      <c r="AE74" s="5">
        <f t="shared" si="19"/>
        <v>11.111111111111111</v>
      </c>
      <c r="AF74" s="5" t="str">
        <f t="shared" si="20"/>
        <v/>
      </c>
      <c r="AG74" s="5" t="str">
        <f t="shared" si="21"/>
        <v/>
      </c>
      <c r="AH74" s="5" t="str">
        <f t="shared" si="22"/>
        <v/>
      </c>
      <c r="AI74" s="5">
        <f t="shared" si="23"/>
        <v>87.5</v>
      </c>
      <c r="AJ74" s="5">
        <f t="shared" si="24"/>
        <v>90</v>
      </c>
      <c r="AK74" s="5">
        <f t="shared" si="25"/>
        <v>88.888888888888886</v>
      </c>
    </row>
    <row r="75" spans="1:37" x14ac:dyDescent="0.25">
      <c r="A75" t="s">
        <v>94</v>
      </c>
      <c r="B75">
        <v>4</v>
      </c>
      <c r="C75">
        <v>3</v>
      </c>
      <c r="D75">
        <v>7</v>
      </c>
      <c r="E75" s="5"/>
      <c r="F75" s="5"/>
      <c r="G75" s="5"/>
      <c r="H75" s="5"/>
      <c r="I75" s="5"/>
      <c r="J75" s="5"/>
      <c r="K75" s="5">
        <v>100</v>
      </c>
      <c r="L75" s="5">
        <v>100</v>
      </c>
      <c r="M75" s="5">
        <v>100</v>
      </c>
      <c r="N75" s="3">
        <v>3</v>
      </c>
      <c r="O75" s="3">
        <v>1</v>
      </c>
      <c r="P75" s="3">
        <v>4</v>
      </c>
      <c r="Q75" s="5">
        <v>33.333333333333329</v>
      </c>
      <c r="R75" s="5"/>
      <c r="S75" s="5">
        <v>14.285714285714285</v>
      </c>
      <c r="T75" s="5"/>
      <c r="U75" s="5"/>
      <c r="V75" s="5"/>
      <c r="W75" s="5">
        <v>66.666666666666657</v>
      </c>
      <c r="X75" s="5">
        <v>100</v>
      </c>
      <c r="Y75" s="5">
        <v>85.714285714285708</v>
      </c>
      <c r="Z75" s="3">
        <f t="shared" si="14"/>
        <v>3.5</v>
      </c>
      <c r="AA75" s="3">
        <f t="shared" si="15"/>
        <v>2</v>
      </c>
      <c r="AB75" s="3">
        <f t="shared" si="16"/>
        <v>5.5</v>
      </c>
      <c r="AC75" s="5">
        <f t="shared" si="17"/>
        <v>16.666666666666664</v>
      </c>
      <c r="AD75" s="5" t="str">
        <f t="shared" si="18"/>
        <v/>
      </c>
      <c r="AE75" s="5">
        <f t="shared" si="19"/>
        <v>7.1428571428571423</v>
      </c>
      <c r="AF75" s="5" t="str">
        <f t="shared" si="20"/>
        <v/>
      </c>
      <c r="AG75" s="5" t="str">
        <f t="shared" si="21"/>
        <v/>
      </c>
      <c r="AH75" s="5" t="str">
        <f t="shared" si="22"/>
        <v/>
      </c>
      <c r="AI75" s="5">
        <f t="shared" si="23"/>
        <v>83.333333333333329</v>
      </c>
      <c r="AJ75" s="5">
        <f t="shared" si="24"/>
        <v>100</v>
      </c>
      <c r="AK75" s="5">
        <f t="shared" si="25"/>
        <v>92.857142857142861</v>
      </c>
    </row>
    <row r="76" spans="1:37" x14ac:dyDescent="0.25">
      <c r="A76" t="s">
        <v>95</v>
      </c>
      <c r="B76">
        <v>3</v>
      </c>
      <c r="C76">
        <v>4</v>
      </c>
      <c r="D76">
        <v>7</v>
      </c>
      <c r="E76" s="5"/>
      <c r="F76" s="5"/>
      <c r="G76" s="5"/>
      <c r="H76" s="5"/>
      <c r="I76" s="5"/>
      <c r="J76" s="5"/>
      <c r="K76" s="5">
        <v>100</v>
      </c>
      <c r="L76" s="5">
        <v>100</v>
      </c>
      <c r="M76" s="5">
        <v>100</v>
      </c>
      <c r="N76" s="3">
        <v>4</v>
      </c>
      <c r="O76" s="3">
        <v>5</v>
      </c>
      <c r="P76" s="3">
        <v>9</v>
      </c>
      <c r="Q76" s="5"/>
      <c r="R76" s="5"/>
      <c r="S76" s="5"/>
      <c r="T76" s="5"/>
      <c r="U76" s="5"/>
      <c r="V76" s="5"/>
      <c r="W76" s="5">
        <v>100</v>
      </c>
      <c r="X76" s="5">
        <v>100</v>
      </c>
      <c r="Y76" s="5">
        <v>100</v>
      </c>
      <c r="Z76" s="3">
        <f t="shared" si="14"/>
        <v>3.5</v>
      </c>
      <c r="AA76" s="3">
        <f t="shared" si="15"/>
        <v>4.5</v>
      </c>
      <c r="AB76" s="3">
        <f t="shared" si="16"/>
        <v>8</v>
      </c>
      <c r="AC76" s="5" t="str">
        <f t="shared" si="17"/>
        <v/>
      </c>
      <c r="AD76" s="5" t="str">
        <f t="shared" si="18"/>
        <v/>
      </c>
      <c r="AE76" s="5" t="str">
        <f t="shared" si="19"/>
        <v/>
      </c>
      <c r="AF76" s="5" t="str">
        <f t="shared" si="20"/>
        <v/>
      </c>
      <c r="AG76" s="5" t="str">
        <f t="shared" si="21"/>
        <v/>
      </c>
      <c r="AH76" s="5" t="str">
        <f t="shared" si="22"/>
        <v/>
      </c>
      <c r="AI76" s="5">
        <f t="shared" si="23"/>
        <v>100</v>
      </c>
      <c r="AJ76" s="5">
        <f t="shared" si="24"/>
        <v>100</v>
      </c>
      <c r="AK76" s="5">
        <f t="shared" si="25"/>
        <v>100</v>
      </c>
    </row>
    <row r="77" spans="1:37" x14ac:dyDescent="0.25">
      <c r="A77" t="s">
        <v>96</v>
      </c>
      <c r="B77">
        <v>3</v>
      </c>
      <c r="C77">
        <v>4</v>
      </c>
      <c r="D77">
        <v>7</v>
      </c>
      <c r="E77" s="5"/>
      <c r="F77" s="5"/>
      <c r="G77" s="5"/>
      <c r="H77" s="5"/>
      <c r="I77" s="5"/>
      <c r="J77" s="5"/>
      <c r="K77" s="5">
        <v>100</v>
      </c>
      <c r="L77" s="5">
        <v>100</v>
      </c>
      <c r="M77" s="5">
        <v>100</v>
      </c>
      <c r="N77" s="3">
        <v>3</v>
      </c>
      <c r="O77" s="3">
        <v>4</v>
      </c>
      <c r="P77" s="3">
        <v>7</v>
      </c>
      <c r="Q77" s="5"/>
      <c r="R77" s="5"/>
      <c r="S77" s="5"/>
      <c r="T77" s="5"/>
      <c r="U77" s="5"/>
      <c r="V77" s="5"/>
      <c r="W77" s="5">
        <v>100</v>
      </c>
      <c r="X77" s="5">
        <v>100</v>
      </c>
      <c r="Y77" s="5">
        <v>100</v>
      </c>
      <c r="Z77" s="3">
        <f t="shared" si="14"/>
        <v>3</v>
      </c>
      <c r="AA77" s="3">
        <f t="shared" si="15"/>
        <v>4</v>
      </c>
      <c r="AB77" s="3">
        <f t="shared" si="16"/>
        <v>7</v>
      </c>
      <c r="AC77" s="5" t="str">
        <f t="shared" si="17"/>
        <v/>
      </c>
      <c r="AD77" s="5" t="str">
        <f t="shared" si="18"/>
        <v/>
      </c>
      <c r="AE77" s="5" t="str">
        <f t="shared" si="19"/>
        <v/>
      </c>
      <c r="AF77" s="5" t="str">
        <f t="shared" si="20"/>
        <v/>
      </c>
      <c r="AG77" s="5" t="str">
        <f t="shared" si="21"/>
        <v/>
      </c>
      <c r="AH77" s="5" t="str">
        <f t="shared" si="22"/>
        <v/>
      </c>
      <c r="AI77" s="5">
        <f t="shared" si="23"/>
        <v>100</v>
      </c>
      <c r="AJ77" s="5">
        <f t="shared" si="24"/>
        <v>100</v>
      </c>
      <c r="AK77" s="5">
        <f t="shared" si="25"/>
        <v>100</v>
      </c>
    </row>
    <row r="78" spans="1:37" x14ac:dyDescent="0.25">
      <c r="A78" t="s">
        <v>97</v>
      </c>
      <c r="B78">
        <v>2</v>
      </c>
      <c r="C78">
        <v>3</v>
      </c>
      <c r="D78">
        <v>5</v>
      </c>
      <c r="E78" s="5"/>
      <c r="F78" s="5"/>
      <c r="G78" s="5"/>
      <c r="H78" s="5"/>
      <c r="I78" s="5"/>
      <c r="J78" s="5"/>
      <c r="K78" s="5">
        <v>100</v>
      </c>
      <c r="L78" s="5">
        <v>100</v>
      </c>
      <c r="M78" s="5">
        <v>100</v>
      </c>
      <c r="N78" s="3">
        <v>3</v>
      </c>
      <c r="O78" s="3">
        <v>2</v>
      </c>
      <c r="P78" s="3">
        <v>5</v>
      </c>
      <c r="Q78" s="5"/>
      <c r="R78" s="5"/>
      <c r="S78" s="5"/>
      <c r="T78" s="5"/>
      <c r="U78" s="5"/>
      <c r="V78" s="5"/>
      <c r="W78" s="5">
        <v>100</v>
      </c>
      <c r="X78" s="5">
        <v>100</v>
      </c>
      <c r="Y78" s="5">
        <v>100</v>
      </c>
      <c r="Z78" s="3">
        <f t="shared" si="14"/>
        <v>2.5</v>
      </c>
      <c r="AA78" s="3">
        <f t="shared" si="15"/>
        <v>2.5</v>
      </c>
      <c r="AB78" s="3">
        <f t="shared" si="16"/>
        <v>5</v>
      </c>
      <c r="AC78" s="5" t="str">
        <f t="shared" si="17"/>
        <v/>
      </c>
      <c r="AD78" s="5" t="str">
        <f t="shared" si="18"/>
        <v/>
      </c>
      <c r="AE78" s="5" t="str">
        <f t="shared" si="19"/>
        <v/>
      </c>
      <c r="AF78" s="5" t="str">
        <f t="shared" si="20"/>
        <v/>
      </c>
      <c r="AG78" s="5" t="str">
        <f t="shared" si="21"/>
        <v/>
      </c>
      <c r="AH78" s="5" t="str">
        <f t="shared" si="22"/>
        <v/>
      </c>
      <c r="AI78" s="5">
        <f t="shared" si="23"/>
        <v>100</v>
      </c>
      <c r="AJ78" s="5">
        <f t="shared" si="24"/>
        <v>100</v>
      </c>
      <c r="AK78" s="5">
        <f t="shared" si="25"/>
        <v>100</v>
      </c>
    </row>
    <row r="79" spans="1:37" x14ac:dyDescent="0.25">
      <c r="A79" t="s">
        <v>98</v>
      </c>
      <c r="B79">
        <v>3</v>
      </c>
      <c r="C79">
        <v>5</v>
      </c>
      <c r="D79">
        <v>8</v>
      </c>
      <c r="E79" s="5"/>
      <c r="F79" s="5"/>
      <c r="G79" s="5"/>
      <c r="H79" s="5"/>
      <c r="I79" s="5"/>
      <c r="J79" s="5"/>
      <c r="K79" s="5">
        <v>100</v>
      </c>
      <c r="L79" s="5">
        <v>100</v>
      </c>
      <c r="M79" s="5">
        <v>100</v>
      </c>
      <c r="N79" s="3">
        <v>1</v>
      </c>
      <c r="O79" s="3">
        <v>4</v>
      </c>
      <c r="P79" s="3">
        <v>5</v>
      </c>
      <c r="Q79" s="5">
        <v>66.666666666666657</v>
      </c>
      <c r="R79" s="5"/>
      <c r="S79" s="5">
        <v>40</v>
      </c>
      <c r="T79" s="5"/>
      <c r="U79" s="5"/>
      <c r="V79" s="5"/>
      <c r="W79" s="5">
        <v>33.333333333333329</v>
      </c>
      <c r="X79" s="5">
        <v>100</v>
      </c>
      <c r="Y79" s="5">
        <v>60</v>
      </c>
      <c r="Z79" s="3">
        <f t="shared" si="14"/>
        <v>2</v>
      </c>
      <c r="AA79" s="3">
        <f t="shared" si="15"/>
        <v>4.5</v>
      </c>
      <c r="AB79" s="3">
        <f t="shared" si="16"/>
        <v>6.5</v>
      </c>
      <c r="AC79" s="5">
        <f t="shared" si="17"/>
        <v>33.333333333333329</v>
      </c>
      <c r="AD79" s="5" t="str">
        <f t="shared" si="18"/>
        <v/>
      </c>
      <c r="AE79" s="5">
        <f t="shared" si="19"/>
        <v>20</v>
      </c>
      <c r="AF79" s="5" t="str">
        <f t="shared" si="20"/>
        <v/>
      </c>
      <c r="AG79" s="5" t="str">
        <f t="shared" si="21"/>
        <v/>
      </c>
      <c r="AH79" s="5" t="str">
        <f t="shared" si="22"/>
        <v/>
      </c>
      <c r="AI79" s="5">
        <f t="shared" si="23"/>
        <v>66.666666666666657</v>
      </c>
      <c r="AJ79" s="5">
        <f t="shared" si="24"/>
        <v>100</v>
      </c>
      <c r="AK79" s="5">
        <f t="shared" si="25"/>
        <v>80</v>
      </c>
    </row>
    <row r="80" spans="1:37" x14ac:dyDescent="0.25">
      <c r="A80" t="s">
        <v>99</v>
      </c>
      <c r="B80">
        <v>1</v>
      </c>
      <c r="C80">
        <v>2</v>
      </c>
      <c r="D80">
        <v>3</v>
      </c>
      <c r="E80" s="5"/>
      <c r="F80" s="5"/>
      <c r="G80" s="5"/>
      <c r="H80" s="5"/>
      <c r="I80" s="5"/>
      <c r="J80" s="5"/>
      <c r="K80" s="5">
        <v>100</v>
      </c>
      <c r="L80" s="5">
        <v>100</v>
      </c>
      <c r="M80" s="5">
        <v>100</v>
      </c>
      <c r="N80" s="3">
        <v>2</v>
      </c>
      <c r="O80" s="3">
        <v>2</v>
      </c>
      <c r="P80" s="3">
        <v>4</v>
      </c>
      <c r="Q80" s="5"/>
      <c r="R80" s="5"/>
      <c r="S80" s="5"/>
      <c r="T80" s="5"/>
      <c r="U80" s="5"/>
      <c r="V80" s="5"/>
      <c r="W80" s="5"/>
      <c r="X80" s="5">
        <v>100</v>
      </c>
      <c r="Y80" s="5">
        <v>100</v>
      </c>
      <c r="Z80" s="3">
        <f t="shared" si="14"/>
        <v>1.5</v>
      </c>
      <c r="AA80" s="3">
        <f t="shared" si="15"/>
        <v>2</v>
      </c>
      <c r="AB80" s="3">
        <f t="shared" si="16"/>
        <v>3.5</v>
      </c>
      <c r="AC80" s="5" t="str">
        <f t="shared" si="17"/>
        <v/>
      </c>
      <c r="AD80" s="5" t="str">
        <f t="shared" si="18"/>
        <v/>
      </c>
      <c r="AE80" s="5" t="str">
        <f t="shared" si="19"/>
        <v/>
      </c>
      <c r="AF80" s="5" t="str">
        <f t="shared" si="20"/>
        <v/>
      </c>
      <c r="AG80" s="5" t="str">
        <f t="shared" si="21"/>
        <v/>
      </c>
      <c r="AH80" s="5" t="str">
        <f t="shared" si="22"/>
        <v/>
      </c>
      <c r="AI80" s="5">
        <f t="shared" si="23"/>
        <v>50</v>
      </c>
      <c r="AJ80" s="5">
        <f t="shared" si="24"/>
        <v>100</v>
      </c>
      <c r="AK80" s="5">
        <f t="shared" si="25"/>
        <v>100</v>
      </c>
    </row>
    <row r="81" spans="1:37" x14ac:dyDescent="0.25">
      <c r="A81" t="s">
        <v>100</v>
      </c>
      <c r="B81">
        <v>4</v>
      </c>
      <c r="C81">
        <v>3</v>
      </c>
      <c r="D81">
        <v>7</v>
      </c>
      <c r="E81" s="5"/>
      <c r="F81" s="5"/>
      <c r="G81" s="5"/>
      <c r="H81" s="5"/>
      <c r="I81" s="5"/>
      <c r="J81" s="5"/>
      <c r="K81" s="5">
        <v>100</v>
      </c>
      <c r="L81" s="5">
        <v>100</v>
      </c>
      <c r="M81" s="5">
        <v>100</v>
      </c>
      <c r="N81" s="3">
        <v>3</v>
      </c>
      <c r="O81" s="3">
        <v>2</v>
      </c>
      <c r="P81" s="3">
        <v>5</v>
      </c>
      <c r="Q81" s="5"/>
      <c r="R81" s="5"/>
      <c r="S81" s="5"/>
      <c r="T81" s="5"/>
      <c r="U81" s="5"/>
      <c r="V81" s="5"/>
      <c r="W81" s="5">
        <v>100</v>
      </c>
      <c r="X81" s="5">
        <v>100</v>
      </c>
      <c r="Y81" s="5">
        <v>100</v>
      </c>
      <c r="Z81" s="3">
        <f t="shared" si="14"/>
        <v>3.5</v>
      </c>
      <c r="AA81" s="3">
        <f t="shared" si="15"/>
        <v>2.5</v>
      </c>
      <c r="AB81" s="3">
        <f t="shared" si="16"/>
        <v>6</v>
      </c>
      <c r="AC81" s="5" t="str">
        <f t="shared" si="17"/>
        <v/>
      </c>
      <c r="AD81" s="5" t="str">
        <f t="shared" si="18"/>
        <v/>
      </c>
      <c r="AE81" s="5" t="str">
        <f t="shared" si="19"/>
        <v/>
      </c>
      <c r="AF81" s="5" t="str">
        <f t="shared" si="20"/>
        <v/>
      </c>
      <c r="AG81" s="5" t="str">
        <f t="shared" si="21"/>
        <v/>
      </c>
      <c r="AH81" s="5" t="str">
        <f t="shared" si="22"/>
        <v/>
      </c>
      <c r="AI81" s="5">
        <f t="shared" si="23"/>
        <v>100</v>
      </c>
      <c r="AJ81" s="5">
        <f t="shared" si="24"/>
        <v>100</v>
      </c>
      <c r="AK81" s="5">
        <f t="shared" si="25"/>
        <v>100</v>
      </c>
    </row>
    <row r="82" spans="1:37" x14ac:dyDescent="0.25">
      <c r="A82" t="s">
        <v>101</v>
      </c>
      <c r="B82">
        <v>1</v>
      </c>
      <c r="C82">
        <v>4</v>
      </c>
      <c r="D82">
        <v>5</v>
      </c>
      <c r="E82" s="5"/>
      <c r="F82" s="5"/>
      <c r="G82" s="5"/>
      <c r="H82" s="5"/>
      <c r="I82" s="5"/>
      <c r="J82" s="5"/>
      <c r="K82" s="5">
        <v>100</v>
      </c>
      <c r="L82" s="5">
        <v>100</v>
      </c>
      <c r="M82" s="5">
        <v>100</v>
      </c>
      <c r="N82" s="3">
        <v>0</v>
      </c>
      <c r="O82" s="3">
        <v>3</v>
      </c>
      <c r="P82" s="3">
        <v>3</v>
      </c>
      <c r="Q82" s="5"/>
      <c r="R82" s="5"/>
      <c r="S82" s="5"/>
      <c r="T82" s="5"/>
      <c r="U82" s="5"/>
      <c r="V82" s="5"/>
      <c r="W82" s="5">
        <v>100</v>
      </c>
      <c r="X82" s="5">
        <v>100</v>
      </c>
      <c r="Y82" s="5">
        <v>100</v>
      </c>
      <c r="Z82" s="3">
        <f t="shared" si="14"/>
        <v>0.5</v>
      </c>
      <c r="AA82" s="3">
        <f t="shared" si="15"/>
        <v>3.5</v>
      </c>
      <c r="AB82" s="3">
        <f t="shared" si="16"/>
        <v>4</v>
      </c>
      <c r="AC82" s="5" t="str">
        <f t="shared" si="17"/>
        <v/>
      </c>
      <c r="AD82" s="5" t="str">
        <f t="shared" si="18"/>
        <v/>
      </c>
      <c r="AE82" s="5" t="str">
        <f t="shared" si="19"/>
        <v/>
      </c>
      <c r="AF82" s="5" t="str">
        <f t="shared" si="20"/>
        <v/>
      </c>
      <c r="AG82" s="5" t="str">
        <f t="shared" si="21"/>
        <v/>
      </c>
      <c r="AH82" s="5" t="str">
        <f t="shared" si="22"/>
        <v/>
      </c>
      <c r="AI82" s="5">
        <f t="shared" si="23"/>
        <v>100</v>
      </c>
      <c r="AJ82" s="5">
        <f t="shared" si="24"/>
        <v>100</v>
      </c>
      <c r="AK82" s="5">
        <f t="shared" si="25"/>
        <v>100</v>
      </c>
    </row>
    <row r="83" spans="1:37" x14ac:dyDescent="0.25">
      <c r="A83" t="s">
        <v>102</v>
      </c>
      <c r="B83">
        <v>1</v>
      </c>
      <c r="C83">
        <v>1</v>
      </c>
      <c r="D83">
        <v>2</v>
      </c>
      <c r="E83" s="5"/>
      <c r="F83" s="5"/>
      <c r="G83" s="5"/>
      <c r="H83" s="5"/>
      <c r="I83" s="5"/>
      <c r="J83" s="5"/>
      <c r="K83" s="5">
        <v>100</v>
      </c>
      <c r="L83" s="5">
        <v>100</v>
      </c>
      <c r="M83" s="5">
        <v>100</v>
      </c>
      <c r="N83" s="3">
        <v>1</v>
      </c>
      <c r="O83" s="3">
        <v>2</v>
      </c>
      <c r="P83" s="3">
        <v>3</v>
      </c>
      <c r="Q83" s="5">
        <v>50</v>
      </c>
      <c r="R83" s="5"/>
      <c r="S83" s="5">
        <v>16.666666666666664</v>
      </c>
      <c r="T83" s="5"/>
      <c r="U83" s="5"/>
      <c r="V83" s="5"/>
      <c r="W83" s="5">
        <v>50</v>
      </c>
      <c r="X83" s="5">
        <v>100</v>
      </c>
      <c r="Y83" s="5">
        <v>83.333333333333343</v>
      </c>
      <c r="Z83" s="3">
        <f t="shared" si="14"/>
        <v>1</v>
      </c>
      <c r="AA83" s="3">
        <f t="shared" si="15"/>
        <v>1.5</v>
      </c>
      <c r="AB83" s="3">
        <f t="shared" si="16"/>
        <v>2.5</v>
      </c>
      <c r="AC83" s="5">
        <f t="shared" si="17"/>
        <v>25</v>
      </c>
      <c r="AD83" s="5" t="str">
        <f t="shared" si="18"/>
        <v/>
      </c>
      <c r="AE83" s="5">
        <f t="shared" si="19"/>
        <v>8.3333333333333321</v>
      </c>
      <c r="AF83" s="5" t="str">
        <f t="shared" si="20"/>
        <v/>
      </c>
      <c r="AG83" s="5" t="str">
        <f t="shared" si="21"/>
        <v/>
      </c>
      <c r="AH83" s="5" t="str">
        <f t="shared" si="22"/>
        <v/>
      </c>
      <c r="AI83" s="5">
        <f t="shared" si="23"/>
        <v>75</v>
      </c>
      <c r="AJ83" s="5">
        <f t="shared" si="24"/>
        <v>100</v>
      </c>
      <c r="AK83" s="5">
        <f t="shared" si="25"/>
        <v>91.666666666666671</v>
      </c>
    </row>
    <row r="84" spans="1:37" x14ac:dyDescent="0.25">
      <c r="A84" t="s">
        <v>103</v>
      </c>
      <c r="B84">
        <v>2</v>
      </c>
      <c r="C84">
        <v>2</v>
      </c>
      <c r="D84">
        <v>4</v>
      </c>
      <c r="E84" s="5"/>
      <c r="F84" s="5"/>
      <c r="G84" s="5"/>
      <c r="H84" s="5"/>
      <c r="I84" s="5"/>
      <c r="J84" s="5"/>
      <c r="K84" s="5">
        <v>100</v>
      </c>
      <c r="L84" s="5">
        <v>100</v>
      </c>
      <c r="M84" s="5">
        <v>100</v>
      </c>
      <c r="N84" s="3">
        <v>3</v>
      </c>
      <c r="O84" s="3">
        <v>2</v>
      </c>
      <c r="P84" s="3">
        <v>5</v>
      </c>
      <c r="Q84" s="5"/>
      <c r="R84" s="5"/>
      <c r="S84" s="5"/>
      <c r="T84" s="5"/>
      <c r="U84" s="5"/>
      <c r="V84" s="5"/>
      <c r="W84" s="5"/>
      <c r="X84" s="5">
        <v>100</v>
      </c>
      <c r="Y84" s="5">
        <v>100</v>
      </c>
      <c r="Z84" s="3">
        <f t="shared" si="14"/>
        <v>2.5</v>
      </c>
      <c r="AA84" s="3">
        <f t="shared" si="15"/>
        <v>2</v>
      </c>
      <c r="AB84" s="3">
        <f t="shared" si="16"/>
        <v>4.5</v>
      </c>
      <c r="AC84" s="5" t="str">
        <f t="shared" si="17"/>
        <v/>
      </c>
      <c r="AD84" s="5" t="str">
        <f t="shared" si="18"/>
        <v/>
      </c>
      <c r="AE84" s="5" t="str">
        <f t="shared" si="19"/>
        <v/>
      </c>
      <c r="AF84" s="5" t="str">
        <f t="shared" si="20"/>
        <v/>
      </c>
      <c r="AG84" s="5" t="str">
        <f t="shared" si="21"/>
        <v/>
      </c>
      <c r="AH84" s="5" t="str">
        <f t="shared" si="22"/>
        <v/>
      </c>
      <c r="AI84" s="5">
        <f t="shared" si="23"/>
        <v>50</v>
      </c>
      <c r="AJ84" s="5">
        <f t="shared" si="24"/>
        <v>100</v>
      </c>
      <c r="AK84" s="5">
        <f t="shared" si="25"/>
        <v>100</v>
      </c>
    </row>
    <row r="85" spans="1:37" x14ac:dyDescent="0.25">
      <c r="A85" t="s">
        <v>104</v>
      </c>
      <c r="B85">
        <v>1</v>
      </c>
      <c r="C85">
        <v>2</v>
      </c>
      <c r="D85">
        <v>3</v>
      </c>
      <c r="E85" s="5"/>
      <c r="F85" s="5"/>
      <c r="G85" s="5"/>
      <c r="H85" s="5"/>
      <c r="I85" s="5"/>
      <c r="J85" s="5"/>
      <c r="K85" s="5">
        <v>100</v>
      </c>
      <c r="L85" s="5">
        <v>100</v>
      </c>
      <c r="M85" s="5">
        <v>100</v>
      </c>
      <c r="N85" s="3">
        <v>2</v>
      </c>
      <c r="O85" s="3">
        <v>4</v>
      </c>
      <c r="P85" s="3">
        <v>6</v>
      </c>
      <c r="Q85" s="5"/>
      <c r="R85" s="5">
        <v>33.333333333333329</v>
      </c>
      <c r="S85" s="5">
        <v>14.285714285714285</v>
      </c>
      <c r="T85" s="5"/>
      <c r="U85" s="5"/>
      <c r="V85" s="5"/>
      <c r="W85" s="5">
        <v>100</v>
      </c>
      <c r="X85" s="5">
        <v>66.666666666666657</v>
      </c>
      <c r="Y85" s="5">
        <v>85.714285714285708</v>
      </c>
      <c r="Z85" s="3">
        <f t="shared" si="14"/>
        <v>1.5</v>
      </c>
      <c r="AA85" s="3">
        <f t="shared" si="15"/>
        <v>3</v>
      </c>
      <c r="AB85" s="3">
        <f t="shared" si="16"/>
        <v>4.5</v>
      </c>
      <c r="AC85" s="5" t="str">
        <f t="shared" si="17"/>
        <v/>
      </c>
      <c r="AD85" s="5">
        <f t="shared" si="18"/>
        <v>16.666666666666664</v>
      </c>
      <c r="AE85" s="5">
        <f t="shared" si="19"/>
        <v>7.1428571428571423</v>
      </c>
      <c r="AF85" s="5" t="str">
        <f t="shared" si="20"/>
        <v/>
      </c>
      <c r="AG85" s="5" t="str">
        <f t="shared" si="21"/>
        <v/>
      </c>
      <c r="AH85" s="5" t="str">
        <f t="shared" si="22"/>
        <v/>
      </c>
      <c r="AI85" s="5">
        <f t="shared" si="23"/>
        <v>100</v>
      </c>
      <c r="AJ85" s="5">
        <f t="shared" si="24"/>
        <v>83.333333333333329</v>
      </c>
      <c r="AK85" s="5">
        <f t="shared" si="25"/>
        <v>92.857142857142861</v>
      </c>
    </row>
    <row r="86" spans="1:37" x14ac:dyDescent="0.25">
      <c r="A86" t="s">
        <v>105</v>
      </c>
      <c r="B86">
        <v>0</v>
      </c>
      <c r="C86">
        <v>1</v>
      </c>
      <c r="D86">
        <v>1</v>
      </c>
      <c r="E86" s="5"/>
      <c r="F86" s="5"/>
      <c r="G86" s="5"/>
      <c r="H86" s="5"/>
      <c r="I86" s="5"/>
      <c r="J86" s="5"/>
      <c r="K86" s="5"/>
      <c r="L86" s="5">
        <v>100</v>
      </c>
      <c r="M86" s="5">
        <v>100</v>
      </c>
      <c r="N86" s="3">
        <v>0</v>
      </c>
      <c r="O86" s="3">
        <v>1</v>
      </c>
      <c r="P86" s="3">
        <v>1</v>
      </c>
      <c r="Q86" s="5"/>
      <c r="R86" s="5"/>
      <c r="S86" s="5"/>
      <c r="T86" s="5"/>
      <c r="U86" s="5"/>
      <c r="V86" s="5"/>
      <c r="W86" s="5">
        <v>100</v>
      </c>
      <c r="X86" s="5"/>
      <c r="Y86" s="5">
        <v>100</v>
      </c>
      <c r="Z86" s="3">
        <f t="shared" si="14"/>
        <v>0</v>
      </c>
      <c r="AA86" s="3">
        <f t="shared" si="15"/>
        <v>1</v>
      </c>
      <c r="AB86" s="3">
        <f t="shared" si="16"/>
        <v>1</v>
      </c>
      <c r="AC86" s="5" t="str">
        <f t="shared" si="17"/>
        <v/>
      </c>
      <c r="AD86" s="5" t="str">
        <f t="shared" si="18"/>
        <v/>
      </c>
      <c r="AE86" s="5" t="str">
        <f t="shared" si="19"/>
        <v/>
      </c>
      <c r="AF86" s="5" t="str">
        <f t="shared" si="20"/>
        <v/>
      </c>
      <c r="AG86" s="5" t="str">
        <f t="shared" si="21"/>
        <v/>
      </c>
      <c r="AH86" s="5" t="str">
        <f t="shared" si="22"/>
        <v/>
      </c>
      <c r="AI86" s="5">
        <f t="shared" si="23"/>
        <v>50</v>
      </c>
      <c r="AJ86" s="5">
        <f t="shared" si="24"/>
        <v>50</v>
      </c>
      <c r="AK86" s="5">
        <f t="shared" si="25"/>
        <v>100</v>
      </c>
    </row>
    <row r="87" spans="1:37" x14ac:dyDescent="0.25">
      <c r="A87" t="s">
        <v>106</v>
      </c>
      <c r="B87">
        <v>1</v>
      </c>
      <c r="C87">
        <v>0</v>
      </c>
      <c r="D87">
        <v>1</v>
      </c>
      <c r="E87" s="5"/>
      <c r="F87" s="5"/>
      <c r="G87" s="5"/>
      <c r="H87" s="5"/>
      <c r="I87" s="5"/>
      <c r="J87" s="5"/>
      <c r="K87" s="5">
        <v>100</v>
      </c>
      <c r="L87" s="5"/>
      <c r="M87" s="5">
        <v>100</v>
      </c>
      <c r="N87" s="3">
        <v>4</v>
      </c>
      <c r="O87" s="3">
        <v>3</v>
      </c>
      <c r="P87" s="3">
        <v>7</v>
      </c>
      <c r="Q87" s="5"/>
      <c r="R87" s="5"/>
      <c r="S87" s="5"/>
      <c r="T87" s="5"/>
      <c r="U87" s="5"/>
      <c r="V87" s="5"/>
      <c r="W87" s="5">
        <v>100</v>
      </c>
      <c r="X87" s="5">
        <v>100</v>
      </c>
      <c r="Y87" s="5">
        <v>100</v>
      </c>
      <c r="Z87" s="3">
        <f t="shared" si="14"/>
        <v>2.5</v>
      </c>
      <c r="AA87" s="3">
        <f t="shared" si="15"/>
        <v>1.5</v>
      </c>
      <c r="AB87" s="3">
        <f t="shared" si="16"/>
        <v>4</v>
      </c>
      <c r="AC87" s="5" t="str">
        <f t="shared" si="17"/>
        <v/>
      </c>
      <c r="AD87" s="5" t="str">
        <f t="shared" si="18"/>
        <v/>
      </c>
      <c r="AE87" s="5" t="str">
        <f t="shared" si="19"/>
        <v/>
      </c>
      <c r="AF87" s="5" t="str">
        <f t="shared" si="20"/>
        <v/>
      </c>
      <c r="AG87" s="5" t="str">
        <f t="shared" si="21"/>
        <v/>
      </c>
      <c r="AH87" s="5" t="str">
        <f t="shared" si="22"/>
        <v/>
      </c>
      <c r="AI87" s="5">
        <f t="shared" si="23"/>
        <v>100</v>
      </c>
      <c r="AJ87" s="5">
        <f t="shared" si="24"/>
        <v>50</v>
      </c>
      <c r="AK87" s="5">
        <f t="shared" si="25"/>
        <v>100</v>
      </c>
    </row>
    <row r="88" spans="1:37" x14ac:dyDescent="0.25">
      <c r="A88" t="s">
        <v>107</v>
      </c>
      <c r="B88">
        <v>0</v>
      </c>
      <c r="C88">
        <v>0</v>
      </c>
      <c r="D88">
        <v>0</v>
      </c>
      <c r="E88" s="5"/>
      <c r="F88" s="5"/>
      <c r="G88" s="5"/>
      <c r="H88" s="5"/>
      <c r="I88" s="5"/>
      <c r="J88" s="5"/>
      <c r="K88" s="5"/>
      <c r="L88" s="5"/>
      <c r="M88" s="5"/>
      <c r="N88" s="3">
        <v>2</v>
      </c>
      <c r="O88" s="3">
        <v>0</v>
      </c>
      <c r="P88" s="3">
        <v>2</v>
      </c>
      <c r="Q88" s="5"/>
      <c r="R88" s="5"/>
      <c r="S88" s="5"/>
      <c r="T88" s="5"/>
      <c r="U88" s="5"/>
      <c r="V88" s="5"/>
      <c r="W88" s="5"/>
      <c r="X88" s="5">
        <v>100</v>
      </c>
      <c r="Y88" s="5">
        <v>100</v>
      </c>
      <c r="Z88" s="3">
        <f t="shared" si="14"/>
        <v>1</v>
      </c>
      <c r="AA88" s="3">
        <f t="shared" si="15"/>
        <v>0</v>
      </c>
      <c r="AB88" s="3">
        <f t="shared" si="16"/>
        <v>1</v>
      </c>
      <c r="AC88" s="5" t="str">
        <f t="shared" si="17"/>
        <v/>
      </c>
      <c r="AD88" s="5" t="str">
        <f t="shared" si="18"/>
        <v/>
      </c>
      <c r="AE88" s="5" t="str">
        <f t="shared" si="19"/>
        <v/>
      </c>
      <c r="AF88" s="5" t="str">
        <f t="shared" si="20"/>
        <v/>
      </c>
      <c r="AG88" s="5" t="str">
        <f t="shared" si="21"/>
        <v/>
      </c>
      <c r="AH88" s="5" t="str">
        <f t="shared" si="22"/>
        <v/>
      </c>
      <c r="AI88" s="5" t="str">
        <f t="shared" si="23"/>
        <v/>
      </c>
      <c r="AJ88" s="5">
        <f t="shared" si="24"/>
        <v>50</v>
      </c>
      <c r="AK88" s="5">
        <f t="shared" si="25"/>
        <v>50</v>
      </c>
    </row>
    <row r="89" spans="1:37" x14ac:dyDescent="0.25">
      <c r="A89" t="s">
        <v>108</v>
      </c>
      <c r="B89">
        <v>0</v>
      </c>
      <c r="C89">
        <v>3</v>
      </c>
      <c r="D89">
        <v>3</v>
      </c>
      <c r="E89" s="5"/>
      <c r="F89" s="5"/>
      <c r="G89" s="5"/>
      <c r="H89" s="5"/>
      <c r="I89" s="5"/>
      <c r="J89" s="5"/>
      <c r="K89" s="5"/>
      <c r="L89" s="5">
        <v>100</v>
      </c>
      <c r="M89" s="5">
        <v>100</v>
      </c>
      <c r="N89" s="3">
        <v>2</v>
      </c>
      <c r="O89" s="3">
        <v>1</v>
      </c>
      <c r="P89" s="3">
        <v>3</v>
      </c>
      <c r="Q89" s="5"/>
      <c r="R89" s="5"/>
      <c r="S89" s="5"/>
      <c r="T89" s="5"/>
      <c r="U89" s="5"/>
      <c r="V89" s="5"/>
      <c r="W89" s="5"/>
      <c r="X89" s="5">
        <v>100</v>
      </c>
      <c r="Y89" s="5">
        <v>100</v>
      </c>
      <c r="Z89" s="3">
        <f t="shared" si="14"/>
        <v>1</v>
      </c>
      <c r="AA89" s="3">
        <f t="shared" si="15"/>
        <v>2</v>
      </c>
      <c r="AB89" s="3">
        <f t="shared" si="16"/>
        <v>3</v>
      </c>
      <c r="AC89" s="5" t="str">
        <f t="shared" si="17"/>
        <v/>
      </c>
      <c r="AD89" s="5" t="str">
        <f t="shared" si="18"/>
        <v/>
      </c>
      <c r="AE89" s="5" t="str">
        <f t="shared" si="19"/>
        <v/>
      </c>
      <c r="AF89" s="5" t="str">
        <f t="shared" si="20"/>
        <v/>
      </c>
      <c r="AG89" s="5" t="str">
        <f t="shared" si="21"/>
        <v/>
      </c>
      <c r="AH89" s="5" t="str">
        <f t="shared" si="22"/>
        <v/>
      </c>
      <c r="AI89" s="5" t="str">
        <f t="shared" si="23"/>
        <v/>
      </c>
      <c r="AJ89" s="5">
        <f t="shared" si="24"/>
        <v>100</v>
      </c>
      <c r="AK89" s="5">
        <f t="shared" si="25"/>
        <v>100</v>
      </c>
    </row>
    <row r="90" spans="1:37" x14ac:dyDescent="0.25">
      <c r="A90" t="s">
        <v>109</v>
      </c>
      <c r="B90">
        <v>1</v>
      </c>
      <c r="C90">
        <v>1</v>
      </c>
      <c r="D90">
        <v>2</v>
      </c>
      <c r="E90" s="5"/>
      <c r="F90" s="5"/>
      <c r="G90" s="5"/>
      <c r="H90" s="5"/>
      <c r="I90" s="5"/>
      <c r="J90" s="5"/>
      <c r="K90" s="5">
        <v>100</v>
      </c>
      <c r="L90" s="5">
        <v>100</v>
      </c>
      <c r="M90" s="5">
        <v>100</v>
      </c>
      <c r="N90" s="3">
        <v>0</v>
      </c>
      <c r="O90" s="3">
        <v>2</v>
      </c>
      <c r="P90" s="3">
        <v>2</v>
      </c>
      <c r="Q90" s="5"/>
      <c r="R90" s="5"/>
      <c r="S90" s="5"/>
      <c r="T90" s="5"/>
      <c r="U90" s="5"/>
      <c r="V90" s="5"/>
      <c r="W90" s="5"/>
      <c r="X90" s="5"/>
      <c r="Y90" s="5"/>
      <c r="Z90" s="3">
        <f t="shared" si="14"/>
        <v>0.5</v>
      </c>
      <c r="AA90" s="3">
        <f t="shared" si="15"/>
        <v>1.5</v>
      </c>
      <c r="AB90" s="3">
        <f t="shared" si="16"/>
        <v>2</v>
      </c>
      <c r="AC90" s="5" t="str">
        <f t="shared" ref="AC90:AC103" si="26">IF((E90+Q90)&gt;0,SUM((Q90+E90)/2),"")</f>
        <v/>
      </c>
      <c r="AD90" s="5" t="str">
        <f t="shared" ref="AD90:AD103" si="27">IF((F90+R90)&gt;0,SUM((R90+F90)/2),"")</f>
        <v/>
      </c>
      <c r="AE90" s="5" t="str">
        <f t="shared" ref="AE90:AE103" si="28">IF((G90+S90)&gt;0,SUM((S90+G90)/2),"")</f>
        <v/>
      </c>
      <c r="AF90" s="5" t="str">
        <f t="shared" ref="AF90:AF103" si="29">IF((H90+T90)&gt;0,SUM((T90+H90)/2),"")</f>
        <v/>
      </c>
      <c r="AG90" s="5" t="str">
        <f t="shared" ref="AG90:AG103" si="30">IF((I90+U90)&gt;0,SUM((U90+I90)/2),"")</f>
        <v/>
      </c>
      <c r="AH90" s="5" t="str">
        <f t="shared" ref="AH90:AH103" si="31">IF((J90+V90)&gt;0,SUM((V90+J90)/2),"")</f>
        <v/>
      </c>
      <c r="AI90" s="5">
        <f t="shared" ref="AI90:AI103" si="32">IF((K90+W90)&gt;0,SUM((W90+K90)/2),"")</f>
        <v>50</v>
      </c>
      <c r="AJ90" s="5">
        <f t="shared" ref="AJ90:AJ103" si="33">IF((L90+X90)&gt;0,SUM((X90+L90)/2),"")</f>
        <v>50</v>
      </c>
      <c r="AK90" s="5">
        <f t="shared" ref="AK90:AK103" si="34">IF((M90+Y90)&gt;0,SUM((Y90+M90)/2),"")</f>
        <v>50</v>
      </c>
    </row>
    <row r="91" spans="1:37" x14ac:dyDescent="0.25">
      <c r="A91" t="s">
        <v>110</v>
      </c>
      <c r="B91">
        <v>1</v>
      </c>
      <c r="C91">
        <v>0</v>
      </c>
      <c r="D91">
        <v>1</v>
      </c>
      <c r="E91" s="5"/>
      <c r="F91" s="5"/>
      <c r="G91" s="5"/>
      <c r="H91" s="5"/>
      <c r="I91" s="5"/>
      <c r="J91" s="5"/>
      <c r="K91" s="5">
        <v>100</v>
      </c>
      <c r="L91" s="5"/>
      <c r="M91" s="5">
        <v>100</v>
      </c>
      <c r="N91" s="3">
        <v>0</v>
      </c>
      <c r="O91" s="3">
        <v>1</v>
      </c>
      <c r="P91" s="3">
        <v>1</v>
      </c>
      <c r="Q91" s="5"/>
      <c r="R91" s="5"/>
      <c r="S91" s="5"/>
      <c r="T91" s="5"/>
      <c r="U91" s="5"/>
      <c r="V91" s="5"/>
      <c r="W91" s="5">
        <v>100</v>
      </c>
      <c r="X91" s="5">
        <v>100</v>
      </c>
      <c r="Y91" s="5">
        <v>100</v>
      </c>
      <c r="Z91" s="3">
        <f t="shared" si="14"/>
        <v>0.5</v>
      </c>
      <c r="AA91" s="3">
        <f t="shared" si="15"/>
        <v>0.5</v>
      </c>
      <c r="AB91" s="3">
        <f t="shared" si="16"/>
        <v>1</v>
      </c>
      <c r="AC91" s="5" t="str">
        <f t="shared" si="26"/>
        <v/>
      </c>
      <c r="AD91" s="5" t="str">
        <f t="shared" si="27"/>
        <v/>
      </c>
      <c r="AE91" s="5" t="str">
        <f t="shared" si="28"/>
        <v/>
      </c>
      <c r="AF91" s="5" t="str">
        <f t="shared" si="29"/>
        <v/>
      </c>
      <c r="AG91" s="5" t="str">
        <f t="shared" si="30"/>
        <v/>
      </c>
      <c r="AH91" s="5" t="str">
        <f t="shared" si="31"/>
        <v/>
      </c>
      <c r="AI91" s="5">
        <f t="shared" si="32"/>
        <v>100</v>
      </c>
      <c r="AJ91" s="5">
        <f t="shared" si="33"/>
        <v>50</v>
      </c>
      <c r="AK91" s="5">
        <f t="shared" si="34"/>
        <v>100</v>
      </c>
    </row>
    <row r="92" spans="1:37" x14ac:dyDescent="0.25">
      <c r="A92" t="s">
        <v>111</v>
      </c>
      <c r="B92">
        <v>0</v>
      </c>
      <c r="C92">
        <v>3</v>
      </c>
      <c r="D92">
        <v>3</v>
      </c>
      <c r="E92" s="5"/>
      <c r="F92" s="5"/>
      <c r="G92" s="5"/>
      <c r="H92" s="5"/>
      <c r="I92" s="5"/>
      <c r="J92" s="5"/>
      <c r="K92" s="5"/>
      <c r="L92" s="5">
        <v>100</v>
      </c>
      <c r="M92" s="5">
        <v>100</v>
      </c>
      <c r="N92" s="3">
        <v>0</v>
      </c>
      <c r="O92" s="3">
        <v>0</v>
      </c>
      <c r="P92" s="3">
        <v>0</v>
      </c>
      <c r="Q92" s="5"/>
      <c r="R92" s="5"/>
      <c r="S92" s="5"/>
      <c r="T92" s="5"/>
      <c r="U92" s="5"/>
      <c r="V92" s="5"/>
      <c r="W92" s="5"/>
      <c r="X92" s="5"/>
      <c r="Y92" s="5"/>
      <c r="Z92" s="3">
        <f t="shared" si="14"/>
        <v>0</v>
      </c>
      <c r="AA92" s="3">
        <f t="shared" si="15"/>
        <v>1.5</v>
      </c>
      <c r="AB92" s="3">
        <f t="shared" si="16"/>
        <v>1.5</v>
      </c>
      <c r="AC92" s="5" t="str">
        <f t="shared" si="26"/>
        <v/>
      </c>
      <c r="AD92" s="5" t="str">
        <f t="shared" si="27"/>
        <v/>
      </c>
      <c r="AE92" s="5" t="str">
        <f t="shared" si="28"/>
        <v/>
      </c>
      <c r="AF92" s="5" t="str">
        <f t="shared" si="29"/>
        <v/>
      </c>
      <c r="AG92" s="5" t="str">
        <f t="shared" si="30"/>
        <v/>
      </c>
      <c r="AH92" s="5" t="str">
        <f t="shared" si="31"/>
        <v/>
      </c>
      <c r="AI92" s="5" t="str">
        <f t="shared" si="32"/>
        <v/>
      </c>
      <c r="AJ92" s="5">
        <f t="shared" si="33"/>
        <v>50</v>
      </c>
      <c r="AK92" s="5">
        <f t="shared" si="34"/>
        <v>50</v>
      </c>
    </row>
    <row r="93" spans="1:37" x14ac:dyDescent="0.25">
      <c r="A93" t="s">
        <v>112</v>
      </c>
      <c r="B93">
        <v>1</v>
      </c>
      <c r="C93">
        <v>1</v>
      </c>
      <c r="D93">
        <v>2</v>
      </c>
      <c r="E93" s="5"/>
      <c r="F93" s="5"/>
      <c r="G93" s="5"/>
      <c r="H93" s="5"/>
      <c r="I93" s="5"/>
      <c r="J93" s="5"/>
      <c r="K93" s="5">
        <v>100</v>
      </c>
      <c r="L93" s="5">
        <v>100</v>
      </c>
      <c r="M93" s="5">
        <v>100</v>
      </c>
      <c r="N93" s="3">
        <v>1</v>
      </c>
      <c r="O93" s="3">
        <v>1</v>
      </c>
      <c r="P93" s="3">
        <v>2</v>
      </c>
      <c r="Q93" s="5"/>
      <c r="R93" s="5"/>
      <c r="S93" s="5"/>
      <c r="T93" s="5"/>
      <c r="U93" s="5"/>
      <c r="V93" s="5"/>
      <c r="W93" s="5"/>
      <c r="X93" s="5"/>
      <c r="Y93" s="5"/>
      <c r="Z93" s="3">
        <f t="shared" si="14"/>
        <v>1</v>
      </c>
      <c r="AA93" s="3">
        <f t="shared" si="15"/>
        <v>1</v>
      </c>
      <c r="AB93" s="3">
        <f t="shared" si="16"/>
        <v>2</v>
      </c>
      <c r="AC93" s="5" t="str">
        <f t="shared" si="26"/>
        <v/>
      </c>
      <c r="AD93" s="5" t="str">
        <f t="shared" si="27"/>
        <v/>
      </c>
      <c r="AE93" s="5" t="str">
        <f t="shared" si="28"/>
        <v/>
      </c>
      <c r="AF93" s="5" t="str">
        <f t="shared" si="29"/>
        <v/>
      </c>
      <c r="AG93" s="5" t="str">
        <f t="shared" si="30"/>
        <v/>
      </c>
      <c r="AH93" s="5" t="str">
        <f t="shared" si="31"/>
        <v/>
      </c>
      <c r="AI93" s="5">
        <f t="shared" si="32"/>
        <v>50</v>
      </c>
      <c r="AJ93" s="5">
        <f t="shared" si="33"/>
        <v>50</v>
      </c>
      <c r="AK93" s="5">
        <f t="shared" si="34"/>
        <v>50</v>
      </c>
    </row>
    <row r="94" spans="1:37" x14ac:dyDescent="0.25">
      <c r="A94" t="s">
        <v>113</v>
      </c>
      <c r="B94">
        <v>1</v>
      </c>
      <c r="C94">
        <v>0</v>
      </c>
      <c r="D94">
        <v>1</v>
      </c>
      <c r="E94" s="5"/>
      <c r="F94" s="5"/>
      <c r="G94" s="5"/>
      <c r="H94" s="5"/>
      <c r="I94" s="5"/>
      <c r="J94" s="5"/>
      <c r="K94" s="5">
        <v>100</v>
      </c>
      <c r="L94" s="5"/>
      <c r="M94" s="5">
        <v>100</v>
      </c>
      <c r="N94" s="3">
        <v>0</v>
      </c>
      <c r="O94" s="3">
        <v>0</v>
      </c>
      <c r="P94" s="3">
        <v>0</v>
      </c>
      <c r="Q94" s="5"/>
      <c r="R94" s="5"/>
      <c r="S94" s="5"/>
      <c r="T94" s="5"/>
      <c r="U94" s="5"/>
      <c r="V94" s="5"/>
      <c r="W94" s="5"/>
      <c r="X94" s="5"/>
      <c r="Y94" s="5"/>
      <c r="Z94" s="3">
        <f t="shared" si="14"/>
        <v>0.5</v>
      </c>
      <c r="AA94" s="3">
        <f t="shared" si="15"/>
        <v>0</v>
      </c>
      <c r="AB94" s="3">
        <f t="shared" si="16"/>
        <v>0.5</v>
      </c>
      <c r="AC94" s="5" t="str">
        <f t="shared" si="26"/>
        <v/>
      </c>
      <c r="AD94" s="5" t="str">
        <f t="shared" si="27"/>
        <v/>
      </c>
      <c r="AE94" s="5" t="str">
        <f t="shared" si="28"/>
        <v/>
      </c>
      <c r="AF94" s="5" t="str">
        <f t="shared" si="29"/>
        <v/>
      </c>
      <c r="AG94" s="5" t="str">
        <f t="shared" si="30"/>
        <v/>
      </c>
      <c r="AH94" s="5" t="str">
        <f t="shared" si="31"/>
        <v/>
      </c>
      <c r="AI94" s="5">
        <f t="shared" si="32"/>
        <v>50</v>
      </c>
      <c r="AJ94" s="5" t="str">
        <f t="shared" si="33"/>
        <v/>
      </c>
      <c r="AK94" s="5">
        <f t="shared" si="34"/>
        <v>50</v>
      </c>
    </row>
    <row r="95" spans="1:37" x14ac:dyDescent="0.25">
      <c r="A95" t="s">
        <v>114</v>
      </c>
      <c r="B95">
        <v>0</v>
      </c>
      <c r="C95">
        <v>2</v>
      </c>
      <c r="D95">
        <v>2</v>
      </c>
      <c r="E95" s="5"/>
      <c r="F95" s="5"/>
      <c r="G95" s="5"/>
      <c r="H95" s="5"/>
      <c r="I95" s="5"/>
      <c r="J95" s="5"/>
      <c r="K95" s="5"/>
      <c r="L95" s="5">
        <v>100</v>
      </c>
      <c r="M95" s="5">
        <v>100</v>
      </c>
      <c r="N95" s="3">
        <v>0</v>
      </c>
      <c r="O95" s="3">
        <v>0</v>
      </c>
      <c r="P95" s="3">
        <v>0</v>
      </c>
      <c r="Q95" s="5"/>
      <c r="R95" s="5"/>
      <c r="S95" s="5"/>
      <c r="T95" s="5"/>
      <c r="U95" s="5"/>
      <c r="V95" s="5"/>
      <c r="W95" s="5"/>
      <c r="X95" s="5"/>
      <c r="Y95" s="5"/>
      <c r="Z95" s="3">
        <f t="shared" si="14"/>
        <v>0</v>
      </c>
      <c r="AA95" s="3">
        <f t="shared" si="15"/>
        <v>1</v>
      </c>
      <c r="AB95" s="3">
        <f t="shared" si="16"/>
        <v>1</v>
      </c>
      <c r="AC95" s="5" t="str">
        <f t="shared" si="26"/>
        <v/>
      </c>
      <c r="AD95" s="5" t="str">
        <f t="shared" si="27"/>
        <v/>
      </c>
      <c r="AE95" s="5" t="str">
        <f t="shared" si="28"/>
        <v/>
      </c>
      <c r="AF95" s="5" t="str">
        <f t="shared" si="29"/>
        <v/>
      </c>
      <c r="AG95" s="5" t="str">
        <f t="shared" si="30"/>
        <v/>
      </c>
      <c r="AH95" s="5" t="str">
        <f t="shared" si="31"/>
        <v/>
      </c>
      <c r="AI95" s="5" t="str">
        <f t="shared" si="32"/>
        <v/>
      </c>
      <c r="AJ95" s="5">
        <f t="shared" si="33"/>
        <v>50</v>
      </c>
      <c r="AK95" s="5">
        <f t="shared" si="34"/>
        <v>50</v>
      </c>
    </row>
    <row r="96" spans="1:37" x14ac:dyDescent="0.25">
      <c r="A96" t="s">
        <v>115</v>
      </c>
      <c r="B96">
        <v>0</v>
      </c>
      <c r="C96">
        <v>0</v>
      </c>
      <c r="D96">
        <v>0</v>
      </c>
      <c r="E96" s="5"/>
      <c r="F96" s="5"/>
      <c r="G96" s="5"/>
      <c r="H96" s="5"/>
      <c r="I96" s="5"/>
      <c r="J96" s="5"/>
      <c r="K96" s="5"/>
      <c r="L96" s="5"/>
      <c r="M96" s="5"/>
      <c r="N96" s="3">
        <v>0</v>
      </c>
      <c r="O96" s="3">
        <v>0</v>
      </c>
      <c r="P96" s="3">
        <v>0</v>
      </c>
      <c r="Q96" s="5"/>
      <c r="R96" s="5"/>
      <c r="S96" s="5"/>
      <c r="T96" s="5"/>
      <c r="U96" s="5"/>
      <c r="V96" s="5"/>
      <c r="W96" s="5"/>
      <c r="X96" s="5"/>
      <c r="Y96" s="5"/>
      <c r="Z96" s="3">
        <f t="shared" si="14"/>
        <v>0</v>
      </c>
      <c r="AA96" s="3">
        <f t="shared" si="15"/>
        <v>0</v>
      </c>
      <c r="AB96" s="3">
        <f t="shared" si="16"/>
        <v>0</v>
      </c>
      <c r="AC96" s="5" t="str">
        <f t="shared" si="26"/>
        <v/>
      </c>
      <c r="AD96" s="5" t="str">
        <f t="shared" si="27"/>
        <v/>
      </c>
      <c r="AE96" s="5" t="str">
        <f t="shared" si="28"/>
        <v/>
      </c>
      <c r="AF96" s="5" t="str">
        <f t="shared" si="29"/>
        <v/>
      </c>
      <c r="AG96" s="5" t="str">
        <f t="shared" si="30"/>
        <v/>
      </c>
      <c r="AH96" s="5" t="str">
        <f t="shared" si="31"/>
        <v/>
      </c>
      <c r="AI96" s="5" t="str">
        <f t="shared" si="32"/>
        <v/>
      </c>
      <c r="AJ96" s="5" t="str">
        <f t="shared" si="33"/>
        <v/>
      </c>
      <c r="AK96" s="5" t="str">
        <f t="shared" si="34"/>
        <v/>
      </c>
    </row>
    <row r="97" spans="1:37" x14ac:dyDescent="0.25">
      <c r="A97" t="s">
        <v>116</v>
      </c>
      <c r="B97">
        <v>0</v>
      </c>
      <c r="C97">
        <v>1</v>
      </c>
      <c r="D97">
        <v>1</v>
      </c>
      <c r="E97" s="5"/>
      <c r="F97" s="5"/>
      <c r="G97" s="5"/>
      <c r="H97" s="5"/>
      <c r="I97" s="5"/>
      <c r="J97" s="5"/>
      <c r="K97" s="5"/>
      <c r="L97" s="5">
        <v>100</v>
      </c>
      <c r="M97" s="5">
        <v>100</v>
      </c>
      <c r="N97" s="3">
        <v>0</v>
      </c>
      <c r="O97" s="3">
        <v>0</v>
      </c>
      <c r="P97" s="3">
        <v>0</v>
      </c>
      <c r="Q97" s="5"/>
      <c r="R97" s="5"/>
      <c r="S97" s="5"/>
      <c r="T97" s="5"/>
      <c r="U97" s="5"/>
      <c r="V97" s="5"/>
      <c r="W97" s="5"/>
      <c r="X97" s="5"/>
      <c r="Y97" s="5"/>
      <c r="Z97" s="3">
        <f t="shared" si="14"/>
        <v>0</v>
      </c>
      <c r="AA97" s="3">
        <f t="shared" si="15"/>
        <v>0.5</v>
      </c>
      <c r="AB97" s="3">
        <f t="shared" si="16"/>
        <v>0.5</v>
      </c>
      <c r="AC97" s="5" t="str">
        <f t="shared" si="26"/>
        <v/>
      </c>
      <c r="AD97" s="5" t="str">
        <f t="shared" si="27"/>
        <v/>
      </c>
      <c r="AE97" s="5" t="str">
        <f t="shared" si="28"/>
        <v/>
      </c>
      <c r="AF97" s="5" t="str">
        <f t="shared" si="29"/>
        <v/>
      </c>
      <c r="AG97" s="5" t="str">
        <f t="shared" si="30"/>
        <v/>
      </c>
      <c r="AH97" s="5" t="str">
        <f t="shared" si="31"/>
        <v/>
      </c>
      <c r="AI97" s="5" t="str">
        <f t="shared" si="32"/>
        <v/>
      </c>
      <c r="AJ97" s="5">
        <f t="shared" si="33"/>
        <v>50</v>
      </c>
      <c r="AK97" s="5">
        <f t="shared" si="34"/>
        <v>50</v>
      </c>
    </row>
    <row r="98" spans="1:37" x14ac:dyDescent="0.25">
      <c r="A98" t="s">
        <v>117</v>
      </c>
      <c r="B98">
        <v>0</v>
      </c>
      <c r="C98">
        <v>0</v>
      </c>
      <c r="D98">
        <v>0</v>
      </c>
      <c r="E98" s="5"/>
      <c r="F98" s="5"/>
      <c r="G98" s="5"/>
      <c r="H98" s="5"/>
      <c r="I98" s="5"/>
      <c r="J98" s="5"/>
      <c r="K98" s="5"/>
      <c r="L98" s="5"/>
      <c r="M98" s="5"/>
      <c r="N98" s="3">
        <v>0</v>
      </c>
      <c r="O98" s="3">
        <v>0</v>
      </c>
      <c r="P98" s="3">
        <v>0</v>
      </c>
      <c r="Q98" s="5"/>
      <c r="R98" s="5"/>
      <c r="S98" s="5"/>
      <c r="T98" s="5"/>
      <c r="U98" s="5"/>
      <c r="V98" s="5"/>
      <c r="W98" s="5"/>
      <c r="X98" s="5"/>
      <c r="Y98" s="5"/>
      <c r="Z98" s="3">
        <f t="shared" si="14"/>
        <v>0</v>
      </c>
      <c r="AA98" s="3">
        <f t="shared" si="15"/>
        <v>0</v>
      </c>
      <c r="AB98" s="3">
        <f t="shared" si="16"/>
        <v>0</v>
      </c>
      <c r="AC98" s="5" t="str">
        <f t="shared" si="26"/>
        <v/>
      </c>
      <c r="AD98" s="5" t="str">
        <f t="shared" si="27"/>
        <v/>
      </c>
      <c r="AE98" s="5" t="str">
        <f t="shared" si="28"/>
        <v/>
      </c>
      <c r="AF98" s="5" t="str">
        <f t="shared" si="29"/>
        <v/>
      </c>
      <c r="AG98" s="5" t="str">
        <f t="shared" si="30"/>
        <v/>
      </c>
      <c r="AH98" s="5" t="str">
        <f t="shared" si="31"/>
        <v/>
      </c>
      <c r="AI98" s="5" t="str">
        <f t="shared" si="32"/>
        <v/>
      </c>
      <c r="AJ98" s="5" t="str">
        <f t="shared" si="33"/>
        <v/>
      </c>
      <c r="AK98" s="5" t="str">
        <f t="shared" si="34"/>
        <v/>
      </c>
    </row>
    <row r="99" spans="1:37" x14ac:dyDescent="0.25">
      <c r="A99" t="s">
        <v>118</v>
      </c>
      <c r="B99">
        <v>0</v>
      </c>
      <c r="C99">
        <v>0</v>
      </c>
      <c r="D99">
        <v>0</v>
      </c>
      <c r="E99" s="5"/>
      <c r="F99" s="5"/>
      <c r="G99" s="5"/>
      <c r="H99" s="5"/>
      <c r="I99" s="5"/>
      <c r="J99" s="5"/>
      <c r="K99" s="5"/>
      <c r="L99" s="5"/>
      <c r="M99" s="5"/>
      <c r="N99" s="3">
        <v>0</v>
      </c>
      <c r="O99" s="3">
        <v>0</v>
      </c>
      <c r="P99" s="3">
        <v>0</v>
      </c>
      <c r="Q99" s="5"/>
      <c r="R99" s="5"/>
      <c r="S99" s="5"/>
      <c r="T99" s="5"/>
      <c r="U99" s="5"/>
      <c r="V99" s="5"/>
      <c r="W99" s="5"/>
      <c r="X99" s="5"/>
      <c r="Y99" s="5"/>
      <c r="Z99" s="3">
        <f t="shared" si="14"/>
        <v>0</v>
      </c>
      <c r="AA99" s="3">
        <f t="shared" si="15"/>
        <v>0</v>
      </c>
      <c r="AB99" s="3">
        <f t="shared" si="16"/>
        <v>0</v>
      </c>
      <c r="AC99" s="5" t="str">
        <f t="shared" si="26"/>
        <v/>
      </c>
      <c r="AD99" s="5" t="str">
        <f t="shared" si="27"/>
        <v/>
      </c>
      <c r="AE99" s="5" t="str">
        <f t="shared" si="28"/>
        <v/>
      </c>
      <c r="AF99" s="5" t="str">
        <f t="shared" si="29"/>
        <v/>
      </c>
      <c r="AG99" s="5" t="str">
        <f t="shared" si="30"/>
        <v/>
      </c>
      <c r="AH99" s="5" t="str">
        <f t="shared" si="31"/>
        <v/>
      </c>
      <c r="AI99" s="5" t="str">
        <f t="shared" si="32"/>
        <v/>
      </c>
      <c r="AJ99" s="5" t="str">
        <f t="shared" si="33"/>
        <v/>
      </c>
      <c r="AK99" s="5" t="str">
        <f t="shared" si="34"/>
        <v/>
      </c>
    </row>
    <row r="100" spans="1:37" x14ac:dyDescent="0.25">
      <c r="A100" t="s">
        <v>119</v>
      </c>
      <c r="B100">
        <v>0</v>
      </c>
      <c r="C100">
        <v>1</v>
      </c>
      <c r="D100">
        <v>1</v>
      </c>
      <c r="E100" s="5"/>
      <c r="F100" s="5"/>
      <c r="G100" s="5"/>
      <c r="H100" s="5"/>
      <c r="I100" s="5"/>
      <c r="J100" s="5"/>
      <c r="K100" s="5"/>
      <c r="L100" s="5">
        <v>100</v>
      </c>
      <c r="M100" s="5">
        <v>100</v>
      </c>
      <c r="N100" s="3">
        <v>0</v>
      </c>
      <c r="O100" s="3">
        <v>0</v>
      </c>
      <c r="P100" s="3"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3">
        <f t="shared" si="14"/>
        <v>0</v>
      </c>
      <c r="AA100" s="3">
        <f t="shared" si="15"/>
        <v>0.5</v>
      </c>
      <c r="AB100" s="3">
        <f t="shared" si="16"/>
        <v>0.5</v>
      </c>
      <c r="AC100" s="5" t="str">
        <f t="shared" si="26"/>
        <v/>
      </c>
      <c r="AD100" s="5" t="str">
        <f t="shared" si="27"/>
        <v/>
      </c>
      <c r="AE100" s="5" t="str">
        <f t="shared" si="28"/>
        <v/>
      </c>
      <c r="AF100" s="5" t="str">
        <f t="shared" si="29"/>
        <v/>
      </c>
      <c r="AG100" s="5" t="str">
        <f t="shared" si="30"/>
        <v/>
      </c>
      <c r="AH100" s="5" t="str">
        <f t="shared" si="31"/>
        <v/>
      </c>
      <c r="AI100" s="5" t="str">
        <f t="shared" si="32"/>
        <v/>
      </c>
      <c r="AJ100" s="5">
        <f t="shared" si="33"/>
        <v>50</v>
      </c>
      <c r="AK100" s="5">
        <f t="shared" si="34"/>
        <v>50</v>
      </c>
    </row>
    <row r="101" spans="1:37" x14ac:dyDescent="0.25">
      <c r="A101" t="s">
        <v>120</v>
      </c>
      <c r="B101">
        <v>0</v>
      </c>
      <c r="C101">
        <v>0</v>
      </c>
      <c r="D101">
        <v>0</v>
      </c>
      <c r="E101" s="5"/>
      <c r="F101" s="5"/>
      <c r="G101" s="5"/>
      <c r="H101" s="5"/>
      <c r="I101" s="5"/>
      <c r="J101" s="5"/>
      <c r="K101" s="5"/>
      <c r="L101" s="5"/>
      <c r="M101" s="5"/>
      <c r="N101" s="3">
        <v>0</v>
      </c>
      <c r="O101" s="3">
        <v>0</v>
      </c>
      <c r="P101" s="3"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3">
        <f t="shared" si="14"/>
        <v>0</v>
      </c>
      <c r="AA101" s="3">
        <f t="shared" si="15"/>
        <v>0</v>
      </c>
      <c r="AB101" s="3">
        <f t="shared" si="16"/>
        <v>0</v>
      </c>
      <c r="AC101" s="5" t="str">
        <f t="shared" si="26"/>
        <v/>
      </c>
      <c r="AD101" s="5" t="str">
        <f t="shared" si="27"/>
        <v/>
      </c>
      <c r="AE101" s="5" t="str">
        <f t="shared" si="28"/>
        <v/>
      </c>
      <c r="AF101" s="5" t="str">
        <f t="shared" si="29"/>
        <v/>
      </c>
      <c r="AG101" s="5" t="str">
        <f t="shared" si="30"/>
        <v/>
      </c>
      <c r="AH101" s="5" t="str">
        <f t="shared" si="31"/>
        <v/>
      </c>
      <c r="AI101" s="5" t="str">
        <f t="shared" si="32"/>
        <v/>
      </c>
      <c r="AJ101" s="5" t="str">
        <f t="shared" si="33"/>
        <v/>
      </c>
      <c r="AK101" s="5" t="str">
        <f t="shared" si="34"/>
        <v/>
      </c>
    </row>
    <row r="102" spans="1:37" x14ac:dyDescent="0.25">
      <c r="A102" t="s">
        <v>149</v>
      </c>
      <c r="B102">
        <v>0</v>
      </c>
      <c r="C102">
        <v>0</v>
      </c>
      <c r="D102">
        <v>0</v>
      </c>
      <c r="E102" s="5"/>
      <c r="F102" s="5"/>
      <c r="G102" s="5"/>
      <c r="H102" s="5"/>
      <c r="I102" s="5"/>
      <c r="J102" s="5"/>
      <c r="K102" s="5"/>
      <c r="L102" s="5"/>
      <c r="M102" s="5"/>
      <c r="N102" s="3">
        <v>0</v>
      </c>
      <c r="O102" s="3">
        <v>0</v>
      </c>
      <c r="P102" s="3"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3">
        <f t="shared" si="14"/>
        <v>0</v>
      </c>
      <c r="AA102" s="3">
        <f t="shared" si="15"/>
        <v>0</v>
      </c>
      <c r="AB102" s="3">
        <f t="shared" si="16"/>
        <v>0</v>
      </c>
      <c r="AC102" s="5" t="str">
        <f t="shared" si="26"/>
        <v/>
      </c>
      <c r="AD102" s="5" t="str">
        <f t="shared" si="27"/>
        <v/>
      </c>
      <c r="AE102" s="5" t="str">
        <f t="shared" si="28"/>
        <v/>
      </c>
      <c r="AF102" s="5" t="str">
        <f t="shared" si="29"/>
        <v/>
      </c>
      <c r="AG102" s="5" t="str">
        <f t="shared" si="30"/>
        <v/>
      </c>
      <c r="AH102" s="5" t="str">
        <f t="shared" si="31"/>
        <v/>
      </c>
      <c r="AI102" s="5" t="str">
        <f t="shared" si="32"/>
        <v/>
      </c>
      <c r="AJ102" s="5" t="str">
        <f t="shared" si="33"/>
        <v/>
      </c>
      <c r="AK102" s="5" t="str">
        <f t="shared" si="34"/>
        <v/>
      </c>
    </row>
    <row r="103" spans="1:37" x14ac:dyDescent="0.25">
      <c r="A103" t="s">
        <v>150</v>
      </c>
      <c r="B103">
        <v>2862</v>
      </c>
      <c r="C103">
        <v>2578</v>
      </c>
      <c r="D103">
        <v>5440</v>
      </c>
      <c r="E103" s="5">
        <v>50.978336827393434</v>
      </c>
      <c r="F103" s="5">
        <v>51.39643134212568</v>
      </c>
      <c r="G103" s="5">
        <v>51.17647058823529</v>
      </c>
      <c r="H103" s="5">
        <v>20.754716981132077</v>
      </c>
      <c r="I103" s="5">
        <v>18.890612878200155</v>
      </c>
      <c r="J103" s="5">
        <v>19.871323529411764</v>
      </c>
      <c r="K103" s="5">
        <v>28.266946191474496</v>
      </c>
      <c r="L103" s="5">
        <v>29.712955779674168</v>
      </c>
      <c r="M103" s="5">
        <v>28.952205882352942</v>
      </c>
      <c r="N103">
        <v>3200</v>
      </c>
      <c r="O103">
        <v>2896</v>
      </c>
      <c r="P103">
        <v>6096</v>
      </c>
      <c r="Q103" s="5">
        <v>51.9375</v>
      </c>
      <c r="R103" s="5">
        <v>54.454419889502759</v>
      </c>
      <c r="S103" s="5">
        <v>53.133202099737531</v>
      </c>
      <c r="T103" s="5">
        <v>25.4375</v>
      </c>
      <c r="U103" s="5">
        <v>24.171270718232044</v>
      </c>
      <c r="V103" s="5">
        <v>24.835958005249346</v>
      </c>
      <c r="W103" s="5">
        <v>22.625</v>
      </c>
      <c r="X103" s="5">
        <v>21.374309392265193</v>
      </c>
      <c r="Y103" s="5">
        <v>22.030839895013123</v>
      </c>
      <c r="Z103" s="3">
        <f t="shared" si="14"/>
        <v>3031</v>
      </c>
      <c r="AA103" s="3">
        <f t="shared" si="15"/>
        <v>2737</v>
      </c>
      <c r="AB103" s="3">
        <f t="shared" si="16"/>
        <v>5768</v>
      </c>
      <c r="AC103" s="5">
        <f t="shared" si="26"/>
        <v>51.457918413696717</v>
      </c>
      <c r="AD103" s="5">
        <f t="shared" si="27"/>
        <v>52.92542561581422</v>
      </c>
      <c r="AE103" s="5">
        <f t="shared" si="28"/>
        <v>52.15483634398641</v>
      </c>
      <c r="AF103" s="5">
        <f t="shared" si="29"/>
        <v>23.096108490566039</v>
      </c>
      <c r="AG103" s="5">
        <f t="shared" si="30"/>
        <v>21.530941798216098</v>
      </c>
      <c r="AH103" s="5">
        <f t="shared" si="31"/>
        <v>22.353640767330553</v>
      </c>
      <c r="AI103" s="5">
        <f t="shared" si="32"/>
        <v>25.445973095737248</v>
      </c>
      <c r="AJ103" s="5">
        <f t="shared" si="33"/>
        <v>25.543632585969682</v>
      </c>
      <c r="AK103" s="5">
        <f t="shared" si="34"/>
        <v>25.491522888683033</v>
      </c>
    </row>
    <row r="104" spans="1:37" x14ac:dyDescent="0.25"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</row>
    <row r="105" spans="1:37" x14ac:dyDescent="0.25"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</row>
    <row r="106" spans="1:37" x14ac:dyDescent="0.25"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A7F73-3AE6-4ACC-8540-70EA395CDB77}">
  <sheetPr>
    <tabColor rgb="FFFFC000"/>
  </sheetPr>
  <dimension ref="A1:J39"/>
  <sheetViews>
    <sheetView workbookViewId="0"/>
  </sheetViews>
  <sheetFormatPr defaultRowHeight="15" x14ac:dyDescent="0.25"/>
  <cols>
    <col min="1" max="1" width="16.42578125" customWidth="1"/>
    <col min="2" max="2" width="15.7109375" bestFit="1" customWidth="1"/>
    <col min="3" max="3" width="16" bestFit="1" customWidth="1"/>
    <col min="4" max="4" width="6.28515625" bestFit="1" customWidth="1"/>
    <col min="5" max="5" width="15.85546875" bestFit="1" customWidth="1"/>
    <col min="6" max="6" width="11.42578125" bestFit="1" customWidth="1"/>
    <col min="7" max="7" width="14" bestFit="1" customWidth="1"/>
    <col min="8" max="8" width="10.140625" customWidth="1"/>
    <col min="9" max="9" width="12.85546875" customWidth="1"/>
    <col min="10" max="10" width="43.85546875" bestFit="1" customWidth="1"/>
  </cols>
  <sheetData>
    <row r="1" spans="1:10" x14ac:dyDescent="0.25">
      <c r="A1" t="s">
        <v>159</v>
      </c>
      <c r="B1" t="s">
        <v>161</v>
      </c>
      <c r="C1" t="s">
        <v>162</v>
      </c>
      <c r="D1" t="s">
        <v>184</v>
      </c>
      <c r="E1" t="s">
        <v>185</v>
      </c>
      <c r="F1" t="s">
        <v>186</v>
      </c>
      <c r="G1" t="s">
        <v>201</v>
      </c>
      <c r="H1" t="s">
        <v>202</v>
      </c>
      <c r="I1" t="s">
        <v>203</v>
      </c>
      <c r="J1" t="s">
        <v>204</v>
      </c>
    </row>
    <row r="2" spans="1:10" x14ac:dyDescent="0.25">
      <c r="A2" t="s">
        <v>172</v>
      </c>
      <c r="B2">
        <v>207</v>
      </c>
      <c r="C2">
        <v>34</v>
      </c>
      <c r="D2">
        <v>50</v>
      </c>
      <c r="G2" t="s">
        <v>230</v>
      </c>
      <c r="H2" t="s">
        <v>231</v>
      </c>
      <c r="I2" t="s">
        <v>222</v>
      </c>
      <c r="J2" t="s">
        <v>232</v>
      </c>
    </row>
    <row r="3" spans="1:10" x14ac:dyDescent="0.25">
      <c r="A3" t="s">
        <v>173</v>
      </c>
      <c r="B3">
        <v>38</v>
      </c>
      <c r="C3">
        <v>10</v>
      </c>
      <c r="D3">
        <v>10</v>
      </c>
      <c r="G3" t="s">
        <v>231</v>
      </c>
      <c r="H3" t="s">
        <v>233</v>
      </c>
      <c r="I3" t="s">
        <v>234</v>
      </c>
      <c r="J3" t="s">
        <v>235</v>
      </c>
    </row>
    <row r="4" spans="1:10" x14ac:dyDescent="0.25">
      <c r="A4" t="s">
        <v>163</v>
      </c>
      <c r="B4">
        <v>1280</v>
      </c>
      <c r="C4">
        <v>428</v>
      </c>
      <c r="D4">
        <v>100</v>
      </c>
      <c r="G4" t="s">
        <v>220</v>
      </c>
      <c r="H4" t="s">
        <v>228</v>
      </c>
      <c r="I4" t="s">
        <v>222</v>
      </c>
      <c r="J4" t="s">
        <v>229</v>
      </c>
    </row>
    <row r="5" spans="1:10" x14ac:dyDescent="0.25">
      <c r="A5" t="s">
        <v>160</v>
      </c>
      <c r="B5">
        <v>389</v>
      </c>
      <c r="C5">
        <v>125</v>
      </c>
      <c r="D5">
        <v>30</v>
      </c>
      <c r="G5" t="s">
        <v>219</v>
      </c>
      <c r="H5" t="s">
        <v>220</v>
      </c>
      <c r="I5" t="s">
        <v>215</v>
      </c>
      <c r="J5" t="s">
        <v>221</v>
      </c>
    </row>
    <row r="6" spans="1:10" x14ac:dyDescent="0.25">
      <c r="A6" t="s">
        <v>171</v>
      </c>
      <c r="B6">
        <v>2067</v>
      </c>
      <c r="C6">
        <v>417</v>
      </c>
      <c r="D6">
        <v>100</v>
      </c>
      <c r="G6" t="s">
        <v>217</v>
      </c>
      <c r="H6" t="s">
        <v>213</v>
      </c>
      <c r="I6" t="s">
        <v>207</v>
      </c>
      <c r="J6" t="s">
        <v>218</v>
      </c>
    </row>
    <row r="7" spans="1:10" x14ac:dyDescent="0.25">
      <c r="A7" t="s">
        <v>168</v>
      </c>
      <c r="B7">
        <v>351</v>
      </c>
      <c r="C7">
        <v>343</v>
      </c>
      <c r="D7">
        <v>25</v>
      </c>
      <c r="G7" t="s">
        <v>206</v>
      </c>
      <c r="H7" t="s">
        <v>220</v>
      </c>
      <c r="I7" t="s">
        <v>222</v>
      </c>
      <c r="J7" t="s">
        <v>223</v>
      </c>
    </row>
    <row r="8" spans="1:10" x14ac:dyDescent="0.25">
      <c r="A8" t="s">
        <v>169</v>
      </c>
      <c r="B8">
        <v>102</v>
      </c>
      <c r="C8">
        <v>23</v>
      </c>
      <c r="D8">
        <v>25</v>
      </c>
      <c r="G8" t="s">
        <v>233</v>
      </c>
      <c r="H8" t="s">
        <v>236</v>
      </c>
      <c r="I8" t="s">
        <v>237</v>
      </c>
      <c r="J8" t="s">
        <v>238</v>
      </c>
    </row>
    <row r="9" spans="1:10" x14ac:dyDescent="0.25">
      <c r="A9" t="s">
        <v>166</v>
      </c>
      <c r="B9">
        <v>5604</v>
      </c>
      <c r="C9">
        <v>3199</v>
      </c>
      <c r="D9">
        <v>90</v>
      </c>
      <c r="G9" t="s">
        <v>205</v>
      </c>
      <c r="H9" t="s">
        <v>206</v>
      </c>
      <c r="I9" t="s">
        <v>207</v>
      </c>
      <c r="J9" t="s">
        <v>208</v>
      </c>
    </row>
    <row r="10" spans="1:10" x14ac:dyDescent="0.25">
      <c r="A10" t="s">
        <v>167</v>
      </c>
      <c r="B10">
        <v>531</v>
      </c>
      <c r="C10">
        <v>71</v>
      </c>
      <c r="D10">
        <v>90</v>
      </c>
      <c r="G10" t="s">
        <v>206</v>
      </c>
      <c r="H10" t="s">
        <v>224</v>
      </c>
      <c r="I10" t="s">
        <v>222</v>
      </c>
      <c r="J10" t="s">
        <v>225</v>
      </c>
    </row>
    <row r="11" spans="1:10" x14ac:dyDescent="0.25">
      <c r="A11" t="s">
        <v>164</v>
      </c>
      <c r="B11">
        <v>3597</v>
      </c>
      <c r="C11">
        <v>789</v>
      </c>
      <c r="D11">
        <v>100</v>
      </c>
      <c r="G11" t="s">
        <v>213</v>
      </c>
      <c r="H11" t="s">
        <v>214</v>
      </c>
      <c r="I11" t="s">
        <v>215</v>
      </c>
      <c r="J11" t="s">
        <v>216</v>
      </c>
    </row>
    <row r="12" spans="1:10" x14ac:dyDescent="0.25">
      <c r="A12" t="s">
        <v>170</v>
      </c>
      <c r="B12">
        <v>352</v>
      </c>
      <c r="C12">
        <v>100</v>
      </c>
      <c r="D12">
        <v>100</v>
      </c>
      <c r="G12" t="s">
        <v>219</v>
      </c>
      <c r="H12" t="s">
        <v>226</v>
      </c>
      <c r="I12" t="s">
        <v>222</v>
      </c>
      <c r="J12" t="s">
        <v>227</v>
      </c>
    </row>
    <row r="13" spans="1:10" x14ac:dyDescent="0.25">
      <c r="A13" t="s">
        <v>165</v>
      </c>
      <c r="B13">
        <v>4057</v>
      </c>
      <c r="C13">
        <v>2035</v>
      </c>
      <c r="D13">
        <v>100</v>
      </c>
      <c r="G13" t="s">
        <v>209</v>
      </c>
      <c r="H13" t="s">
        <v>210</v>
      </c>
      <c r="I13" t="s">
        <v>211</v>
      </c>
      <c r="J13" t="s">
        <v>212</v>
      </c>
    </row>
    <row r="14" spans="1:10" x14ac:dyDescent="0.25">
      <c r="A14" t="s">
        <v>175</v>
      </c>
      <c r="B14">
        <v>221</v>
      </c>
      <c r="C14">
        <v>191</v>
      </c>
      <c r="D14">
        <v>30</v>
      </c>
      <c r="G14" t="s">
        <v>259</v>
      </c>
      <c r="H14" t="s">
        <v>260</v>
      </c>
      <c r="I14" t="s">
        <v>261</v>
      </c>
      <c r="J14" t="s">
        <v>262</v>
      </c>
    </row>
    <row r="15" spans="1:10" x14ac:dyDescent="0.25">
      <c r="A15" t="s">
        <v>174</v>
      </c>
      <c r="B15">
        <v>17</v>
      </c>
      <c r="C15">
        <v>15</v>
      </c>
      <c r="D15">
        <v>25</v>
      </c>
      <c r="G15" t="s">
        <v>242</v>
      </c>
      <c r="H15" t="s">
        <v>243</v>
      </c>
      <c r="I15" t="s">
        <v>237</v>
      </c>
      <c r="J15" t="s">
        <v>288</v>
      </c>
    </row>
    <row r="16" spans="1:10" x14ac:dyDescent="0.25">
      <c r="A16" t="s">
        <v>176</v>
      </c>
      <c r="B16">
        <v>275</v>
      </c>
      <c r="C16">
        <v>112</v>
      </c>
      <c r="D16">
        <v>85</v>
      </c>
      <c r="G16" t="s">
        <v>239</v>
      </c>
      <c r="H16" t="s">
        <v>231</v>
      </c>
      <c r="I16" t="s">
        <v>240</v>
      </c>
      <c r="J16" t="s">
        <v>241</v>
      </c>
    </row>
    <row r="17" spans="1:10" x14ac:dyDescent="0.25">
      <c r="A17" t="s">
        <v>332</v>
      </c>
      <c r="B17">
        <v>33</v>
      </c>
      <c r="C17">
        <v>15</v>
      </c>
      <c r="D17">
        <v>5</v>
      </c>
      <c r="G17" t="s">
        <v>290</v>
      </c>
      <c r="H17" t="s">
        <v>312</v>
      </c>
      <c r="I17" t="s">
        <v>250</v>
      </c>
      <c r="J17" t="s">
        <v>333</v>
      </c>
    </row>
    <row r="18" spans="1:10" x14ac:dyDescent="0.25">
      <c r="A18" t="s">
        <v>177</v>
      </c>
      <c r="B18">
        <v>11</v>
      </c>
      <c r="C18">
        <v>15</v>
      </c>
      <c r="D18">
        <v>10</v>
      </c>
      <c r="G18" t="s">
        <v>289</v>
      </c>
      <c r="H18" t="s">
        <v>290</v>
      </c>
      <c r="I18" t="s">
        <v>261</v>
      </c>
      <c r="J18" t="s">
        <v>291</v>
      </c>
    </row>
    <row r="19" spans="1:10" x14ac:dyDescent="0.25">
      <c r="A19" t="s">
        <v>179</v>
      </c>
      <c r="B19">
        <v>261</v>
      </c>
      <c r="C19">
        <v>91</v>
      </c>
      <c r="D19">
        <v>10</v>
      </c>
      <c r="G19" t="s">
        <v>248</v>
      </c>
      <c r="H19" t="s">
        <v>249</v>
      </c>
      <c r="I19" t="s">
        <v>250</v>
      </c>
      <c r="J19" t="s">
        <v>251</v>
      </c>
    </row>
    <row r="20" spans="1:10" x14ac:dyDescent="0.25">
      <c r="A20" t="s">
        <v>178</v>
      </c>
      <c r="B20">
        <v>66</v>
      </c>
      <c r="C20">
        <v>46</v>
      </c>
      <c r="D20">
        <v>80</v>
      </c>
      <c r="G20" t="s">
        <v>245</v>
      </c>
      <c r="H20" t="s">
        <v>246</v>
      </c>
      <c r="I20" t="s">
        <v>234</v>
      </c>
      <c r="J20" t="s">
        <v>247</v>
      </c>
    </row>
    <row r="21" spans="1:10" x14ac:dyDescent="0.25">
      <c r="A21" t="s">
        <v>181</v>
      </c>
      <c r="B21">
        <v>19</v>
      </c>
      <c r="C21">
        <v>2</v>
      </c>
      <c r="D21">
        <v>5</v>
      </c>
      <c r="G21" t="s">
        <v>289</v>
      </c>
      <c r="H21" t="s">
        <v>290</v>
      </c>
      <c r="I21" t="s">
        <v>237</v>
      </c>
      <c r="J21" t="s">
        <v>311</v>
      </c>
    </row>
    <row r="22" spans="1:10" x14ac:dyDescent="0.25">
      <c r="A22" t="s">
        <v>187</v>
      </c>
      <c r="B22">
        <v>102</v>
      </c>
      <c r="C22">
        <v>105</v>
      </c>
      <c r="D22">
        <v>5</v>
      </c>
      <c r="G22" t="s">
        <v>255</v>
      </c>
      <c r="H22" t="s">
        <v>256</v>
      </c>
      <c r="I22" t="s">
        <v>257</v>
      </c>
      <c r="J22" t="s">
        <v>258</v>
      </c>
    </row>
    <row r="23" spans="1:10" x14ac:dyDescent="0.25">
      <c r="A23" t="s">
        <v>180</v>
      </c>
      <c r="B23">
        <v>32</v>
      </c>
      <c r="C23">
        <v>12</v>
      </c>
      <c r="D23">
        <v>75</v>
      </c>
      <c r="G23" t="s">
        <v>284</v>
      </c>
      <c r="H23" t="s">
        <v>285</v>
      </c>
      <c r="I23" t="s">
        <v>286</v>
      </c>
      <c r="J23" t="s">
        <v>287</v>
      </c>
    </row>
    <row r="24" spans="1:10" x14ac:dyDescent="0.25">
      <c r="A24" t="s">
        <v>183</v>
      </c>
      <c r="B24">
        <v>133</v>
      </c>
      <c r="C24">
        <v>68</v>
      </c>
      <c r="D24">
        <v>40</v>
      </c>
      <c r="G24" t="s">
        <v>252</v>
      </c>
      <c r="H24" t="s">
        <v>253</v>
      </c>
      <c r="I24" t="s">
        <v>234</v>
      </c>
      <c r="J24" t="s">
        <v>254</v>
      </c>
    </row>
    <row r="25" spans="1:10" x14ac:dyDescent="0.25">
      <c r="A25" t="s">
        <v>263</v>
      </c>
      <c r="B25">
        <v>28</v>
      </c>
      <c r="C25">
        <v>57</v>
      </c>
      <c r="D25">
        <v>0</v>
      </c>
      <c r="G25" t="s">
        <v>264</v>
      </c>
      <c r="H25" t="s">
        <v>265</v>
      </c>
      <c r="I25" t="s">
        <v>266</v>
      </c>
      <c r="J25" t="s">
        <v>267</v>
      </c>
    </row>
    <row r="26" spans="1:10" x14ac:dyDescent="0.25">
      <c r="A26" t="s">
        <v>182</v>
      </c>
      <c r="B26">
        <v>101</v>
      </c>
      <c r="C26">
        <v>38</v>
      </c>
      <c r="D26">
        <v>60</v>
      </c>
      <c r="G26" t="s">
        <v>242</v>
      </c>
      <c r="H26" t="s">
        <v>243</v>
      </c>
      <c r="I26" t="s">
        <v>234</v>
      </c>
      <c r="J26" t="s">
        <v>244</v>
      </c>
    </row>
    <row r="27" spans="1:10" x14ac:dyDescent="0.25">
      <c r="A27" t="s">
        <v>190</v>
      </c>
      <c r="B27">
        <v>11</v>
      </c>
      <c r="C27">
        <v>4</v>
      </c>
      <c r="D27">
        <v>0</v>
      </c>
      <c r="G27" t="s">
        <v>312</v>
      </c>
      <c r="H27" t="s">
        <v>265</v>
      </c>
      <c r="I27" t="s">
        <v>313</v>
      </c>
      <c r="J27" t="s">
        <v>314</v>
      </c>
    </row>
    <row r="28" spans="1:10" x14ac:dyDescent="0.25">
      <c r="A28" t="s">
        <v>188</v>
      </c>
      <c r="B28">
        <v>615</v>
      </c>
      <c r="C28">
        <v>1466</v>
      </c>
      <c r="D28">
        <v>0</v>
      </c>
      <c r="G28" t="s">
        <v>271</v>
      </c>
      <c r="H28" t="s">
        <v>272</v>
      </c>
      <c r="I28" t="s">
        <v>273</v>
      </c>
      <c r="J28" t="s">
        <v>315</v>
      </c>
    </row>
    <row r="29" spans="1:10" x14ac:dyDescent="0.25">
      <c r="A29" t="s">
        <v>189</v>
      </c>
      <c r="B29">
        <v>42</v>
      </c>
      <c r="C29">
        <v>57</v>
      </c>
      <c r="D29">
        <v>0</v>
      </c>
      <c r="G29" t="s">
        <v>265</v>
      </c>
      <c r="H29" t="s">
        <v>316</v>
      </c>
      <c r="I29" t="s">
        <v>266</v>
      </c>
      <c r="J29" t="s">
        <v>317</v>
      </c>
    </row>
    <row r="30" spans="1:10" x14ac:dyDescent="0.25">
      <c r="A30" t="s">
        <v>191</v>
      </c>
      <c r="B30">
        <v>169</v>
      </c>
      <c r="C30">
        <v>222</v>
      </c>
      <c r="D30">
        <v>0</v>
      </c>
      <c r="G30" t="s">
        <v>278</v>
      </c>
      <c r="H30" t="s">
        <v>279</v>
      </c>
      <c r="I30" t="s">
        <v>276</v>
      </c>
      <c r="J30" t="s">
        <v>280</v>
      </c>
    </row>
    <row r="31" spans="1:10" x14ac:dyDescent="0.25">
      <c r="A31" t="s">
        <v>192</v>
      </c>
      <c r="B31">
        <v>104</v>
      </c>
      <c r="C31">
        <v>158</v>
      </c>
      <c r="D31">
        <v>0</v>
      </c>
      <c r="G31" t="s">
        <v>281</v>
      </c>
      <c r="H31" t="s">
        <v>282</v>
      </c>
      <c r="I31" t="s">
        <v>283</v>
      </c>
      <c r="J31" t="s">
        <v>318</v>
      </c>
    </row>
    <row r="32" spans="1:10" x14ac:dyDescent="0.25">
      <c r="A32" t="s">
        <v>193</v>
      </c>
      <c r="B32">
        <v>37</v>
      </c>
      <c r="C32">
        <v>76</v>
      </c>
      <c r="D32">
        <v>0</v>
      </c>
      <c r="G32" t="s">
        <v>319</v>
      </c>
      <c r="H32" t="s">
        <v>320</v>
      </c>
      <c r="I32" t="s">
        <v>321</v>
      </c>
      <c r="J32" t="s">
        <v>322</v>
      </c>
    </row>
    <row r="33" spans="1:10" x14ac:dyDescent="0.25">
      <c r="A33" t="s">
        <v>198</v>
      </c>
      <c r="B33">
        <v>27</v>
      </c>
      <c r="C33">
        <v>33</v>
      </c>
      <c r="D33">
        <v>0</v>
      </c>
      <c r="G33" t="s">
        <v>323</v>
      </c>
      <c r="H33" t="s">
        <v>324</v>
      </c>
      <c r="I33" t="s">
        <v>325</v>
      </c>
      <c r="J33" t="s">
        <v>326</v>
      </c>
    </row>
    <row r="34" spans="1:10" x14ac:dyDescent="0.25">
      <c r="A34" t="s">
        <v>194</v>
      </c>
      <c r="B34">
        <v>105</v>
      </c>
      <c r="C34">
        <v>178</v>
      </c>
      <c r="D34">
        <v>0</v>
      </c>
      <c r="G34" t="s">
        <v>292</v>
      </c>
      <c r="H34" t="s">
        <v>294</v>
      </c>
      <c r="I34" t="s">
        <v>276</v>
      </c>
      <c r="J34" t="s">
        <v>327</v>
      </c>
    </row>
    <row r="35" spans="1:10" x14ac:dyDescent="0.25">
      <c r="A35" t="s">
        <v>195</v>
      </c>
      <c r="B35">
        <v>79</v>
      </c>
      <c r="C35">
        <v>62</v>
      </c>
      <c r="D35">
        <v>0</v>
      </c>
      <c r="G35" t="s">
        <v>265</v>
      </c>
      <c r="H35" t="s">
        <v>272</v>
      </c>
      <c r="I35" t="s">
        <v>273</v>
      </c>
      <c r="J35" t="s">
        <v>328</v>
      </c>
    </row>
    <row r="36" spans="1:10" x14ac:dyDescent="0.25">
      <c r="A36" t="s">
        <v>196</v>
      </c>
      <c r="B36">
        <v>35</v>
      </c>
      <c r="C36">
        <v>60</v>
      </c>
      <c r="D36">
        <v>0</v>
      </c>
      <c r="G36" t="s">
        <v>274</v>
      </c>
      <c r="H36" t="s">
        <v>278</v>
      </c>
      <c r="I36" t="s">
        <v>276</v>
      </c>
      <c r="J36" t="s">
        <v>329</v>
      </c>
    </row>
    <row r="37" spans="1:10" x14ac:dyDescent="0.25">
      <c r="A37" t="s">
        <v>197</v>
      </c>
      <c r="B37">
        <v>23</v>
      </c>
      <c r="C37">
        <v>16</v>
      </c>
      <c r="D37">
        <v>0</v>
      </c>
      <c r="G37" t="s">
        <v>274</v>
      </c>
      <c r="H37" t="s">
        <v>292</v>
      </c>
      <c r="I37" t="s">
        <v>293</v>
      </c>
      <c r="J37" t="s">
        <v>330</v>
      </c>
    </row>
    <row r="38" spans="1:10" x14ac:dyDescent="0.25">
      <c r="A38" t="s">
        <v>199</v>
      </c>
      <c r="B38">
        <v>36</v>
      </c>
      <c r="C38">
        <v>52</v>
      </c>
      <c r="D38">
        <v>0</v>
      </c>
      <c r="G38" t="s">
        <v>274</v>
      </c>
      <c r="H38" t="s">
        <v>275</v>
      </c>
      <c r="I38" t="s">
        <v>276</v>
      </c>
      <c r="J38" t="s">
        <v>277</v>
      </c>
    </row>
    <row r="39" spans="1:10" x14ac:dyDescent="0.25">
      <c r="A39" t="s">
        <v>200</v>
      </c>
      <c r="B39">
        <v>43</v>
      </c>
      <c r="C39">
        <v>50</v>
      </c>
      <c r="D39">
        <v>0</v>
      </c>
      <c r="G39" t="s">
        <v>268</v>
      </c>
      <c r="H39" t="s">
        <v>269</v>
      </c>
      <c r="I39" t="s">
        <v>270</v>
      </c>
      <c r="J39" t="s">
        <v>331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745EE-BE6F-4A43-AE93-76748E413DC4}">
  <sheetPr>
    <tabColor rgb="FFFFC000"/>
  </sheetPr>
  <dimension ref="A1:F17"/>
  <sheetViews>
    <sheetView workbookViewId="0"/>
  </sheetViews>
  <sheetFormatPr defaultRowHeight="15" x14ac:dyDescent="0.25"/>
  <cols>
    <col min="1" max="1" width="32.140625" bestFit="1" customWidth="1"/>
    <col min="2" max="2" width="20.140625" bestFit="1" customWidth="1"/>
    <col min="3" max="3" width="30.42578125" bestFit="1" customWidth="1"/>
    <col min="4" max="4" width="12.140625" bestFit="1" customWidth="1"/>
    <col min="5" max="5" width="9.7109375" bestFit="1" customWidth="1"/>
    <col min="6" max="6" width="20" bestFit="1" customWidth="1"/>
  </cols>
  <sheetData>
    <row r="1" spans="1:6" x14ac:dyDescent="0.25">
      <c r="A1" t="s">
        <v>350</v>
      </c>
      <c r="B1" t="s">
        <v>351</v>
      </c>
      <c r="C1" t="s">
        <v>375</v>
      </c>
      <c r="D1" t="s">
        <v>352</v>
      </c>
      <c r="E1" t="s">
        <v>353</v>
      </c>
      <c r="F1" t="s">
        <v>365</v>
      </c>
    </row>
    <row r="2" spans="1:6" x14ac:dyDescent="0.25">
      <c r="A2" t="s">
        <v>334</v>
      </c>
      <c r="B2" t="s">
        <v>354</v>
      </c>
      <c r="C2" t="s">
        <v>360</v>
      </c>
      <c r="D2" t="s">
        <v>298</v>
      </c>
    </row>
    <row r="3" spans="1:6" x14ac:dyDescent="0.25">
      <c r="A3" t="s">
        <v>335</v>
      </c>
      <c r="B3" t="s">
        <v>355</v>
      </c>
      <c r="C3" t="s">
        <v>355</v>
      </c>
      <c r="D3" t="s">
        <v>361</v>
      </c>
    </row>
    <row r="4" spans="1:6" x14ac:dyDescent="0.25">
      <c r="A4" t="s">
        <v>336</v>
      </c>
      <c r="B4" t="s">
        <v>355</v>
      </c>
      <c r="C4" t="s">
        <v>355</v>
      </c>
      <c r="D4" t="s">
        <v>361</v>
      </c>
    </row>
    <row r="5" spans="1:6" x14ac:dyDescent="0.25">
      <c r="A5" t="s">
        <v>337</v>
      </c>
      <c r="B5" t="s">
        <v>337</v>
      </c>
      <c r="C5" t="s">
        <v>337</v>
      </c>
      <c r="D5" t="s">
        <v>361</v>
      </c>
    </row>
    <row r="6" spans="1:6" x14ac:dyDescent="0.25">
      <c r="A6" t="s">
        <v>338</v>
      </c>
      <c r="B6" t="s">
        <v>338</v>
      </c>
      <c r="C6" t="s">
        <v>357</v>
      </c>
      <c r="D6" t="s">
        <v>361</v>
      </c>
    </row>
    <row r="7" spans="1:6" x14ac:dyDescent="0.25">
      <c r="A7" t="s">
        <v>339</v>
      </c>
      <c r="B7" t="s">
        <v>339</v>
      </c>
      <c r="C7" t="s">
        <v>358</v>
      </c>
      <c r="D7" t="s">
        <v>361</v>
      </c>
    </row>
    <row r="8" spans="1:6" x14ac:dyDescent="0.25">
      <c r="A8" t="s">
        <v>340</v>
      </c>
      <c r="B8" t="s">
        <v>340</v>
      </c>
      <c r="C8" t="s">
        <v>357</v>
      </c>
      <c r="D8" t="s">
        <v>361</v>
      </c>
    </row>
    <row r="9" spans="1:6" x14ac:dyDescent="0.25">
      <c r="A9" t="s">
        <v>341</v>
      </c>
      <c r="B9" t="s">
        <v>341</v>
      </c>
      <c r="C9" t="s">
        <v>358</v>
      </c>
      <c r="D9" t="s">
        <v>362</v>
      </c>
      <c r="E9" t="s">
        <v>363</v>
      </c>
    </row>
    <row r="10" spans="1:6" x14ac:dyDescent="0.25">
      <c r="A10" t="s">
        <v>342</v>
      </c>
      <c r="B10" t="s">
        <v>342</v>
      </c>
      <c r="C10" t="s">
        <v>358</v>
      </c>
      <c r="D10" t="s">
        <v>362</v>
      </c>
      <c r="E10" t="s">
        <v>364</v>
      </c>
    </row>
    <row r="11" spans="1:6" x14ac:dyDescent="0.25">
      <c r="A11" t="s">
        <v>343</v>
      </c>
      <c r="B11" t="s">
        <v>356</v>
      </c>
      <c r="C11" t="s">
        <v>358</v>
      </c>
      <c r="D11" t="s">
        <v>362</v>
      </c>
      <c r="E11" t="s">
        <v>364</v>
      </c>
    </row>
    <row r="12" spans="1:6" x14ac:dyDescent="0.25">
      <c r="A12" t="s">
        <v>344</v>
      </c>
      <c r="B12" t="s">
        <v>356</v>
      </c>
      <c r="C12" t="s">
        <v>358</v>
      </c>
      <c r="D12" t="s">
        <v>362</v>
      </c>
      <c r="E12" t="s">
        <v>363</v>
      </c>
    </row>
    <row r="13" spans="1:6" x14ac:dyDescent="0.25">
      <c r="A13" t="s">
        <v>345</v>
      </c>
      <c r="B13" t="s">
        <v>345</v>
      </c>
      <c r="C13" t="s">
        <v>345</v>
      </c>
      <c r="D13" t="s">
        <v>361</v>
      </c>
      <c r="F13" t="s">
        <v>345</v>
      </c>
    </row>
    <row r="14" spans="1:6" x14ac:dyDescent="0.25">
      <c r="A14" t="s">
        <v>346</v>
      </c>
      <c r="B14" t="s">
        <v>346</v>
      </c>
      <c r="C14" t="s">
        <v>346</v>
      </c>
      <c r="D14" t="s">
        <v>361</v>
      </c>
      <c r="F14" t="s">
        <v>346</v>
      </c>
    </row>
    <row r="15" spans="1:6" x14ac:dyDescent="0.25">
      <c r="A15" t="s">
        <v>347</v>
      </c>
      <c r="B15" t="s">
        <v>347</v>
      </c>
      <c r="C15" t="s">
        <v>347</v>
      </c>
      <c r="D15" t="s">
        <v>361</v>
      </c>
      <c r="F15" t="s">
        <v>347</v>
      </c>
    </row>
    <row r="16" spans="1:6" x14ac:dyDescent="0.25">
      <c r="A16" t="s">
        <v>348</v>
      </c>
      <c r="B16" t="s">
        <v>348</v>
      </c>
      <c r="C16" t="s">
        <v>357</v>
      </c>
      <c r="D16" t="s">
        <v>361</v>
      </c>
    </row>
    <row r="17" spans="1:4" x14ac:dyDescent="0.25">
      <c r="A17" t="s">
        <v>349</v>
      </c>
      <c r="B17" t="s">
        <v>349</v>
      </c>
      <c r="C17" t="s">
        <v>359</v>
      </c>
      <c r="D17" t="s">
        <v>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F7576-363B-4158-8CF9-3353C000B70B}">
  <sheetPr>
    <tabColor rgb="FFFFC000"/>
  </sheetPr>
  <dimension ref="A1:F7"/>
  <sheetViews>
    <sheetView workbookViewId="0"/>
  </sheetViews>
  <sheetFormatPr defaultRowHeight="15" x14ac:dyDescent="0.25"/>
  <cols>
    <col min="1" max="1" width="6.5703125" customWidth="1"/>
    <col min="2" max="2" width="24.7109375" bestFit="1" customWidth="1"/>
    <col min="3" max="3" width="24.28515625" bestFit="1" customWidth="1"/>
    <col min="4" max="4" width="16.85546875" customWidth="1"/>
    <col min="5" max="5" width="10.85546875" customWidth="1"/>
    <col min="6" max="6" width="124.28515625" customWidth="1"/>
  </cols>
  <sheetData>
    <row r="1" spans="1:6" x14ac:dyDescent="0.25">
      <c r="A1" s="7" t="s">
        <v>2</v>
      </c>
      <c r="B1" s="7" t="s">
        <v>379</v>
      </c>
      <c r="C1" s="7" t="s">
        <v>380</v>
      </c>
      <c r="D1" s="7" t="s">
        <v>381</v>
      </c>
      <c r="E1" s="7" t="s">
        <v>422</v>
      </c>
      <c r="F1" s="9" t="s">
        <v>305</v>
      </c>
    </row>
    <row r="2" spans="1:6" x14ac:dyDescent="0.25">
      <c r="A2">
        <v>2026</v>
      </c>
      <c r="B2" t="s">
        <v>418</v>
      </c>
      <c r="C2" t="s">
        <v>335</v>
      </c>
      <c r="D2">
        <v>500</v>
      </c>
      <c r="E2">
        <v>75</v>
      </c>
      <c r="F2" t="s">
        <v>382</v>
      </c>
    </row>
    <row r="3" spans="1:6" x14ac:dyDescent="0.25">
      <c r="A3">
        <v>2026</v>
      </c>
      <c r="B3" t="s">
        <v>419</v>
      </c>
      <c r="C3" t="s">
        <v>335</v>
      </c>
      <c r="D3">
        <v>750</v>
      </c>
      <c r="E3">
        <v>75</v>
      </c>
      <c r="F3" t="s">
        <v>385</v>
      </c>
    </row>
    <row r="4" spans="1:6" x14ac:dyDescent="0.25">
      <c r="A4">
        <v>2027</v>
      </c>
      <c r="B4" t="s">
        <v>419</v>
      </c>
      <c r="C4" t="s">
        <v>335</v>
      </c>
      <c r="D4">
        <v>750</v>
      </c>
      <c r="E4">
        <v>65</v>
      </c>
    </row>
    <row r="5" spans="1:6" x14ac:dyDescent="0.25">
      <c r="A5">
        <v>2027</v>
      </c>
      <c r="B5" t="s">
        <v>420</v>
      </c>
      <c r="C5" t="s">
        <v>348</v>
      </c>
      <c r="D5">
        <v>50</v>
      </c>
      <c r="E5">
        <v>40</v>
      </c>
    </row>
    <row r="6" spans="1:6" x14ac:dyDescent="0.25">
      <c r="A6">
        <v>2028</v>
      </c>
      <c r="B6" t="s">
        <v>420</v>
      </c>
      <c r="C6" t="s">
        <v>348</v>
      </c>
      <c r="D6">
        <v>50</v>
      </c>
      <c r="E6">
        <v>45</v>
      </c>
    </row>
    <row r="7" spans="1:6" x14ac:dyDescent="0.25">
      <c r="A7">
        <v>2033</v>
      </c>
      <c r="B7" t="s">
        <v>417</v>
      </c>
      <c r="C7" t="s">
        <v>338</v>
      </c>
      <c r="D7">
        <v>100</v>
      </c>
      <c r="E7">
        <v>50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7A2DC-E334-4482-A723-5E521AE07DC8}">
  <sheetPr>
    <tabColor rgb="FFFFC000"/>
  </sheetPr>
  <dimension ref="A1:D5"/>
  <sheetViews>
    <sheetView workbookViewId="0">
      <selection activeCell="D43" sqref="D43"/>
    </sheetView>
  </sheetViews>
  <sheetFormatPr defaultRowHeight="15" x14ac:dyDescent="0.25"/>
  <cols>
    <col min="1" max="1" width="33.85546875" customWidth="1"/>
    <col min="2" max="2" width="23.140625" customWidth="1"/>
    <col min="3" max="3" width="17.5703125" customWidth="1"/>
    <col min="4" max="4" width="67.5703125" customWidth="1"/>
  </cols>
  <sheetData>
    <row r="1" spans="1:4" x14ac:dyDescent="0.25">
      <c r="A1" s="7" t="s">
        <v>376</v>
      </c>
      <c r="B1" s="7" t="s">
        <v>377</v>
      </c>
      <c r="C1" s="7" t="s">
        <v>378</v>
      </c>
      <c r="D1" s="9" t="s">
        <v>305</v>
      </c>
    </row>
    <row r="2" spans="1:4" x14ac:dyDescent="0.25">
      <c r="A2" t="s">
        <v>335</v>
      </c>
      <c r="B2" t="s">
        <v>338</v>
      </c>
      <c r="C2" t="s">
        <v>421</v>
      </c>
      <c r="D2" t="s">
        <v>383</v>
      </c>
    </row>
    <row r="3" spans="1:4" x14ac:dyDescent="0.25">
      <c r="A3" t="s">
        <v>347</v>
      </c>
      <c r="B3" t="s">
        <v>346</v>
      </c>
      <c r="C3" t="s">
        <v>394</v>
      </c>
      <c r="D3" t="s">
        <v>386</v>
      </c>
    </row>
    <row r="4" spans="1:4" x14ac:dyDescent="0.25">
      <c r="A4" t="s">
        <v>344</v>
      </c>
      <c r="B4" t="s">
        <v>340</v>
      </c>
      <c r="C4" t="s">
        <v>395</v>
      </c>
    </row>
    <row r="5" spans="1:4" x14ac:dyDescent="0.25">
      <c r="A5" t="s">
        <v>341</v>
      </c>
      <c r="B5" t="s">
        <v>345</v>
      </c>
      <c r="C5" t="s">
        <v>396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F771E-FBA7-48AB-AFE8-4AF532E0DD0A}">
  <sheetPr>
    <tabColor rgb="FFFFC000"/>
  </sheetPr>
  <dimension ref="A1:D9"/>
  <sheetViews>
    <sheetView workbookViewId="0">
      <selection sqref="A1:B9"/>
    </sheetView>
  </sheetViews>
  <sheetFormatPr defaultRowHeight="15" x14ac:dyDescent="0.25"/>
  <cols>
    <col min="1" max="1" width="28.28515625" customWidth="1"/>
    <col min="2" max="2" width="12.5703125" customWidth="1"/>
    <col min="3" max="3" width="45.7109375" customWidth="1"/>
    <col min="4" max="4" width="71.5703125" customWidth="1"/>
  </cols>
  <sheetData>
    <row r="1" spans="1:4" x14ac:dyDescent="0.25">
      <c r="A1" s="7" t="s">
        <v>387</v>
      </c>
      <c r="B1" s="7" t="s">
        <v>388</v>
      </c>
      <c r="C1" s="7" t="s">
        <v>389</v>
      </c>
      <c r="D1" s="9" t="s">
        <v>305</v>
      </c>
    </row>
    <row r="2" spans="1:4" x14ac:dyDescent="0.25">
      <c r="A2" t="s">
        <v>391</v>
      </c>
      <c r="B2" t="s">
        <v>393</v>
      </c>
      <c r="C2" t="s">
        <v>397</v>
      </c>
      <c r="D2" t="s">
        <v>384</v>
      </c>
    </row>
    <row r="3" spans="1:4" x14ac:dyDescent="0.25">
      <c r="A3" t="s">
        <v>392</v>
      </c>
      <c r="B3" t="s">
        <v>399</v>
      </c>
      <c r="C3" t="s">
        <v>398</v>
      </c>
      <c r="D3" t="s">
        <v>390</v>
      </c>
    </row>
    <row r="4" spans="1:4" x14ac:dyDescent="0.25">
      <c r="A4" t="s">
        <v>400</v>
      </c>
      <c r="B4" t="s">
        <v>423</v>
      </c>
      <c r="C4" t="s">
        <v>424</v>
      </c>
    </row>
    <row r="5" spans="1:4" x14ac:dyDescent="0.25">
      <c r="A5" t="s">
        <v>401</v>
      </c>
      <c r="B5" t="s">
        <v>403</v>
      </c>
      <c r="C5" t="s">
        <v>402</v>
      </c>
    </row>
    <row r="6" spans="1:4" x14ac:dyDescent="0.25">
      <c r="A6" t="s">
        <v>408</v>
      </c>
      <c r="B6" t="s">
        <v>415</v>
      </c>
      <c r="D6" t="s">
        <v>412</v>
      </c>
    </row>
    <row r="7" spans="1:4" x14ac:dyDescent="0.25">
      <c r="A7" t="s">
        <v>409</v>
      </c>
      <c r="B7" t="s">
        <v>415</v>
      </c>
      <c r="D7" t="s">
        <v>413</v>
      </c>
    </row>
    <row r="8" spans="1:4" x14ac:dyDescent="0.25">
      <c r="A8" t="s">
        <v>410</v>
      </c>
      <c r="B8">
        <v>30000</v>
      </c>
      <c r="D8" t="s">
        <v>414</v>
      </c>
    </row>
    <row r="9" spans="1:4" x14ac:dyDescent="0.25">
      <c r="A9" t="s">
        <v>411</v>
      </c>
      <c r="B9">
        <v>50</v>
      </c>
      <c r="D9" t="s">
        <v>416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3D1BE-4AE7-4A61-8844-46D5A157B4E1}">
  <sheetPr>
    <tabColor rgb="FFFFC000"/>
  </sheetPr>
  <dimension ref="A1:CX27"/>
  <sheetViews>
    <sheetView workbookViewId="0"/>
  </sheetViews>
  <sheetFormatPr defaultRowHeight="15" x14ac:dyDescent="0.25"/>
  <cols>
    <col min="1" max="1" width="6.28515625" customWidth="1"/>
    <col min="2" max="102" width="7" customWidth="1"/>
  </cols>
  <sheetData>
    <row r="1" spans="1:102" x14ac:dyDescent="0.25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</row>
    <row r="2" spans="1:102" x14ac:dyDescent="0.25">
      <c r="A2">
        <v>2025</v>
      </c>
      <c r="B2">
        <v>1470</v>
      </c>
      <c r="C2">
        <v>1596</v>
      </c>
      <c r="D2">
        <v>1506</v>
      </c>
      <c r="E2">
        <v>1576</v>
      </c>
      <c r="F2">
        <v>1787</v>
      </c>
      <c r="G2">
        <v>1703</v>
      </c>
      <c r="H2">
        <v>1787</v>
      </c>
      <c r="I2">
        <v>1773</v>
      </c>
      <c r="J2">
        <v>1767</v>
      </c>
      <c r="K2">
        <v>1895</v>
      </c>
      <c r="L2">
        <v>1899</v>
      </c>
      <c r="M2">
        <v>1885</v>
      </c>
      <c r="N2">
        <v>1903</v>
      </c>
      <c r="O2">
        <v>2014</v>
      </c>
      <c r="P2">
        <v>1913</v>
      </c>
      <c r="Q2">
        <v>1990</v>
      </c>
      <c r="R2">
        <v>2034</v>
      </c>
      <c r="S2">
        <v>1926</v>
      </c>
      <c r="T2">
        <v>1966</v>
      </c>
      <c r="U2">
        <v>2254</v>
      </c>
      <c r="V2">
        <v>2804</v>
      </c>
      <c r="W2">
        <v>3370</v>
      </c>
      <c r="X2">
        <v>3496</v>
      </c>
      <c r="Y2">
        <v>3313</v>
      </c>
      <c r="Z2">
        <v>3078</v>
      </c>
      <c r="AA2">
        <v>2954</v>
      </c>
      <c r="AB2">
        <v>2713</v>
      </c>
      <c r="AC2">
        <v>2451</v>
      </c>
      <c r="AD2">
        <v>2339</v>
      </c>
      <c r="AE2">
        <v>2348</v>
      </c>
      <c r="AF2">
        <v>2402</v>
      </c>
      <c r="AG2">
        <v>2416</v>
      </c>
      <c r="AH2">
        <v>2460</v>
      </c>
      <c r="AI2">
        <v>2490</v>
      </c>
      <c r="AJ2">
        <v>2548</v>
      </c>
      <c r="AK2">
        <v>2450</v>
      </c>
      <c r="AL2">
        <v>2325</v>
      </c>
      <c r="AM2">
        <v>2322</v>
      </c>
      <c r="AN2">
        <v>2226</v>
      </c>
      <c r="AO2">
        <v>2166</v>
      </c>
      <c r="AP2">
        <v>2120</v>
      </c>
      <c r="AQ2">
        <v>2000</v>
      </c>
      <c r="AR2">
        <v>2050</v>
      </c>
      <c r="AS2">
        <v>1991</v>
      </c>
      <c r="AT2">
        <v>1936</v>
      </c>
      <c r="AU2">
        <v>1991</v>
      </c>
      <c r="AV2">
        <v>1985</v>
      </c>
      <c r="AW2">
        <v>1877</v>
      </c>
      <c r="AX2">
        <v>1961</v>
      </c>
      <c r="AY2">
        <v>2020</v>
      </c>
      <c r="AZ2">
        <v>1941</v>
      </c>
      <c r="BA2">
        <v>2077</v>
      </c>
      <c r="BB2">
        <v>2039</v>
      </c>
      <c r="BC2">
        <v>1938</v>
      </c>
      <c r="BD2">
        <v>2011</v>
      </c>
      <c r="BE2">
        <v>1949</v>
      </c>
      <c r="BF2">
        <v>1897</v>
      </c>
      <c r="BG2">
        <v>1842</v>
      </c>
      <c r="BH2">
        <v>2024</v>
      </c>
      <c r="BI2">
        <v>1899</v>
      </c>
      <c r="BJ2">
        <v>2003</v>
      </c>
      <c r="BK2">
        <v>1933</v>
      </c>
      <c r="BL2">
        <v>1754</v>
      </c>
      <c r="BM2">
        <v>1685</v>
      </c>
      <c r="BN2">
        <v>1572</v>
      </c>
      <c r="BO2">
        <v>1562</v>
      </c>
      <c r="BP2">
        <v>1496</v>
      </c>
      <c r="BQ2">
        <v>1571</v>
      </c>
      <c r="BR2">
        <v>1494</v>
      </c>
      <c r="BS2">
        <v>1471</v>
      </c>
      <c r="BT2">
        <v>1416</v>
      </c>
      <c r="BU2">
        <v>1311</v>
      </c>
      <c r="BV2">
        <v>1389</v>
      </c>
      <c r="BW2">
        <v>1343</v>
      </c>
      <c r="BX2">
        <v>1321</v>
      </c>
      <c r="BY2">
        <v>1314</v>
      </c>
      <c r="BZ2">
        <v>1388</v>
      </c>
      <c r="CA2">
        <v>1321</v>
      </c>
      <c r="CB2">
        <v>1278</v>
      </c>
      <c r="CC2">
        <v>1321</v>
      </c>
      <c r="CD2">
        <v>1236</v>
      </c>
      <c r="CE2">
        <v>1177</v>
      </c>
      <c r="CF2">
        <v>1005</v>
      </c>
      <c r="CG2">
        <v>982</v>
      </c>
      <c r="CH2">
        <v>808</v>
      </c>
      <c r="CI2">
        <v>740</v>
      </c>
      <c r="CJ2">
        <v>682</v>
      </c>
      <c r="CK2">
        <v>606</v>
      </c>
      <c r="CL2">
        <v>510</v>
      </c>
      <c r="CM2">
        <v>422</v>
      </c>
      <c r="CN2">
        <v>431</v>
      </c>
      <c r="CO2">
        <v>272</v>
      </c>
      <c r="CP2">
        <v>255</v>
      </c>
      <c r="CQ2">
        <v>211</v>
      </c>
      <c r="CR2">
        <v>165</v>
      </c>
      <c r="CS2">
        <v>118</v>
      </c>
      <c r="CT2">
        <v>88</v>
      </c>
      <c r="CU2">
        <v>65</v>
      </c>
      <c r="CV2">
        <v>49</v>
      </c>
      <c r="CW2">
        <v>38</v>
      </c>
      <c r="CX2">
        <v>47</v>
      </c>
    </row>
    <row r="3" spans="1:102" x14ac:dyDescent="0.25">
      <c r="A3">
        <v>2026</v>
      </c>
      <c r="B3">
        <v>1505</v>
      </c>
      <c r="C3">
        <v>1460</v>
      </c>
      <c r="D3">
        <v>1583</v>
      </c>
      <c r="E3">
        <v>1494</v>
      </c>
      <c r="F3">
        <v>1575</v>
      </c>
      <c r="G3">
        <v>1774</v>
      </c>
      <c r="H3">
        <v>1682</v>
      </c>
      <c r="I3">
        <v>1775</v>
      </c>
      <c r="J3">
        <v>1759</v>
      </c>
      <c r="K3">
        <v>1755</v>
      </c>
      <c r="L3">
        <v>1883</v>
      </c>
      <c r="M3">
        <v>1893</v>
      </c>
      <c r="N3">
        <v>1887</v>
      </c>
      <c r="O3">
        <v>1906</v>
      </c>
      <c r="P3">
        <v>2014</v>
      </c>
      <c r="Q3">
        <v>1923</v>
      </c>
      <c r="R3">
        <v>1998</v>
      </c>
      <c r="S3">
        <v>2046</v>
      </c>
      <c r="T3">
        <v>1953</v>
      </c>
      <c r="U3">
        <v>2278</v>
      </c>
      <c r="V3">
        <v>2823</v>
      </c>
      <c r="W3">
        <v>3361</v>
      </c>
      <c r="X3">
        <v>3542</v>
      </c>
      <c r="Y3">
        <v>3534</v>
      </c>
      <c r="Z3">
        <v>3227</v>
      </c>
      <c r="AA3">
        <v>2867</v>
      </c>
      <c r="AB3">
        <v>2787</v>
      </c>
      <c r="AC3">
        <v>2577</v>
      </c>
      <c r="AD3">
        <v>2389</v>
      </c>
      <c r="AE3">
        <v>2266</v>
      </c>
      <c r="AF3">
        <v>2291</v>
      </c>
      <c r="AG3">
        <v>2328</v>
      </c>
      <c r="AH3">
        <v>2381</v>
      </c>
      <c r="AI3">
        <v>2428</v>
      </c>
      <c r="AJ3">
        <v>2455</v>
      </c>
      <c r="AK3">
        <v>2536</v>
      </c>
      <c r="AL3">
        <v>2424</v>
      </c>
      <c r="AM3">
        <v>2307</v>
      </c>
      <c r="AN3">
        <v>2307</v>
      </c>
      <c r="AO3">
        <v>2219</v>
      </c>
      <c r="AP3">
        <v>2148</v>
      </c>
      <c r="AQ3">
        <v>2115</v>
      </c>
      <c r="AR3">
        <v>1993</v>
      </c>
      <c r="AS3">
        <v>2041</v>
      </c>
      <c r="AT3">
        <v>1982</v>
      </c>
      <c r="AU3">
        <v>1935</v>
      </c>
      <c r="AV3">
        <v>1986</v>
      </c>
      <c r="AW3">
        <v>1980</v>
      </c>
      <c r="AX3">
        <v>1873</v>
      </c>
      <c r="AY3">
        <v>1963</v>
      </c>
      <c r="AZ3">
        <v>2023</v>
      </c>
      <c r="BA3">
        <v>1935</v>
      </c>
      <c r="BB3">
        <v>2075</v>
      </c>
      <c r="BC3">
        <v>2029</v>
      </c>
      <c r="BD3">
        <v>1935</v>
      </c>
      <c r="BE3">
        <v>2005</v>
      </c>
      <c r="BF3">
        <v>1941</v>
      </c>
      <c r="BG3">
        <v>1889</v>
      </c>
      <c r="BH3">
        <v>1829</v>
      </c>
      <c r="BI3">
        <v>2014</v>
      </c>
      <c r="BJ3">
        <v>1888</v>
      </c>
      <c r="BK3">
        <v>1990</v>
      </c>
      <c r="BL3">
        <v>1923</v>
      </c>
      <c r="BM3">
        <v>1737</v>
      </c>
      <c r="BN3">
        <v>1672</v>
      </c>
      <c r="BO3">
        <v>1558</v>
      </c>
      <c r="BP3">
        <v>1545</v>
      </c>
      <c r="BQ3">
        <v>1488</v>
      </c>
      <c r="BR3">
        <v>1554</v>
      </c>
      <c r="BS3">
        <v>1481</v>
      </c>
      <c r="BT3">
        <v>1459</v>
      </c>
      <c r="BU3">
        <v>1408</v>
      </c>
      <c r="BV3">
        <v>1295</v>
      </c>
      <c r="BW3">
        <v>1372</v>
      </c>
      <c r="BX3">
        <v>1330</v>
      </c>
      <c r="BY3">
        <v>1302</v>
      </c>
      <c r="BZ3">
        <v>1298</v>
      </c>
      <c r="CA3">
        <v>1359</v>
      </c>
      <c r="CB3">
        <v>1293</v>
      </c>
      <c r="CC3">
        <v>1248</v>
      </c>
      <c r="CD3">
        <v>1282</v>
      </c>
      <c r="CE3">
        <v>1190</v>
      </c>
      <c r="CF3">
        <v>1132</v>
      </c>
      <c r="CG3">
        <v>958</v>
      </c>
      <c r="CH3">
        <v>930</v>
      </c>
      <c r="CI3">
        <v>759</v>
      </c>
      <c r="CJ3">
        <v>688</v>
      </c>
      <c r="CK3">
        <v>622</v>
      </c>
      <c r="CL3">
        <v>549</v>
      </c>
      <c r="CM3">
        <v>454</v>
      </c>
      <c r="CN3">
        <v>371</v>
      </c>
      <c r="CO3">
        <v>373</v>
      </c>
      <c r="CP3">
        <v>230</v>
      </c>
      <c r="CQ3">
        <v>211</v>
      </c>
      <c r="CR3">
        <v>170</v>
      </c>
      <c r="CS3">
        <v>130</v>
      </c>
      <c r="CT3">
        <v>90</v>
      </c>
      <c r="CU3">
        <v>65</v>
      </c>
      <c r="CV3">
        <v>47</v>
      </c>
      <c r="CW3">
        <v>35</v>
      </c>
      <c r="CX3">
        <v>55</v>
      </c>
    </row>
    <row r="4" spans="1:102" x14ac:dyDescent="0.25">
      <c r="A4">
        <v>2027</v>
      </c>
      <c r="B4">
        <v>1512</v>
      </c>
      <c r="C4">
        <v>1496</v>
      </c>
      <c r="D4">
        <v>1448</v>
      </c>
      <c r="E4">
        <v>1570</v>
      </c>
      <c r="F4">
        <v>1492</v>
      </c>
      <c r="G4">
        <v>1563</v>
      </c>
      <c r="H4">
        <v>1753</v>
      </c>
      <c r="I4">
        <v>1670</v>
      </c>
      <c r="J4">
        <v>1762</v>
      </c>
      <c r="K4">
        <v>1746</v>
      </c>
      <c r="L4">
        <v>1743</v>
      </c>
      <c r="M4">
        <v>1876</v>
      </c>
      <c r="N4">
        <v>1893</v>
      </c>
      <c r="O4">
        <v>1890</v>
      </c>
      <c r="P4">
        <v>1905</v>
      </c>
      <c r="Q4">
        <v>2023</v>
      </c>
      <c r="R4">
        <v>1930</v>
      </c>
      <c r="S4">
        <v>2010</v>
      </c>
      <c r="T4">
        <v>2073</v>
      </c>
      <c r="U4">
        <v>2271</v>
      </c>
      <c r="V4">
        <v>2858</v>
      </c>
      <c r="W4">
        <v>3391</v>
      </c>
      <c r="X4">
        <v>3542</v>
      </c>
      <c r="Y4">
        <v>3590</v>
      </c>
      <c r="Z4">
        <v>3458</v>
      </c>
      <c r="AA4">
        <v>3026</v>
      </c>
      <c r="AB4">
        <v>2708</v>
      </c>
      <c r="AC4">
        <v>2658</v>
      </c>
      <c r="AD4">
        <v>2521</v>
      </c>
      <c r="AE4">
        <v>2320</v>
      </c>
      <c r="AF4">
        <v>2213</v>
      </c>
      <c r="AG4">
        <v>2220</v>
      </c>
      <c r="AH4">
        <v>2296</v>
      </c>
      <c r="AI4">
        <v>2352</v>
      </c>
      <c r="AJ4">
        <v>2396</v>
      </c>
      <c r="AK4">
        <v>2446</v>
      </c>
      <c r="AL4">
        <v>2513</v>
      </c>
      <c r="AM4">
        <v>2407</v>
      </c>
      <c r="AN4">
        <v>2294</v>
      </c>
      <c r="AO4">
        <v>2301</v>
      </c>
      <c r="AP4">
        <v>2201</v>
      </c>
      <c r="AQ4">
        <v>2143</v>
      </c>
      <c r="AR4">
        <v>2109</v>
      </c>
      <c r="AS4">
        <v>1985</v>
      </c>
      <c r="AT4">
        <v>2033</v>
      </c>
      <c r="AU4">
        <v>1982</v>
      </c>
      <c r="AV4">
        <v>1931</v>
      </c>
      <c r="AW4">
        <v>1982</v>
      </c>
      <c r="AX4">
        <v>1977</v>
      </c>
      <c r="AY4">
        <v>1876</v>
      </c>
      <c r="AZ4">
        <v>1967</v>
      </c>
      <c r="BA4">
        <v>2019</v>
      </c>
      <c r="BB4">
        <v>1934</v>
      </c>
      <c r="BC4">
        <v>2066</v>
      </c>
      <c r="BD4">
        <v>2026</v>
      </c>
      <c r="BE4">
        <v>1929</v>
      </c>
      <c r="BF4">
        <v>1997</v>
      </c>
      <c r="BG4">
        <v>1934</v>
      </c>
      <c r="BH4">
        <v>1877</v>
      </c>
      <c r="BI4">
        <v>1821</v>
      </c>
      <c r="BJ4">
        <v>2003</v>
      </c>
      <c r="BK4">
        <v>1876</v>
      </c>
      <c r="BL4">
        <v>1980</v>
      </c>
      <c r="BM4">
        <v>1906</v>
      </c>
      <c r="BN4">
        <v>1724</v>
      </c>
      <c r="BO4">
        <v>1658</v>
      </c>
      <c r="BP4">
        <v>1542</v>
      </c>
      <c r="BQ4">
        <v>1536</v>
      </c>
      <c r="BR4">
        <v>1472</v>
      </c>
      <c r="BS4">
        <v>1540</v>
      </c>
      <c r="BT4">
        <v>1470</v>
      </c>
      <c r="BU4">
        <v>1451</v>
      </c>
      <c r="BV4">
        <v>1391</v>
      </c>
      <c r="BW4">
        <v>1280</v>
      </c>
      <c r="BX4">
        <v>1360</v>
      </c>
      <c r="BY4">
        <v>1311</v>
      </c>
      <c r="BZ4">
        <v>1287</v>
      </c>
      <c r="CA4">
        <v>1271</v>
      </c>
      <c r="CB4">
        <v>1331</v>
      </c>
      <c r="CC4">
        <v>1265</v>
      </c>
      <c r="CD4">
        <v>1212</v>
      </c>
      <c r="CE4">
        <v>1235</v>
      </c>
      <c r="CF4">
        <v>1145</v>
      </c>
      <c r="CG4">
        <v>1080</v>
      </c>
      <c r="CH4">
        <v>908</v>
      </c>
      <c r="CI4">
        <v>874</v>
      </c>
      <c r="CJ4">
        <v>707</v>
      </c>
      <c r="CK4">
        <v>627</v>
      </c>
      <c r="CL4">
        <v>564</v>
      </c>
      <c r="CM4">
        <v>490</v>
      </c>
      <c r="CN4">
        <v>399</v>
      </c>
      <c r="CO4">
        <v>322</v>
      </c>
      <c r="CP4">
        <v>316</v>
      </c>
      <c r="CQ4">
        <v>191</v>
      </c>
      <c r="CR4">
        <v>170</v>
      </c>
      <c r="CS4">
        <v>134</v>
      </c>
      <c r="CT4">
        <v>99</v>
      </c>
      <c r="CU4">
        <v>67</v>
      </c>
      <c r="CV4">
        <v>47</v>
      </c>
      <c r="CW4">
        <v>33</v>
      </c>
      <c r="CX4">
        <v>58</v>
      </c>
    </row>
    <row r="5" spans="1:102" x14ac:dyDescent="0.25">
      <c r="A5">
        <v>2028</v>
      </c>
      <c r="B5">
        <v>1523</v>
      </c>
      <c r="C5">
        <v>1503</v>
      </c>
      <c r="D5">
        <v>1484</v>
      </c>
      <c r="E5">
        <v>1436</v>
      </c>
      <c r="F5">
        <v>1568</v>
      </c>
      <c r="G5">
        <v>1482</v>
      </c>
      <c r="H5">
        <v>1543</v>
      </c>
      <c r="I5">
        <v>1742</v>
      </c>
      <c r="J5">
        <v>1658</v>
      </c>
      <c r="K5">
        <v>1750</v>
      </c>
      <c r="L5">
        <v>1735</v>
      </c>
      <c r="M5">
        <v>1737</v>
      </c>
      <c r="N5">
        <v>1878</v>
      </c>
      <c r="O5">
        <v>1897</v>
      </c>
      <c r="P5">
        <v>1890</v>
      </c>
      <c r="Q5">
        <v>1915</v>
      </c>
      <c r="R5">
        <v>2030</v>
      </c>
      <c r="S5">
        <v>1943</v>
      </c>
      <c r="T5">
        <v>2038</v>
      </c>
      <c r="U5">
        <v>2395</v>
      </c>
      <c r="V5">
        <v>2858</v>
      </c>
      <c r="W5">
        <v>3436</v>
      </c>
      <c r="X5">
        <v>3579</v>
      </c>
      <c r="Y5">
        <v>3595</v>
      </c>
      <c r="Z5">
        <v>3519</v>
      </c>
      <c r="AA5">
        <v>3261</v>
      </c>
      <c r="AB5">
        <v>2871</v>
      </c>
      <c r="AC5">
        <v>2583</v>
      </c>
      <c r="AD5">
        <v>2605</v>
      </c>
      <c r="AE5">
        <v>2455</v>
      </c>
      <c r="AF5">
        <v>2269</v>
      </c>
      <c r="AG5">
        <v>2144</v>
      </c>
      <c r="AH5">
        <v>2189</v>
      </c>
      <c r="AI5">
        <v>2269</v>
      </c>
      <c r="AJ5">
        <v>2322</v>
      </c>
      <c r="AK5">
        <v>2388</v>
      </c>
      <c r="AL5">
        <v>2425</v>
      </c>
      <c r="AM5">
        <v>2497</v>
      </c>
      <c r="AN5">
        <v>2395</v>
      </c>
      <c r="AO5">
        <v>2289</v>
      </c>
      <c r="AP5">
        <v>2284</v>
      </c>
      <c r="AQ5">
        <v>2198</v>
      </c>
      <c r="AR5">
        <v>2138</v>
      </c>
      <c r="AS5">
        <v>2102</v>
      </c>
      <c r="AT5">
        <v>1977</v>
      </c>
      <c r="AU5">
        <v>2034</v>
      </c>
      <c r="AV5">
        <v>1979</v>
      </c>
      <c r="AW5">
        <v>1927</v>
      </c>
      <c r="AX5">
        <v>1979</v>
      </c>
      <c r="AY5">
        <v>1980</v>
      </c>
      <c r="AZ5">
        <v>1881</v>
      </c>
      <c r="BA5">
        <v>1964</v>
      </c>
      <c r="BB5">
        <v>2019</v>
      </c>
      <c r="BC5">
        <v>1926</v>
      </c>
      <c r="BD5">
        <v>2063</v>
      </c>
      <c r="BE5">
        <v>2021</v>
      </c>
      <c r="BF5">
        <v>1923</v>
      </c>
      <c r="BG5">
        <v>1990</v>
      </c>
      <c r="BH5">
        <v>1922</v>
      </c>
      <c r="BI5">
        <v>1869</v>
      </c>
      <c r="BJ5">
        <v>1811</v>
      </c>
      <c r="BK5">
        <v>1991</v>
      </c>
      <c r="BL5">
        <v>1867</v>
      </c>
      <c r="BM5">
        <v>1963</v>
      </c>
      <c r="BN5">
        <v>1892</v>
      </c>
      <c r="BO5">
        <v>1710</v>
      </c>
      <c r="BP5">
        <v>1642</v>
      </c>
      <c r="BQ5">
        <v>1534</v>
      </c>
      <c r="BR5">
        <v>1520</v>
      </c>
      <c r="BS5">
        <v>1460</v>
      </c>
      <c r="BT5">
        <v>1530</v>
      </c>
      <c r="BU5">
        <v>1463</v>
      </c>
      <c r="BV5">
        <v>1435</v>
      </c>
      <c r="BW5">
        <v>1376</v>
      </c>
      <c r="BX5">
        <v>1270</v>
      </c>
      <c r="BY5">
        <v>1341</v>
      </c>
      <c r="BZ5">
        <v>1297</v>
      </c>
      <c r="CA5">
        <v>1262</v>
      </c>
      <c r="CB5">
        <v>1246</v>
      </c>
      <c r="CC5">
        <v>1302</v>
      </c>
      <c r="CD5">
        <v>1229</v>
      </c>
      <c r="CE5">
        <v>1169</v>
      </c>
      <c r="CF5">
        <v>1190</v>
      </c>
      <c r="CG5">
        <v>1094</v>
      </c>
      <c r="CH5">
        <v>1025</v>
      </c>
      <c r="CI5">
        <v>855</v>
      </c>
      <c r="CJ5">
        <v>814</v>
      </c>
      <c r="CK5">
        <v>647</v>
      </c>
      <c r="CL5">
        <v>569</v>
      </c>
      <c r="CM5">
        <v>504</v>
      </c>
      <c r="CN5">
        <v>433</v>
      </c>
      <c r="CO5">
        <v>346</v>
      </c>
      <c r="CP5">
        <v>273</v>
      </c>
      <c r="CQ5">
        <v>262</v>
      </c>
      <c r="CR5">
        <v>154</v>
      </c>
      <c r="CS5">
        <v>134</v>
      </c>
      <c r="CT5">
        <v>102</v>
      </c>
      <c r="CU5">
        <v>73</v>
      </c>
      <c r="CV5">
        <v>49</v>
      </c>
      <c r="CW5">
        <v>33</v>
      </c>
      <c r="CX5">
        <v>59</v>
      </c>
    </row>
    <row r="6" spans="1:102" x14ac:dyDescent="0.25">
      <c r="A6">
        <v>2029</v>
      </c>
      <c r="B6">
        <v>1537</v>
      </c>
      <c r="C6">
        <v>1515</v>
      </c>
      <c r="D6">
        <v>1493</v>
      </c>
      <c r="E6">
        <v>1473</v>
      </c>
      <c r="F6">
        <v>1436</v>
      </c>
      <c r="G6">
        <v>1559</v>
      </c>
      <c r="H6">
        <v>1463</v>
      </c>
      <c r="I6">
        <v>1532</v>
      </c>
      <c r="J6">
        <v>1730</v>
      </c>
      <c r="K6">
        <v>1645</v>
      </c>
      <c r="L6">
        <v>1739</v>
      </c>
      <c r="M6">
        <v>1727</v>
      </c>
      <c r="N6">
        <v>1739</v>
      </c>
      <c r="O6">
        <v>1882</v>
      </c>
      <c r="P6">
        <v>1897</v>
      </c>
      <c r="Q6">
        <v>1900</v>
      </c>
      <c r="R6">
        <v>1923</v>
      </c>
      <c r="S6">
        <v>2044</v>
      </c>
      <c r="T6">
        <v>1972</v>
      </c>
      <c r="U6">
        <v>2367</v>
      </c>
      <c r="V6">
        <v>2991</v>
      </c>
      <c r="W6">
        <v>3442</v>
      </c>
      <c r="X6">
        <v>3628</v>
      </c>
      <c r="Y6">
        <v>3634</v>
      </c>
      <c r="Z6">
        <v>3526</v>
      </c>
      <c r="AA6">
        <v>3324</v>
      </c>
      <c r="AB6">
        <v>3106</v>
      </c>
      <c r="AC6">
        <v>2747</v>
      </c>
      <c r="AD6">
        <v>2532</v>
      </c>
      <c r="AE6">
        <v>2541</v>
      </c>
      <c r="AF6">
        <v>2405</v>
      </c>
      <c r="AG6">
        <v>2200</v>
      </c>
      <c r="AH6">
        <v>2115</v>
      </c>
      <c r="AI6">
        <v>2163</v>
      </c>
      <c r="AJ6">
        <v>2239</v>
      </c>
      <c r="AK6">
        <v>2314</v>
      </c>
      <c r="AL6">
        <v>2368</v>
      </c>
      <c r="AM6">
        <v>2410</v>
      </c>
      <c r="AN6">
        <v>2485</v>
      </c>
      <c r="AO6">
        <v>2392</v>
      </c>
      <c r="AP6">
        <v>2274</v>
      </c>
      <c r="AQ6">
        <v>2281</v>
      </c>
      <c r="AR6">
        <v>2192</v>
      </c>
      <c r="AS6">
        <v>2131</v>
      </c>
      <c r="AT6">
        <v>2094</v>
      </c>
      <c r="AU6">
        <v>1978</v>
      </c>
      <c r="AV6">
        <v>2031</v>
      </c>
      <c r="AW6">
        <v>1975</v>
      </c>
      <c r="AX6">
        <v>1925</v>
      </c>
      <c r="AY6">
        <v>1983</v>
      </c>
      <c r="AZ6">
        <v>1985</v>
      </c>
      <c r="BA6">
        <v>1878</v>
      </c>
      <c r="BB6">
        <v>1963</v>
      </c>
      <c r="BC6">
        <v>2010</v>
      </c>
      <c r="BD6">
        <v>1924</v>
      </c>
      <c r="BE6">
        <v>2058</v>
      </c>
      <c r="BF6">
        <v>2014</v>
      </c>
      <c r="BG6">
        <v>1916</v>
      </c>
      <c r="BH6">
        <v>1978</v>
      </c>
      <c r="BI6">
        <v>1914</v>
      </c>
      <c r="BJ6">
        <v>1859</v>
      </c>
      <c r="BK6">
        <v>1800</v>
      </c>
      <c r="BL6">
        <v>1981</v>
      </c>
      <c r="BM6">
        <v>1850</v>
      </c>
      <c r="BN6">
        <v>1949</v>
      </c>
      <c r="BO6">
        <v>1878</v>
      </c>
      <c r="BP6">
        <v>1694</v>
      </c>
      <c r="BQ6">
        <v>1633</v>
      </c>
      <c r="BR6">
        <v>1518</v>
      </c>
      <c r="BS6">
        <v>1508</v>
      </c>
      <c r="BT6">
        <v>1449</v>
      </c>
      <c r="BU6">
        <v>1522</v>
      </c>
      <c r="BV6">
        <v>1446</v>
      </c>
      <c r="BW6">
        <v>1419</v>
      </c>
      <c r="BX6">
        <v>1363</v>
      </c>
      <c r="BY6">
        <v>1252</v>
      </c>
      <c r="BZ6">
        <v>1326</v>
      </c>
      <c r="CA6">
        <v>1271</v>
      </c>
      <c r="CB6">
        <v>1237</v>
      </c>
      <c r="CC6">
        <v>1219</v>
      </c>
      <c r="CD6">
        <v>1266</v>
      </c>
      <c r="CE6">
        <v>1186</v>
      </c>
      <c r="CF6">
        <v>1127</v>
      </c>
      <c r="CG6">
        <v>1137</v>
      </c>
      <c r="CH6">
        <v>1038</v>
      </c>
      <c r="CI6">
        <v>965</v>
      </c>
      <c r="CJ6">
        <v>797</v>
      </c>
      <c r="CK6">
        <v>745</v>
      </c>
      <c r="CL6">
        <v>588</v>
      </c>
      <c r="CM6">
        <v>508</v>
      </c>
      <c r="CN6">
        <v>445</v>
      </c>
      <c r="CO6">
        <v>376</v>
      </c>
      <c r="CP6">
        <v>293</v>
      </c>
      <c r="CQ6">
        <v>227</v>
      </c>
      <c r="CR6">
        <v>212</v>
      </c>
      <c r="CS6">
        <v>121</v>
      </c>
      <c r="CT6">
        <v>102</v>
      </c>
      <c r="CU6">
        <v>76</v>
      </c>
      <c r="CV6">
        <v>53</v>
      </c>
      <c r="CW6">
        <v>35</v>
      </c>
      <c r="CX6">
        <v>59</v>
      </c>
    </row>
    <row r="7" spans="1:102" x14ac:dyDescent="0.25">
      <c r="A7">
        <v>2030</v>
      </c>
      <c r="B7">
        <v>1572</v>
      </c>
      <c r="C7">
        <v>1531</v>
      </c>
      <c r="D7">
        <v>1505</v>
      </c>
      <c r="E7">
        <v>1484</v>
      </c>
      <c r="F7">
        <v>1475</v>
      </c>
      <c r="G7">
        <v>1427</v>
      </c>
      <c r="H7">
        <v>1539</v>
      </c>
      <c r="I7">
        <v>1453</v>
      </c>
      <c r="J7">
        <v>1520</v>
      </c>
      <c r="K7">
        <v>1718</v>
      </c>
      <c r="L7">
        <v>1636</v>
      </c>
      <c r="M7">
        <v>1732</v>
      </c>
      <c r="N7">
        <v>1730</v>
      </c>
      <c r="O7">
        <v>1743</v>
      </c>
      <c r="P7">
        <v>1882</v>
      </c>
      <c r="Q7">
        <v>1908</v>
      </c>
      <c r="R7">
        <v>1909</v>
      </c>
      <c r="S7">
        <v>1938</v>
      </c>
      <c r="T7">
        <v>2073</v>
      </c>
      <c r="U7">
        <v>2302</v>
      </c>
      <c r="V7">
        <v>2966</v>
      </c>
      <c r="W7">
        <v>3579</v>
      </c>
      <c r="X7">
        <v>3633</v>
      </c>
      <c r="Y7">
        <v>3681</v>
      </c>
      <c r="Z7">
        <v>3561</v>
      </c>
      <c r="AA7">
        <v>3330</v>
      </c>
      <c r="AB7">
        <v>3170</v>
      </c>
      <c r="AC7">
        <v>2983</v>
      </c>
      <c r="AD7">
        <v>2698</v>
      </c>
      <c r="AE7">
        <v>2469</v>
      </c>
      <c r="AF7">
        <v>2492</v>
      </c>
      <c r="AG7">
        <v>2338</v>
      </c>
      <c r="AH7">
        <v>2173</v>
      </c>
      <c r="AI7">
        <v>2089</v>
      </c>
      <c r="AJ7">
        <v>2133</v>
      </c>
      <c r="AK7">
        <v>2232</v>
      </c>
      <c r="AL7">
        <v>2295</v>
      </c>
      <c r="AM7">
        <v>2354</v>
      </c>
      <c r="AN7">
        <v>2399</v>
      </c>
      <c r="AO7">
        <v>2482</v>
      </c>
      <c r="AP7">
        <v>2377</v>
      </c>
      <c r="AQ7">
        <v>2271</v>
      </c>
      <c r="AR7">
        <v>2277</v>
      </c>
      <c r="AS7">
        <v>2186</v>
      </c>
      <c r="AT7">
        <v>2124</v>
      </c>
      <c r="AU7">
        <v>2096</v>
      </c>
      <c r="AV7">
        <v>1975</v>
      </c>
      <c r="AW7">
        <v>2028</v>
      </c>
      <c r="AX7">
        <v>1974</v>
      </c>
      <c r="AY7">
        <v>1930</v>
      </c>
      <c r="AZ7">
        <v>1988</v>
      </c>
      <c r="BA7">
        <v>1982</v>
      </c>
      <c r="BB7">
        <v>1878</v>
      </c>
      <c r="BC7">
        <v>1955</v>
      </c>
      <c r="BD7">
        <v>2009</v>
      </c>
      <c r="BE7">
        <v>1920</v>
      </c>
      <c r="BF7">
        <v>2052</v>
      </c>
      <c r="BG7">
        <v>2008</v>
      </c>
      <c r="BH7">
        <v>1905</v>
      </c>
      <c r="BI7">
        <v>1971</v>
      </c>
      <c r="BJ7">
        <v>1904</v>
      </c>
      <c r="BK7">
        <v>1848</v>
      </c>
      <c r="BL7">
        <v>1791</v>
      </c>
      <c r="BM7">
        <v>1965</v>
      </c>
      <c r="BN7">
        <v>1838</v>
      </c>
      <c r="BO7">
        <v>1936</v>
      </c>
      <c r="BP7">
        <v>1861</v>
      </c>
      <c r="BQ7">
        <v>1685</v>
      </c>
      <c r="BR7">
        <v>1617</v>
      </c>
      <c r="BS7">
        <v>1506</v>
      </c>
      <c r="BT7">
        <v>1498</v>
      </c>
      <c r="BU7">
        <v>1443</v>
      </c>
      <c r="BV7">
        <v>1505</v>
      </c>
      <c r="BW7">
        <v>1431</v>
      </c>
      <c r="BX7">
        <v>1407</v>
      </c>
      <c r="BY7">
        <v>1345</v>
      </c>
      <c r="BZ7">
        <v>1241</v>
      </c>
      <c r="CA7">
        <v>1301</v>
      </c>
      <c r="CB7">
        <v>1247</v>
      </c>
      <c r="CC7">
        <v>1213</v>
      </c>
      <c r="CD7">
        <v>1186</v>
      </c>
      <c r="CE7">
        <v>1223</v>
      </c>
      <c r="CF7">
        <v>1145</v>
      </c>
      <c r="CG7">
        <v>1078</v>
      </c>
      <c r="CH7">
        <v>1080</v>
      </c>
      <c r="CI7">
        <v>978</v>
      </c>
      <c r="CJ7">
        <v>900</v>
      </c>
      <c r="CK7">
        <v>732</v>
      </c>
      <c r="CL7">
        <v>677</v>
      </c>
      <c r="CM7">
        <v>526</v>
      </c>
      <c r="CN7">
        <v>448</v>
      </c>
      <c r="CO7">
        <v>388</v>
      </c>
      <c r="CP7">
        <v>320</v>
      </c>
      <c r="CQ7">
        <v>243</v>
      </c>
      <c r="CR7">
        <v>184</v>
      </c>
      <c r="CS7">
        <v>167</v>
      </c>
      <c r="CT7">
        <v>93</v>
      </c>
      <c r="CU7">
        <v>76</v>
      </c>
      <c r="CV7">
        <v>55</v>
      </c>
      <c r="CW7">
        <v>38</v>
      </c>
      <c r="CX7">
        <v>61</v>
      </c>
    </row>
    <row r="8" spans="1:102" x14ac:dyDescent="0.25">
      <c r="A8">
        <v>2031</v>
      </c>
      <c r="B8">
        <v>1614</v>
      </c>
      <c r="C8">
        <v>1567</v>
      </c>
      <c r="D8">
        <v>1522</v>
      </c>
      <c r="E8">
        <v>1497</v>
      </c>
      <c r="F8">
        <v>1486</v>
      </c>
      <c r="G8">
        <v>1466</v>
      </c>
      <c r="H8">
        <v>1408</v>
      </c>
      <c r="I8">
        <v>1530</v>
      </c>
      <c r="J8">
        <v>1441</v>
      </c>
      <c r="K8">
        <v>1509</v>
      </c>
      <c r="L8">
        <v>1709</v>
      </c>
      <c r="M8">
        <v>1630</v>
      </c>
      <c r="N8">
        <v>1735</v>
      </c>
      <c r="O8">
        <v>1735</v>
      </c>
      <c r="P8">
        <v>1744</v>
      </c>
      <c r="Q8">
        <v>1893</v>
      </c>
      <c r="R8">
        <v>1918</v>
      </c>
      <c r="S8">
        <v>1924</v>
      </c>
      <c r="T8">
        <v>1968</v>
      </c>
      <c r="U8">
        <v>2406</v>
      </c>
      <c r="V8">
        <v>2910</v>
      </c>
      <c r="W8">
        <v>3564</v>
      </c>
      <c r="X8">
        <v>3777</v>
      </c>
      <c r="Y8">
        <v>3692</v>
      </c>
      <c r="Z8">
        <v>3614</v>
      </c>
      <c r="AA8">
        <v>3369</v>
      </c>
      <c r="AB8">
        <v>3183</v>
      </c>
      <c r="AC8">
        <v>3052</v>
      </c>
      <c r="AD8">
        <v>2938</v>
      </c>
      <c r="AE8">
        <v>2639</v>
      </c>
      <c r="AF8">
        <v>2425</v>
      </c>
      <c r="AG8">
        <v>2429</v>
      </c>
      <c r="AH8">
        <v>2313</v>
      </c>
      <c r="AI8">
        <v>2151</v>
      </c>
      <c r="AJ8">
        <v>2064</v>
      </c>
      <c r="AK8">
        <v>2129</v>
      </c>
      <c r="AL8">
        <v>2214</v>
      </c>
      <c r="AM8">
        <v>2283</v>
      </c>
      <c r="AN8">
        <v>2344</v>
      </c>
      <c r="AO8">
        <v>2397</v>
      </c>
      <c r="AP8">
        <v>2469</v>
      </c>
      <c r="AQ8">
        <v>2375</v>
      </c>
      <c r="AR8">
        <v>2268</v>
      </c>
      <c r="AS8">
        <v>2271</v>
      </c>
      <c r="AT8">
        <v>2180</v>
      </c>
      <c r="AU8">
        <v>2126</v>
      </c>
      <c r="AV8">
        <v>2094</v>
      </c>
      <c r="AW8">
        <v>1973</v>
      </c>
      <c r="AX8">
        <v>2028</v>
      </c>
      <c r="AY8">
        <v>1980</v>
      </c>
      <c r="AZ8">
        <v>1935</v>
      </c>
      <c r="BA8">
        <v>1986</v>
      </c>
      <c r="BB8">
        <v>1983</v>
      </c>
      <c r="BC8">
        <v>1871</v>
      </c>
      <c r="BD8">
        <v>1955</v>
      </c>
      <c r="BE8">
        <v>2005</v>
      </c>
      <c r="BF8">
        <v>1914</v>
      </c>
      <c r="BG8">
        <v>2046</v>
      </c>
      <c r="BH8">
        <v>1997</v>
      </c>
      <c r="BI8">
        <v>1898</v>
      </c>
      <c r="BJ8">
        <v>1962</v>
      </c>
      <c r="BK8">
        <v>1893</v>
      </c>
      <c r="BL8">
        <v>1840</v>
      </c>
      <c r="BM8">
        <v>1776</v>
      </c>
      <c r="BN8">
        <v>1952</v>
      </c>
      <c r="BO8">
        <v>1826</v>
      </c>
      <c r="BP8">
        <v>1919</v>
      </c>
      <c r="BQ8">
        <v>1853</v>
      </c>
      <c r="BR8">
        <v>1670</v>
      </c>
      <c r="BS8">
        <v>1605</v>
      </c>
      <c r="BT8">
        <v>1497</v>
      </c>
      <c r="BU8">
        <v>1492</v>
      </c>
      <c r="BV8">
        <v>1428</v>
      </c>
      <c r="BW8">
        <v>1490</v>
      </c>
      <c r="BX8">
        <v>1420</v>
      </c>
      <c r="BY8">
        <v>1389</v>
      </c>
      <c r="BZ8">
        <v>1332</v>
      </c>
      <c r="CA8">
        <v>1218</v>
      </c>
      <c r="CB8">
        <v>1277</v>
      </c>
      <c r="CC8">
        <v>1223</v>
      </c>
      <c r="CD8">
        <v>1180</v>
      </c>
      <c r="CE8">
        <v>1145</v>
      </c>
      <c r="CF8">
        <v>1180</v>
      </c>
      <c r="CG8">
        <v>1096</v>
      </c>
      <c r="CH8">
        <v>1025</v>
      </c>
      <c r="CI8">
        <v>1018</v>
      </c>
      <c r="CJ8">
        <v>913</v>
      </c>
      <c r="CK8">
        <v>828</v>
      </c>
      <c r="CL8">
        <v>666</v>
      </c>
      <c r="CM8">
        <v>607</v>
      </c>
      <c r="CN8">
        <v>466</v>
      </c>
      <c r="CO8">
        <v>390</v>
      </c>
      <c r="CP8">
        <v>330</v>
      </c>
      <c r="CQ8">
        <v>267</v>
      </c>
      <c r="CR8">
        <v>197</v>
      </c>
      <c r="CS8">
        <v>145</v>
      </c>
      <c r="CT8">
        <v>128</v>
      </c>
      <c r="CU8">
        <v>69</v>
      </c>
      <c r="CV8">
        <v>55</v>
      </c>
      <c r="CW8">
        <v>39</v>
      </c>
      <c r="CX8">
        <v>64</v>
      </c>
    </row>
    <row r="9" spans="1:102" x14ac:dyDescent="0.25">
      <c r="A9">
        <v>2032</v>
      </c>
      <c r="B9">
        <v>1689</v>
      </c>
      <c r="C9">
        <v>1609</v>
      </c>
      <c r="D9">
        <v>1558</v>
      </c>
      <c r="E9">
        <v>1513</v>
      </c>
      <c r="F9">
        <v>1499</v>
      </c>
      <c r="G9">
        <v>1477</v>
      </c>
      <c r="H9">
        <v>1447</v>
      </c>
      <c r="I9">
        <v>1400</v>
      </c>
      <c r="J9">
        <v>1519</v>
      </c>
      <c r="K9">
        <v>1430</v>
      </c>
      <c r="L9">
        <v>1501</v>
      </c>
      <c r="M9">
        <v>1703</v>
      </c>
      <c r="N9">
        <v>1634</v>
      </c>
      <c r="O9">
        <v>1741</v>
      </c>
      <c r="P9">
        <v>1736</v>
      </c>
      <c r="Q9">
        <v>1755</v>
      </c>
      <c r="R9">
        <v>1904</v>
      </c>
      <c r="S9">
        <v>1934</v>
      </c>
      <c r="T9">
        <v>1955</v>
      </c>
      <c r="U9">
        <v>2300</v>
      </c>
      <c r="V9">
        <v>3016</v>
      </c>
      <c r="W9">
        <v>3511</v>
      </c>
      <c r="X9">
        <v>3762</v>
      </c>
      <c r="Y9">
        <v>3835</v>
      </c>
      <c r="Z9">
        <v>3625</v>
      </c>
      <c r="AA9">
        <v>3422</v>
      </c>
      <c r="AB9">
        <v>3222</v>
      </c>
      <c r="AC9">
        <v>3065</v>
      </c>
      <c r="AD9">
        <v>3007</v>
      </c>
      <c r="AE9">
        <v>2879</v>
      </c>
      <c r="AF9">
        <v>2595</v>
      </c>
      <c r="AG9">
        <v>2363</v>
      </c>
      <c r="AH9">
        <v>2405</v>
      </c>
      <c r="AI9">
        <v>2292</v>
      </c>
      <c r="AJ9">
        <v>2126</v>
      </c>
      <c r="AK9">
        <v>2060</v>
      </c>
      <c r="AL9">
        <v>2112</v>
      </c>
      <c r="AM9">
        <v>2202</v>
      </c>
      <c r="AN9">
        <v>2274</v>
      </c>
      <c r="AO9">
        <v>2343</v>
      </c>
      <c r="AP9">
        <v>2384</v>
      </c>
      <c r="AQ9">
        <v>2467</v>
      </c>
      <c r="AR9">
        <v>2372</v>
      </c>
      <c r="AS9">
        <v>2263</v>
      </c>
      <c r="AT9">
        <v>2265</v>
      </c>
      <c r="AU9">
        <v>2182</v>
      </c>
      <c r="AV9">
        <v>2124</v>
      </c>
      <c r="AW9">
        <v>2093</v>
      </c>
      <c r="AX9">
        <v>1973</v>
      </c>
      <c r="AY9">
        <v>2034</v>
      </c>
      <c r="AZ9">
        <v>1986</v>
      </c>
      <c r="BA9">
        <v>1933</v>
      </c>
      <c r="BB9">
        <v>1987</v>
      </c>
      <c r="BC9">
        <v>1976</v>
      </c>
      <c r="BD9">
        <v>1870</v>
      </c>
      <c r="BE9">
        <v>1951</v>
      </c>
      <c r="BF9">
        <v>1999</v>
      </c>
      <c r="BG9">
        <v>1908</v>
      </c>
      <c r="BH9">
        <v>2035</v>
      </c>
      <c r="BI9">
        <v>1990</v>
      </c>
      <c r="BJ9">
        <v>1889</v>
      </c>
      <c r="BK9">
        <v>1951</v>
      </c>
      <c r="BL9">
        <v>1885</v>
      </c>
      <c r="BM9">
        <v>1824</v>
      </c>
      <c r="BN9">
        <v>1765</v>
      </c>
      <c r="BO9">
        <v>1939</v>
      </c>
      <c r="BP9">
        <v>1811</v>
      </c>
      <c r="BQ9">
        <v>1911</v>
      </c>
      <c r="BR9">
        <v>1837</v>
      </c>
      <c r="BS9">
        <v>1658</v>
      </c>
      <c r="BT9">
        <v>1595</v>
      </c>
      <c r="BU9">
        <v>1491</v>
      </c>
      <c r="BV9">
        <v>1476</v>
      </c>
      <c r="BW9">
        <v>1413</v>
      </c>
      <c r="BX9">
        <v>1478</v>
      </c>
      <c r="BY9">
        <v>1403</v>
      </c>
      <c r="BZ9">
        <v>1377</v>
      </c>
      <c r="CA9">
        <v>1309</v>
      </c>
      <c r="CB9">
        <v>1195</v>
      </c>
      <c r="CC9">
        <v>1253</v>
      </c>
      <c r="CD9">
        <v>1192</v>
      </c>
      <c r="CE9">
        <v>1142</v>
      </c>
      <c r="CF9">
        <v>1106</v>
      </c>
      <c r="CG9">
        <v>1130</v>
      </c>
      <c r="CH9">
        <v>1043</v>
      </c>
      <c r="CI9">
        <v>967</v>
      </c>
      <c r="CJ9">
        <v>952</v>
      </c>
      <c r="CK9">
        <v>840</v>
      </c>
      <c r="CL9">
        <v>754</v>
      </c>
      <c r="CM9">
        <v>598</v>
      </c>
      <c r="CN9">
        <v>537</v>
      </c>
      <c r="CO9">
        <v>406</v>
      </c>
      <c r="CP9">
        <v>332</v>
      </c>
      <c r="CQ9">
        <v>275</v>
      </c>
      <c r="CR9">
        <v>217</v>
      </c>
      <c r="CS9">
        <v>155</v>
      </c>
      <c r="CT9">
        <v>111</v>
      </c>
      <c r="CU9">
        <v>95</v>
      </c>
      <c r="CV9">
        <v>50</v>
      </c>
      <c r="CW9">
        <v>39</v>
      </c>
      <c r="CX9">
        <v>66</v>
      </c>
    </row>
    <row r="10" spans="1:102" x14ac:dyDescent="0.25">
      <c r="A10">
        <v>2033</v>
      </c>
      <c r="B10">
        <v>1760</v>
      </c>
      <c r="C10">
        <v>1685</v>
      </c>
      <c r="D10">
        <v>1600</v>
      </c>
      <c r="E10">
        <v>1550</v>
      </c>
      <c r="F10">
        <v>1516</v>
      </c>
      <c r="G10">
        <v>1491</v>
      </c>
      <c r="H10">
        <v>1459</v>
      </c>
      <c r="I10">
        <v>1439</v>
      </c>
      <c r="J10">
        <v>1389</v>
      </c>
      <c r="K10">
        <v>1508</v>
      </c>
      <c r="L10">
        <v>1422</v>
      </c>
      <c r="M10">
        <v>1495</v>
      </c>
      <c r="N10">
        <v>1708</v>
      </c>
      <c r="O10">
        <v>1640</v>
      </c>
      <c r="P10">
        <v>1742</v>
      </c>
      <c r="Q10">
        <v>1747</v>
      </c>
      <c r="R10">
        <v>1766</v>
      </c>
      <c r="S10">
        <v>1920</v>
      </c>
      <c r="T10">
        <v>1964</v>
      </c>
      <c r="U10">
        <v>2288</v>
      </c>
      <c r="V10">
        <v>2913</v>
      </c>
      <c r="W10">
        <v>3618</v>
      </c>
      <c r="X10">
        <v>3709</v>
      </c>
      <c r="Y10">
        <v>3820</v>
      </c>
      <c r="Z10">
        <v>3766</v>
      </c>
      <c r="AA10">
        <v>3433</v>
      </c>
      <c r="AB10">
        <v>3275</v>
      </c>
      <c r="AC10">
        <v>3105</v>
      </c>
      <c r="AD10">
        <v>3021</v>
      </c>
      <c r="AE10">
        <v>2949</v>
      </c>
      <c r="AF10">
        <v>2836</v>
      </c>
      <c r="AG10">
        <v>2534</v>
      </c>
      <c r="AH10">
        <v>2340</v>
      </c>
      <c r="AI10">
        <v>2386</v>
      </c>
      <c r="AJ10">
        <v>2267</v>
      </c>
      <c r="AK10">
        <v>2122</v>
      </c>
      <c r="AL10">
        <v>2043</v>
      </c>
      <c r="AM10">
        <v>2100</v>
      </c>
      <c r="AN10">
        <v>2194</v>
      </c>
      <c r="AO10">
        <v>2274</v>
      </c>
      <c r="AP10">
        <v>2331</v>
      </c>
      <c r="AQ10">
        <v>2382</v>
      </c>
      <c r="AR10">
        <v>2464</v>
      </c>
      <c r="AS10">
        <v>2368</v>
      </c>
      <c r="AT10">
        <v>2258</v>
      </c>
      <c r="AU10">
        <v>2267</v>
      </c>
      <c r="AV10">
        <v>2181</v>
      </c>
      <c r="AW10">
        <v>2124</v>
      </c>
      <c r="AX10">
        <v>2093</v>
      </c>
      <c r="AY10">
        <v>1979</v>
      </c>
      <c r="AZ10">
        <v>2042</v>
      </c>
      <c r="BA10">
        <v>1984</v>
      </c>
      <c r="BB10">
        <v>1935</v>
      </c>
      <c r="BC10">
        <v>1979</v>
      </c>
      <c r="BD10">
        <v>1975</v>
      </c>
      <c r="BE10">
        <v>1867</v>
      </c>
      <c r="BF10">
        <v>1945</v>
      </c>
      <c r="BG10">
        <v>1993</v>
      </c>
      <c r="BH10">
        <v>1898</v>
      </c>
      <c r="BI10">
        <v>2028</v>
      </c>
      <c r="BJ10">
        <v>1981</v>
      </c>
      <c r="BK10">
        <v>1879</v>
      </c>
      <c r="BL10">
        <v>1943</v>
      </c>
      <c r="BM10">
        <v>1870</v>
      </c>
      <c r="BN10">
        <v>1813</v>
      </c>
      <c r="BO10">
        <v>1753</v>
      </c>
      <c r="BP10">
        <v>1925</v>
      </c>
      <c r="BQ10">
        <v>1804</v>
      </c>
      <c r="BR10">
        <v>1895</v>
      </c>
      <c r="BS10">
        <v>1824</v>
      </c>
      <c r="BT10">
        <v>1648</v>
      </c>
      <c r="BU10">
        <v>1589</v>
      </c>
      <c r="BV10">
        <v>1475</v>
      </c>
      <c r="BW10">
        <v>1461</v>
      </c>
      <c r="BX10">
        <v>1403</v>
      </c>
      <c r="BY10">
        <v>1461</v>
      </c>
      <c r="BZ10">
        <v>1391</v>
      </c>
      <c r="CA10">
        <v>1353</v>
      </c>
      <c r="CB10">
        <v>1285</v>
      </c>
      <c r="CC10">
        <v>1174</v>
      </c>
      <c r="CD10">
        <v>1221</v>
      </c>
      <c r="CE10">
        <v>1153</v>
      </c>
      <c r="CF10">
        <v>1103</v>
      </c>
      <c r="CG10">
        <v>1060</v>
      </c>
      <c r="CH10">
        <v>1076</v>
      </c>
      <c r="CI10">
        <v>985</v>
      </c>
      <c r="CJ10">
        <v>905</v>
      </c>
      <c r="CK10">
        <v>877</v>
      </c>
      <c r="CL10">
        <v>766</v>
      </c>
      <c r="CM10">
        <v>677</v>
      </c>
      <c r="CN10">
        <v>530</v>
      </c>
      <c r="CO10">
        <v>468</v>
      </c>
      <c r="CP10">
        <v>347</v>
      </c>
      <c r="CQ10">
        <v>276</v>
      </c>
      <c r="CR10">
        <v>224</v>
      </c>
      <c r="CS10">
        <v>171</v>
      </c>
      <c r="CT10">
        <v>119</v>
      </c>
      <c r="CU10">
        <v>82</v>
      </c>
      <c r="CV10">
        <v>69</v>
      </c>
      <c r="CW10">
        <v>35</v>
      </c>
      <c r="CX10">
        <v>68</v>
      </c>
    </row>
    <row r="11" spans="1:102" x14ac:dyDescent="0.25">
      <c r="A11">
        <v>2034</v>
      </c>
      <c r="B11">
        <v>1828</v>
      </c>
      <c r="C11">
        <v>1757</v>
      </c>
      <c r="D11">
        <v>1677</v>
      </c>
      <c r="E11">
        <v>1592</v>
      </c>
      <c r="F11">
        <v>1552</v>
      </c>
      <c r="G11">
        <v>1507</v>
      </c>
      <c r="H11">
        <v>1472</v>
      </c>
      <c r="I11">
        <v>1451</v>
      </c>
      <c r="J11">
        <v>1428</v>
      </c>
      <c r="K11">
        <v>1377</v>
      </c>
      <c r="L11">
        <v>1500</v>
      </c>
      <c r="M11">
        <v>1416</v>
      </c>
      <c r="N11">
        <v>1499</v>
      </c>
      <c r="O11">
        <v>1714</v>
      </c>
      <c r="P11">
        <v>1641</v>
      </c>
      <c r="Q11">
        <v>1753</v>
      </c>
      <c r="R11">
        <v>1758</v>
      </c>
      <c r="S11">
        <v>1782</v>
      </c>
      <c r="T11">
        <v>1950</v>
      </c>
      <c r="U11">
        <v>2297</v>
      </c>
      <c r="V11">
        <v>2900</v>
      </c>
      <c r="W11">
        <v>3514</v>
      </c>
      <c r="X11">
        <v>3815</v>
      </c>
      <c r="Y11">
        <v>3766</v>
      </c>
      <c r="Z11">
        <v>3750</v>
      </c>
      <c r="AA11">
        <v>3574</v>
      </c>
      <c r="AB11">
        <v>3285</v>
      </c>
      <c r="AC11">
        <v>3158</v>
      </c>
      <c r="AD11">
        <v>3061</v>
      </c>
      <c r="AE11">
        <v>2963</v>
      </c>
      <c r="AF11">
        <v>2906</v>
      </c>
      <c r="AG11">
        <v>2774</v>
      </c>
      <c r="AH11">
        <v>2510</v>
      </c>
      <c r="AI11">
        <v>2320</v>
      </c>
      <c r="AJ11">
        <v>2361</v>
      </c>
      <c r="AK11">
        <v>2263</v>
      </c>
      <c r="AL11">
        <v>2106</v>
      </c>
      <c r="AM11">
        <v>2031</v>
      </c>
      <c r="AN11">
        <v>2091</v>
      </c>
      <c r="AO11">
        <v>2193</v>
      </c>
      <c r="AP11">
        <v>2261</v>
      </c>
      <c r="AQ11">
        <v>2329</v>
      </c>
      <c r="AR11">
        <v>2379</v>
      </c>
      <c r="AS11">
        <v>2459</v>
      </c>
      <c r="AT11">
        <v>2363</v>
      </c>
      <c r="AU11">
        <v>2261</v>
      </c>
      <c r="AV11">
        <v>2266</v>
      </c>
      <c r="AW11">
        <v>2180</v>
      </c>
      <c r="AX11">
        <v>2123</v>
      </c>
      <c r="AY11">
        <v>2100</v>
      </c>
      <c r="AZ11">
        <v>1987</v>
      </c>
      <c r="BA11">
        <v>2040</v>
      </c>
      <c r="BB11">
        <v>1985</v>
      </c>
      <c r="BC11">
        <v>1928</v>
      </c>
      <c r="BD11">
        <v>1979</v>
      </c>
      <c r="BE11">
        <v>1971</v>
      </c>
      <c r="BF11">
        <v>1861</v>
      </c>
      <c r="BG11">
        <v>1940</v>
      </c>
      <c r="BH11">
        <v>1983</v>
      </c>
      <c r="BI11">
        <v>1892</v>
      </c>
      <c r="BJ11">
        <v>2020</v>
      </c>
      <c r="BK11">
        <v>1971</v>
      </c>
      <c r="BL11">
        <v>1871</v>
      </c>
      <c r="BM11">
        <v>1929</v>
      </c>
      <c r="BN11">
        <v>1859</v>
      </c>
      <c r="BO11">
        <v>1801</v>
      </c>
      <c r="BP11">
        <v>1740</v>
      </c>
      <c r="BQ11">
        <v>1917</v>
      </c>
      <c r="BR11">
        <v>1789</v>
      </c>
      <c r="BS11">
        <v>1882</v>
      </c>
      <c r="BT11">
        <v>1813</v>
      </c>
      <c r="BU11">
        <v>1641</v>
      </c>
      <c r="BV11">
        <v>1573</v>
      </c>
      <c r="BW11">
        <v>1461</v>
      </c>
      <c r="BX11">
        <v>1451</v>
      </c>
      <c r="BY11">
        <v>1387</v>
      </c>
      <c r="BZ11">
        <v>1449</v>
      </c>
      <c r="CA11">
        <v>1368</v>
      </c>
      <c r="CB11">
        <v>1329</v>
      </c>
      <c r="CC11">
        <v>1262</v>
      </c>
      <c r="CD11">
        <v>1145</v>
      </c>
      <c r="CE11">
        <v>1183</v>
      </c>
      <c r="CF11">
        <v>1115</v>
      </c>
      <c r="CG11">
        <v>1058</v>
      </c>
      <c r="CH11">
        <v>1010</v>
      </c>
      <c r="CI11">
        <v>1017</v>
      </c>
      <c r="CJ11">
        <v>923</v>
      </c>
      <c r="CK11">
        <v>834</v>
      </c>
      <c r="CL11">
        <v>800</v>
      </c>
      <c r="CM11">
        <v>688</v>
      </c>
      <c r="CN11">
        <v>601</v>
      </c>
      <c r="CO11">
        <v>463</v>
      </c>
      <c r="CP11">
        <v>399</v>
      </c>
      <c r="CQ11">
        <v>290</v>
      </c>
      <c r="CR11">
        <v>224</v>
      </c>
      <c r="CS11">
        <v>177</v>
      </c>
      <c r="CT11">
        <v>132</v>
      </c>
      <c r="CU11">
        <v>88</v>
      </c>
      <c r="CV11">
        <v>60</v>
      </c>
      <c r="CW11">
        <v>49</v>
      </c>
      <c r="CX11">
        <v>67</v>
      </c>
    </row>
    <row r="12" spans="1:102" x14ac:dyDescent="0.25">
      <c r="A12">
        <v>2035</v>
      </c>
      <c r="B12">
        <v>1882</v>
      </c>
      <c r="C12">
        <v>1825</v>
      </c>
      <c r="D12">
        <v>1748</v>
      </c>
      <c r="E12">
        <v>1668</v>
      </c>
      <c r="F12">
        <v>1594</v>
      </c>
      <c r="G12">
        <v>1544</v>
      </c>
      <c r="H12">
        <v>1489</v>
      </c>
      <c r="I12">
        <v>1464</v>
      </c>
      <c r="J12">
        <v>1440</v>
      </c>
      <c r="K12">
        <v>1417</v>
      </c>
      <c r="L12">
        <v>1369</v>
      </c>
      <c r="M12">
        <v>1494</v>
      </c>
      <c r="N12">
        <v>1420</v>
      </c>
      <c r="O12">
        <v>1506</v>
      </c>
      <c r="P12">
        <v>1715</v>
      </c>
      <c r="Q12">
        <v>1653</v>
      </c>
      <c r="R12">
        <v>1764</v>
      </c>
      <c r="S12">
        <v>1774</v>
      </c>
      <c r="T12">
        <v>1813</v>
      </c>
      <c r="U12">
        <v>2284</v>
      </c>
      <c r="V12">
        <v>2911</v>
      </c>
      <c r="W12">
        <v>3503</v>
      </c>
      <c r="X12">
        <v>3712</v>
      </c>
      <c r="Y12">
        <v>3872</v>
      </c>
      <c r="Z12">
        <v>3697</v>
      </c>
      <c r="AA12">
        <v>3558</v>
      </c>
      <c r="AB12">
        <v>3426</v>
      </c>
      <c r="AC12">
        <v>3168</v>
      </c>
      <c r="AD12">
        <v>3114</v>
      </c>
      <c r="AE12">
        <v>3004</v>
      </c>
      <c r="AF12">
        <v>2920</v>
      </c>
      <c r="AG12">
        <v>2844</v>
      </c>
      <c r="AH12">
        <v>2751</v>
      </c>
      <c r="AI12">
        <v>2490</v>
      </c>
      <c r="AJ12">
        <v>2295</v>
      </c>
      <c r="AK12">
        <v>2357</v>
      </c>
      <c r="AL12">
        <v>2246</v>
      </c>
      <c r="AM12">
        <v>2094</v>
      </c>
      <c r="AN12">
        <v>2023</v>
      </c>
      <c r="AO12">
        <v>2091</v>
      </c>
      <c r="AP12">
        <v>2181</v>
      </c>
      <c r="AQ12">
        <v>2259</v>
      </c>
      <c r="AR12">
        <v>2326</v>
      </c>
      <c r="AS12">
        <v>2375</v>
      </c>
      <c r="AT12">
        <v>2454</v>
      </c>
      <c r="AU12">
        <v>2366</v>
      </c>
      <c r="AV12">
        <v>2260</v>
      </c>
      <c r="AW12">
        <v>2266</v>
      </c>
      <c r="AX12">
        <v>2180</v>
      </c>
      <c r="AY12">
        <v>2130</v>
      </c>
      <c r="AZ12">
        <v>2108</v>
      </c>
      <c r="BA12">
        <v>1985</v>
      </c>
      <c r="BB12">
        <v>2041</v>
      </c>
      <c r="BC12">
        <v>1979</v>
      </c>
      <c r="BD12">
        <v>1928</v>
      </c>
      <c r="BE12">
        <v>1975</v>
      </c>
      <c r="BF12">
        <v>1966</v>
      </c>
      <c r="BG12">
        <v>1856</v>
      </c>
      <c r="BH12">
        <v>1930</v>
      </c>
      <c r="BI12">
        <v>1977</v>
      </c>
      <c r="BJ12">
        <v>1885</v>
      </c>
      <c r="BK12">
        <v>2010</v>
      </c>
      <c r="BL12">
        <v>1963</v>
      </c>
      <c r="BM12">
        <v>1858</v>
      </c>
      <c r="BN12">
        <v>1917</v>
      </c>
      <c r="BO12">
        <v>1847</v>
      </c>
      <c r="BP12">
        <v>1788</v>
      </c>
      <c r="BQ12">
        <v>1734</v>
      </c>
      <c r="BR12">
        <v>1901</v>
      </c>
      <c r="BS12">
        <v>1777</v>
      </c>
      <c r="BT12">
        <v>1870</v>
      </c>
      <c r="BU12">
        <v>1805</v>
      </c>
      <c r="BV12">
        <v>1625</v>
      </c>
      <c r="BW12">
        <v>1558</v>
      </c>
      <c r="BX12">
        <v>1451</v>
      </c>
      <c r="BY12">
        <v>1435</v>
      </c>
      <c r="BZ12">
        <v>1377</v>
      </c>
      <c r="CA12">
        <v>1425</v>
      </c>
      <c r="CB12">
        <v>1344</v>
      </c>
      <c r="CC12">
        <v>1305</v>
      </c>
      <c r="CD12">
        <v>1231</v>
      </c>
      <c r="CE12">
        <v>1109</v>
      </c>
      <c r="CF12">
        <v>1144</v>
      </c>
      <c r="CG12">
        <v>1070</v>
      </c>
      <c r="CH12">
        <v>1009</v>
      </c>
      <c r="CI12">
        <v>955</v>
      </c>
      <c r="CJ12">
        <v>954</v>
      </c>
      <c r="CK12">
        <v>852</v>
      </c>
      <c r="CL12">
        <v>763</v>
      </c>
      <c r="CM12">
        <v>720</v>
      </c>
      <c r="CN12">
        <v>612</v>
      </c>
      <c r="CO12">
        <v>526</v>
      </c>
      <c r="CP12">
        <v>396</v>
      </c>
      <c r="CQ12">
        <v>334</v>
      </c>
      <c r="CR12">
        <v>236</v>
      </c>
      <c r="CS12">
        <v>178</v>
      </c>
      <c r="CT12">
        <v>136</v>
      </c>
      <c r="CU12">
        <v>98</v>
      </c>
      <c r="CV12">
        <v>64</v>
      </c>
      <c r="CW12">
        <v>43</v>
      </c>
      <c r="CX12">
        <v>75</v>
      </c>
    </row>
    <row r="13" spans="1:102" x14ac:dyDescent="0.25">
      <c r="A13">
        <v>2036</v>
      </c>
      <c r="B13">
        <v>1943</v>
      </c>
      <c r="C13">
        <v>1878</v>
      </c>
      <c r="D13">
        <v>1816</v>
      </c>
      <c r="E13">
        <v>1740</v>
      </c>
      <c r="F13">
        <v>1671</v>
      </c>
      <c r="G13">
        <v>1586</v>
      </c>
      <c r="H13">
        <v>1526</v>
      </c>
      <c r="I13">
        <v>1481</v>
      </c>
      <c r="J13">
        <v>1453</v>
      </c>
      <c r="K13">
        <v>1429</v>
      </c>
      <c r="L13">
        <v>1409</v>
      </c>
      <c r="M13">
        <v>1364</v>
      </c>
      <c r="N13">
        <v>1498</v>
      </c>
      <c r="O13">
        <v>1427</v>
      </c>
      <c r="P13">
        <v>1507</v>
      </c>
      <c r="Q13">
        <v>1727</v>
      </c>
      <c r="R13">
        <v>1664</v>
      </c>
      <c r="S13">
        <v>1780</v>
      </c>
      <c r="T13">
        <v>1805</v>
      </c>
      <c r="U13">
        <v>2146</v>
      </c>
      <c r="V13">
        <v>2898</v>
      </c>
      <c r="W13">
        <v>3514</v>
      </c>
      <c r="X13">
        <v>3701</v>
      </c>
      <c r="Y13">
        <v>3769</v>
      </c>
      <c r="Z13">
        <v>3803</v>
      </c>
      <c r="AA13">
        <v>3504</v>
      </c>
      <c r="AB13">
        <v>3410</v>
      </c>
      <c r="AC13">
        <v>3309</v>
      </c>
      <c r="AD13">
        <v>3124</v>
      </c>
      <c r="AE13">
        <v>3056</v>
      </c>
      <c r="AF13">
        <v>2960</v>
      </c>
      <c r="AG13">
        <v>2858</v>
      </c>
      <c r="AH13">
        <v>2821</v>
      </c>
      <c r="AI13">
        <v>2731</v>
      </c>
      <c r="AJ13">
        <v>2466</v>
      </c>
      <c r="AK13">
        <v>2292</v>
      </c>
      <c r="AL13">
        <v>2340</v>
      </c>
      <c r="AM13">
        <v>2235</v>
      </c>
      <c r="AN13">
        <v>2085</v>
      </c>
      <c r="AO13">
        <v>2022</v>
      </c>
      <c r="AP13">
        <v>2079</v>
      </c>
      <c r="AQ13">
        <v>2179</v>
      </c>
      <c r="AR13">
        <v>2257</v>
      </c>
      <c r="AS13">
        <v>2321</v>
      </c>
      <c r="AT13">
        <v>2370</v>
      </c>
      <c r="AU13">
        <v>2458</v>
      </c>
      <c r="AV13">
        <v>2365</v>
      </c>
      <c r="AW13">
        <v>2260</v>
      </c>
      <c r="AX13">
        <v>2265</v>
      </c>
      <c r="AY13">
        <v>2187</v>
      </c>
      <c r="AZ13">
        <v>2138</v>
      </c>
      <c r="BA13">
        <v>2106</v>
      </c>
      <c r="BB13">
        <v>1986</v>
      </c>
      <c r="BC13">
        <v>2035</v>
      </c>
      <c r="BD13">
        <v>1978</v>
      </c>
      <c r="BE13">
        <v>1925</v>
      </c>
      <c r="BF13">
        <v>1970</v>
      </c>
      <c r="BG13">
        <v>1961</v>
      </c>
      <c r="BH13">
        <v>1846</v>
      </c>
      <c r="BI13">
        <v>1924</v>
      </c>
      <c r="BJ13">
        <v>1969</v>
      </c>
      <c r="BK13">
        <v>1875</v>
      </c>
      <c r="BL13">
        <v>2002</v>
      </c>
      <c r="BM13">
        <v>1949</v>
      </c>
      <c r="BN13">
        <v>1846</v>
      </c>
      <c r="BO13">
        <v>1905</v>
      </c>
      <c r="BP13">
        <v>1834</v>
      </c>
      <c r="BQ13">
        <v>1782</v>
      </c>
      <c r="BR13">
        <v>1719</v>
      </c>
      <c r="BS13">
        <v>1888</v>
      </c>
      <c r="BT13">
        <v>1767</v>
      </c>
      <c r="BU13">
        <v>1862</v>
      </c>
      <c r="BV13">
        <v>1787</v>
      </c>
      <c r="BW13">
        <v>1609</v>
      </c>
      <c r="BX13">
        <v>1548</v>
      </c>
      <c r="BY13">
        <v>1435</v>
      </c>
      <c r="BZ13">
        <v>1424</v>
      </c>
      <c r="CA13">
        <v>1354</v>
      </c>
      <c r="CB13">
        <v>1400</v>
      </c>
      <c r="CC13">
        <v>1321</v>
      </c>
      <c r="CD13">
        <v>1273</v>
      </c>
      <c r="CE13">
        <v>1193</v>
      </c>
      <c r="CF13">
        <v>1074</v>
      </c>
      <c r="CG13">
        <v>1099</v>
      </c>
      <c r="CH13">
        <v>1021</v>
      </c>
      <c r="CI13">
        <v>955</v>
      </c>
      <c r="CJ13">
        <v>896</v>
      </c>
      <c r="CK13">
        <v>881</v>
      </c>
      <c r="CL13">
        <v>780</v>
      </c>
      <c r="CM13">
        <v>687</v>
      </c>
      <c r="CN13">
        <v>641</v>
      </c>
      <c r="CO13">
        <v>535</v>
      </c>
      <c r="CP13">
        <v>450</v>
      </c>
      <c r="CQ13">
        <v>331</v>
      </c>
      <c r="CR13">
        <v>272</v>
      </c>
      <c r="CS13">
        <v>187</v>
      </c>
      <c r="CT13">
        <v>136</v>
      </c>
      <c r="CU13">
        <v>102</v>
      </c>
      <c r="CV13">
        <v>72</v>
      </c>
      <c r="CW13">
        <v>45</v>
      </c>
      <c r="CX13">
        <v>76</v>
      </c>
    </row>
    <row r="14" spans="1:102" x14ac:dyDescent="0.25">
      <c r="A14">
        <v>2037</v>
      </c>
      <c r="B14">
        <v>1996</v>
      </c>
      <c r="C14">
        <v>1940</v>
      </c>
      <c r="D14">
        <v>1870</v>
      </c>
      <c r="E14">
        <v>1808</v>
      </c>
      <c r="F14">
        <v>1742</v>
      </c>
      <c r="G14">
        <v>1662</v>
      </c>
      <c r="H14">
        <v>1568</v>
      </c>
      <c r="I14">
        <v>1518</v>
      </c>
      <c r="J14">
        <v>1470</v>
      </c>
      <c r="K14">
        <v>1442</v>
      </c>
      <c r="L14">
        <v>1421</v>
      </c>
      <c r="M14">
        <v>1403</v>
      </c>
      <c r="N14">
        <v>1368</v>
      </c>
      <c r="O14">
        <v>1505</v>
      </c>
      <c r="P14">
        <v>1428</v>
      </c>
      <c r="Q14">
        <v>1518</v>
      </c>
      <c r="R14">
        <v>1738</v>
      </c>
      <c r="S14">
        <v>1679</v>
      </c>
      <c r="T14">
        <v>1811</v>
      </c>
      <c r="U14">
        <v>2139</v>
      </c>
      <c r="V14">
        <v>2761</v>
      </c>
      <c r="W14">
        <v>3502</v>
      </c>
      <c r="X14">
        <v>3712</v>
      </c>
      <c r="Y14">
        <v>3759</v>
      </c>
      <c r="Z14">
        <v>3700</v>
      </c>
      <c r="AA14">
        <v>3612</v>
      </c>
      <c r="AB14">
        <v>3357</v>
      </c>
      <c r="AC14">
        <v>3294</v>
      </c>
      <c r="AD14">
        <v>3266</v>
      </c>
      <c r="AE14">
        <v>3066</v>
      </c>
      <c r="AF14">
        <v>3013</v>
      </c>
      <c r="AG14">
        <v>2899</v>
      </c>
      <c r="AH14">
        <v>2835</v>
      </c>
      <c r="AI14">
        <v>2801</v>
      </c>
      <c r="AJ14">
        <v>2706</v>
      </c>
      <c r="AK14">
        <v>2462</v>
      </c>
      <c r="AL14">
        <v>2275</v>
      </c>
      <c r="AM14">
        <v>2328</v>
      </c>
      <c r="AN14">
        <v>2226</v>
      </c>
      <c r="AO14">
        <v>2085</v>
      </c>
      <c r="AP14">
        <v>2010</v>
      </c>
      <c r="AQ14">
        <v>2077</v>
      </c>
      <c r="AR14">
        <v>2177</v>
      </c>
      <c r="AS14">
        <v>2252</v>
      </c>
      <c r="AT14">
        <v>2317</v>
      </c>
      <c r="AU14">
        <v>2374</v>
      </c>
      <c r="AV14">
        <v>2457</v>
      </c>
      <c r="AW14">
        <v>2364</v>
      </c>
      <c r="AX14">
        <v>2260</v>
      </c>
      <c r="AY14">
        <v>2272</v>
      </c>
      <c r="AZ14">
        <v>2195</v>
      </c>
      <c r="BA14">
        <v>2136</v>
      </c>
      <c r="BB14">
        <v>2107</v>
      </c>
      <c r="BC14">
        <v>1980</v>
      </c>
      <c r="BD14">
        <v>2034</v>
      </c>
      <c r="BE14">
        <v>1975</v>
      </c>
      <c r="BF14">
        <v>1920</v>
      </c>
      <c r="BG14">
        <v>1965</v>
      </c>
      <c r="BH14">
        <v>1951</v>
      </c>
      <c r="BI14">
        <v>1841</v>
      </c>
      <c r="BJ14">
        <v>1916</v>
      </c>
      <c r="BK14">
        <v>1959</v>
      </c>
      <c r="BL14">
        <v>1868</v>
      </c>
      <c r="BM14">
        <v>1988</v>
      </c>
      <c r="BN14">
        <v>1938</v>
      </c>
      <c r="BO14">
        <v>1835</v>
      </c>
      <c r="BP14">
        <v>1892</v>
      </c>
      <c r="BQ14">
        <v>1827</v>
      </c>
      <c r="BR14">
        <v>1767</v>
      </c>
      <c r="BS14">
        <v>1708</v>
      </c>
      <c r="BT14">
        <v>1878</v>
      </c>
      <c r="BU14">
        <v>1760</v>
      </c>
      <c r="BV14">
        <v>1844</v>
      </c>
      <c r="BW14">
        <v>1771</v>
      </c>
      <c r="BX14">
        <v>1598</v>
      </c>
      <c r="BY14">
        <v>1531</v>
      </c>
      <c r="BZ14">
        <v>1425</v>
      </c>
      <c r="CA14">
        <v>1401</v>
      </c>
      <c r="CB14">
        <v>1332</v>
      </c>
      <c r="CC14">
        <v>1376</v>
      </c>
      <c r="CD14">
        <v>1289</v>
      </c>
      <c r="CE14">
        <v>1235</v>
      </c>
      <c r="CF14">
        <v>1155</v>
      </c>
      <c r="CG14">
        <v>1031</v>
      </c>
      <c r="CH14">
        <v>1049</v>
      </c>
      <c r="CI14">
        <v>968</v>
      </c>
      <c r="CJ14">
        <v>897</v>
      </c>
      <c r="CK14">
        <v>828</v>
      </c>
      <c r="CL14">
        <v>807</v>
      </c>
      <c r="CM14">
        <v>703</v>
      </c>
      <c r="CN14">
        <v>612</v>
      </c>
      <c r="CO14">
        <v>561</v>
      </c>
      <c r="CP14">
        <v>458</v>
      </c>
      <c r="CQ14">
        <v>377</v>
      </c>
      <c r="CR14">
        <v>270</v>
      </c>
      <c r="CS14">
        <v>216</v>
      </c>
      <c r="CT14">
        <v>144</v>
      </c>
      <c r="CU14">
        <v>101</v>
      </c>
      <c r="CV14">
        <v>74</v>
      </c>
      <c r="CW14">
        <v>51</v>
      </c>
      <c r="CX14">
        <v>78</v>
      </c>
    </row>
    <row r="15" spans="1:102" x14ac:dyDescent="0.25">
      <c r="A15">
        <v>2038</v>
      </c>
      <c r="B15">
        <v>2051</v>
      </c>
      <c r="C15">
        <v>1993</v>
      </c>
      <c r="D15">
        <v>1931</v>
      </c>
      <c r="E15">
        <v>1862</v>
      </c>
      <c r="F15">
        <v>1811</v>
      </c>
      <c r="G15">
        <v>1734</v>
      </c>
      <c r="H15">
        <v>1644</v>
      </c>
      <c r="I15">
        <v>1560</v>
      </c>
      <c r="J15">
        <v>1506</v>
      </c>
      <c r="K15">
        <v>1459</v>
      </c>
      <c r="L15">
        <v>1434</v>
      </c>
      <c r="M15">
        <v>1415</v>
      </c>
      <c r="N15">
        <v>1408</v>
      </c>
      <c r="O15">
        <v>1375</v>
      </c>
      <c r="P15">
        <v>1506</v>
      </c>
      <c r="Q15">
        <v>1440</v>
      </c>
      <c r="R15">
        <v>1529</v>
      </c>
      <c r="S15">
        <v>1753</v>
      </c>
      <c r="T15">
        <v>1710</v>
      </c>
      <c r="U15">
        <v>2145</v>
      </c>
      <c r="V15">
        <v>2755</v>
      </c>
      <c r="W15">
        <v>3366</v>
      </c>
      <c r="X15">
        <v>3701</v>
      </c>
      <c r="Y15">
        <v>3771</v>
      </c>
      <c r="Z15">
        <v>3690</v>
      </c>
      <c r="AA15">
        <v>3509</v>
      </c>
      <c r="AB15">
        <v>3464</v>
      </c>
      <c r="AC15">
        <v>3240</v>
      </c>
      <c r="AD15">
        <v>3250</v>
      </c>
      <c r="AE15">
        <v>3208</v>
      </c>
      <c r="AF15">
        <v>3024</v>
      </c>
      <c r="AG15">
        <v>2952</v>
      </c>
      <c r="AH15">
        <v>2876</v>
      </c>
      <c r="AI15">
        <v>2816</v>
      </c>
      <c r="AJ15">
        <v>2777</v>
      </c>
      <c r="AK15">
        <v>2703</v>
      </c>
      <c r="AL15">
        <v>2446</v>
      </c>
      <c r="AM15">
        <v>2263</v>
      </c>
      <c r="AN15">
        <v>2320</v>
      </c>
      <c r="AO15">
        <v>2226</v>
      </c>
      <c r="AP15">
        <v>2073</v>
      </c>
      <c r="AQ15">
        <v>2009</v>
      </c>
      <c r="AR15">
        <v>2075</v>
      </c>
      <c r="AS15">
        <v>2172</v>
      </c>
      <c r="AT15">
        <v>2247</v>
      </c>
      <c r="AU15">
        <v>2320</v>
      </c>
      <c r="AV15">
        <v>2373</v>
      </c>
      <c r="AW15">
        <v>2456</v>
      </c>
      <c r="AX15">
        <v>2364</v>
      </c>
      <c r="AY15">
        <v>2266</v>
      </c>
      <c r="AZ15">
        <v>2280</v>
      </c>
      <c r="BA15">
        <v>2193</v>
      </c>
      <c r="BB15">
        <v>2138</v>
      </c>
      <c r="BC15">
        <v>2101</v>
      </c>
      <c r="BD15">
        <v>1980</v>
      </c>
      <c r="BE15">
        <v>2031</v>
      </c>
      <c r="BF15">
        <v>1970</v>
      </c>
      <c r="BG15">
        <v>1915</v>
      </c>
      <c r="BH15">
        <v>1955</v>
      </c>
      <c r="BI15">
        <v>1945</v>
      </c>
      <c r="BJ15">
        <v>1834</v>
      </c>
      <c r="BK15">
        <v>1907</v>
      </c>
      <c r="BL15">
        <v>1952</v>
      </c>
      <c r="BM15">
        <v>1854</v>
      </c>
      <c r="BN15">
        <v>1977</v>
      </c>
      <c r="BO15">
        <v>1926</v>
      </c>
      <c r="BP15">
        <v>1822</v>
      </c>
      <c r="BQ15">
        <v>1885</v>
      </c>
      <c r="BR15">
        <v>1813</v>
      </c>
      <c r="BS15">
        <v>1756</v>
      </c>
      <c r="BT15">
        <v>1699</v>
      </c>
      <c r="BU15">
        <v>1870</v>
      </c>
      <c r="BV15">
        <v>1744</v>
      </c>
      <c r="BW15">
        <v>1828</v>
      </c>
      <c r="BX15">
        <v>1758</v>
      </c>
      <c r="BY15">
        <v>1581</v>
      </c>
      <c r="BZ15">
        <v>1519</v>
      </c>
      <c r="CA15">
        <v>1402</v>
      </c>
      <c r="CB15">
        <v>1378</v>
      </c>
      <c r="CC15">
        <v>1310</v>
      </c>
      <c r="CD15">
        <v>1344</v>
      </c>
      <c r="CE15">
        <v>1251</v>
      </c>
      <c r="CF15">
        <v>1197</v>
      </c>
      <c r="CG15">
        <v>1110</v>
      </c>
      <c r="CH15">
        <v>985</v>
      </c>
      <c r="CI15">
        <v>995</v>
      </c>
      <c r="CJ15">
        <v>909</v>
      </c>
      <c r="CK15">
        <v>829</v>
      </c>
      <c r="CL15">
        <v>759</v>
      </c>
      <c r="CM15">
        <v>728</v>
      </c>
      <c r="CN15">
        <v>627</v>
      </c>
      <c r="CO15">
        <v>537</v>
      </c>
      <c r="CP15">
        <v>481</v>
      </c>
      <c r="CQ15">
        <v>384</v>
      </c>
      <c r="CR15">
        <v>308</v>
      </c>
      <c r="CS15">
        <v>215</v>
      </c>
      <c r="CT15">
        <v>166</v>
      </c>
      <c r="CU15">
        <v>108</v>
      </c>
      <c r="CV15">
        <v>74</v>
      </c>
      <c r="CW15">
        <v>53</v>
      </c>
      <c r="CX15">
        <v>84</v>
      </c>
    </row>
    <row r="16" spans="1:102" x14ac:dyDescent="0.25">
      <c r="A16">
        <v>2039</v>
      </c>
      <c r="B16">
        <v>2093</v>
      </c>
      <c r="C16">
        <v>2048</v>
      </c>
      <c r="D16">
        <v>1984</v>
      </c>
      <c r="E16">
        <v>1923</v>
      </c>
      <c r="F16">
        <v>1864</v>
      </c>
      <c r="G16">
        <v>1802</v>
      </c>
      <c r="H16">
        <v>1716</v>
      </c>
      <c r="I16">
        <v>1636</v>
      </c>
      <c r="J16">
        <v>1549</v>
      </c>
      <c r="K16">
        <v>1495</v>
      </c>
      <c r="L16">
        <v>1451</v>
      </c>
      <c r="M16">
        <v>1428</v>
      </c>
      <c r="N16">
        <v>1419</v>
      </c>
      <c r="O16">
        <v>1414</v>
      </c>
      <c r="P16">
        <v>1376</v>
      </c>
      <c r="Q16">
        <v>1518</v>
      </c>
      <c r="R16">
        <v>1451</v>
      </c>
      <c r="S16">
        <v>1545</v>
      </c>
      <c r="T16">
        <v>1784</v>
      </c>
      <c r="U16">
        <v>2045</v>
      </c>
      <c r="V16">
        <v>2762</v>
      </c>
      <c r="W16">
        <v>3360</v>
      </c>
      <c r="X16">
        <v>3565</v>
      </c>
      <c r="Y16">
        <v>3759</v>
      </c>
      <c r="Z16">
        <v>3703</v>
      </c>
      <c r="AA16">
        <v>3499</v>
      </c>
      <c r="AB16">
        <v>3362</v>
      </c>
      <c r="AC16">
        <v>3348</v>
      </c>
      <c r="AD16">
        <v>3197</v>
      </c>
      <c r="AE16">
        <v>3193</v>
      </c>
      <c r="AF16">
        <v>3165</v>
      </c>
      <c r="AG16">
        <v>2962</v>
      </c>
      <c r="AH16">
        <v>2929</v>
      </c>
      <c r="AI16">
        <v>2856</v>
      </c>
      <c r="AJ16">
        <v>2791</v>
      </c>
      <c r="AK16">
        <v>2773</v>
      </c>
      <c r="AL16">
        <v>2686</v>
      </c>
      <c r="AM16">
        <v>2434</v>
      </c>
      <c r="AN16">
        <v>2255</v>
      </c>
      <c r="AO16">
        <v>2320</v>
      </c>
      <c r="AP16">
        <v>2214</v>
      </c>
      <c r="AQ16">
        <v>2072</v>
      </c>
      <c r="AR16">
        <v>2006</v>
      </c>
      <c r="AS16">
        <v>2070</v>
      </c>
      <c r="AT16">
        <v>2168</v>
      </c>
      <c r="AU16">
        <v>2251</v>
      </c>
      <c r="AV16">
        <v>2319</v>
      </c>
      <c r="AW16">
        <v>2372</v>
      </c>
      <c r="AX16">
        <v>2456</v>
      </c>
      <c r="AY16">
        <v>2371</v>
      </c>
      <c r="AZ16">
        <v>2274</v>
      </c>
      <c r="BA16">
        <v>2278</v>
      </c>
      <c r="BB16">
        <v>2194</v>
      </c>
      <c r="BC16">
        <v>2131</v>
      </c>
      <c r="BD16">
        <v>2100</v>
      </c>
      <c r="BE16">
        <v>1977</v>
      </c>
      <c r="BF16">
        <v>2026</v>
      </c>
      <c r="BG16">
        <v>1965</v>
      </c>
      <c r="BH16">
        <v>1905</v>
      </c>
      <c r="BI16">
        <v>1950</v>
      </c>
      <c r="BJ16">
        <v>1938</v>
      </c>
      <c r="BK16">
        <v>1825</v>
      </c>
      <c r="BL16">
        <v>1900</v>
      </c>
      <c r="BM16">
        <v>1938</v>
      </c>
      <c r="BN16">
        <v>1844</v>
      </c>
      <c r="BO16">
        <v>1965</v>
      </c>
      <c r="BP16">
        <v>1913</v>
      </c>
      <c r="BQ16">
        <v>1816</v>
      </c>
      <c r="BR16">
        <v>1871</v>
      </c>
      <c r="BS16">
        <v>1801</v>
      </c>
      <c r="BT16">
        <v>1747</v>
      </c>
      <c r="BU16">
        <v>1693</v>
      </c>
      <c r="BV16">
        <v>1853</v>
      </c>
      <c r="BW16">
        <v>1729</v>
      </c>
      <c r="BX16">
        <v>1815</v>
      </c>
      <c r="BY16">
        <v>1740</v>
      </c>
      <c r="BZ16">
        <v>1569</v>
      </c>
      <c r="CA16">
        <v>1496</v>
      </c>
      <c r="CB16">
        <v>1380</v>
      </c>
      <c r="CC16">
        <v>1355</v>
      </c>
      <c r="CD16">
        <v>1280</v>
      </c>
      <c r="CE16">
        <v>1305</v>
      </c>
      <c r="CF16">
        <v>1213</v>
      </c>
      <c r="CG16">
        <v>1151</v>
      </c>
      <c r="CH16">
        <v>1061</v>
      </c>
      <c r="CI16">
        <v>935</v>
      </c>
      <c r="CJ16">
        <v>936</v>
      </c>
      <c r="CK16">
        <v>842</v>
      </c>
      <c r="CL16">
        <v>761</v>
      </c>
      <c r="CM16">
        <v>686</v>
      </c>
      <c r="CN16">
        <v>650</v>
      </c>
      <c r="CO16">
        <v>551</v>
      </c>
      <c r="CP16">
        <v>461</v>
      </c>
      <c r="CQ16">
        <v>403</v>
      </c>
      <c r="CR16">
        <v>314</v>
      </c>
      <c r="CS16">
        <v>245</v>
      </c>
      <c r="CT16">
        <v>166</v>
      </c>
      <c r="CU16">
        <v>124</v>
      </c>
      <c r="CV16">
        <v>79</v>
      </c>
      <c r="CW16">
        <v>52</v>
      </c>
      <c r="CX16">
        <v>89</v>
      </c>
    </row>
    <row r="17" spans="1:102" x14ac:dyDescent="0.25">
      <c r="A17">
        <v>2040</v>
      </c>
      <c r="B17">
        <v>2135</v>
      </c>
      <c r="C17">
        <v>2089</v>
      </c>
      <c r="D17">
        <v>2040</v>
      </c>
      <c r="E17">
        <v>1976</v>
      </c>
      <c r="F17">
        <v>1926</v>
      </c>
      <c r="G17">
        <v>1856</v>
      </c>
      <c r="H17">
        <v>1784</v>
      </c>
      <c r="I17">
        <v>1708</v>
      </c>
      <c r="J17">
        <v>1625</v>
      </c>
      <c r="K17">
        <v>1537</v>
      </c>
      <c r="L17">
        <v>1487</v>
      </c>
      <c r="M17">
        <v>1445</v>
      </c>
      <c r="N17">
        <v>1433</v>
      </c>
      <c r="O17">
        <v>1426</v>
      </c>
      <c r="P17">
        <v>1416</v>
      </c>
      <c r="Q17">
        <v>1387</v>
      </c>
      <c r="R17">
        <v>1528</v>
      </c>
      <c r="S17">
        <v>1466</v>
      </c>
      <c r="T17">
        <v>1576</v>
      </c>
      <c r="U17">
        <v>2119</v>
      </c>
      <c r="V17">
        <v>2661</v>
      </c>
      <c r="W17">
        <v>3366</v>
      </c>
      <c r="X17">
        <v>3559</v>
      </c>
      <c r="Y17">
        <v>3624</v>
      </c>
      <c r="Z17">
        <v>3691</v>
      </c>
      <c r="AA17">
        <v>3511</v>
      </c>
      <c r="AB17">
        <v>3351</v>
      </c>
      <c r="AC17">
        <v>3245</v>
      </c>
      <c r="AD17">
        <v>3304</v>
      </c>
      <c r="AE17">
        <v>3139</v>
      </c>
      <c r="AF17">
        <v>3150</v>
      </c>
      <c r="AG17">
        <v>3104</v>
      </c>
      <c r="AH17">
        <v>2939</v>
      </c>
      <c r="AI17">
        <v>2909</v>
      </c>
      <c r="AJ17">
        <v>2832</v>
      </c>
      <c r="AK17">
        <v>2787</v>
      </c>
      <c r="AL17">
        <v>2756</v>
      </c>
      <c r="AM17">
        <v>2674</v>
      </c>
      <c r="AN17">
        <v>2425</v>
      </c>
      <c r="AO17">
        <v>2255</v>
      </c>
      <c r="AP17">
        <v>2307</v>
      </c>
      <c r="AQ17">
        <v>2212</v>
      </c>
      <c r="AR17">
        <v>2069</v>
      </c>
      <c r="AS17">
        <v>2002</v>
      </c>
      <c r="AT17">
        <v>2066</v>
      </c>
      <c r="AU17">
        <v>2171</v>
      </c>
      <c r="AV17">
        <v>2250</v>
      </c>
      <c r="AW17">
        <v>2319</v>
      </c>
      <c r="AX17">
        <v>2372</v>
      </c>
      <c r="AY17">
        <v>2463</v>
      </c>
      <c r="AZ17">
        <v>2379</v>
      </c>
      <c r="BA17">
        <v>2273</v>
      </c>
      <c r="BB17">
        <v>2279</v>
      </c>
      <c r="BC17">
        <v>2188</v>
      </c>
      <c r="BD17">
        <v>2131</v>
      </c>
      <c r="BE17">
        <v>2097</v>
      </c>
      <c r="BF17">
        <v>1972</v>
      </c>
      <c r="BG17">
        <v>2021</v>
      </c>
      <c r="BH17">
        <v>1955</v>
      </c>
      <c r="BI17">
        <v>1900</v>
      </c>
      <c r="BJ17">
        <v>1942</v>
      </c>
      <c r="BK17">
        <v>1929</v>
      </c>
      <c r="BL17">
        <v>1818</v>
      </c>
      <c r="BM17">
        <v>1887</v>
      </c>
      <c r="BN17">
        <v>1928</v>
      </c>
      <c r="BO17">
        <v>1833</v>
      </c>
      <c r="BP17">
        <v>1952</v>
      </c>
      <c r="BQ17">
        <v>1907</v>
      </c>
      <c r="BR17">
        <v>1802</v>
      </c>
      <c r="BS17">
        <v>1859</v>
      </c>
      <c r="BT17">
        <v>1792</v>
      </c>
      <c r="BU17">
        <v>1741</v>
      </c>
      <c r="BV17">
        <v>1678</v>
      </c>
      <c r="BW17">
        <v>1836</v>
      </c>
      <c r="BX17">
        <v>1718</v>
      </c>
      <c r="BY17">
        <v>1796</v>
      </c>
      <c r="BZ17">
        <v>1726</v>
      </c>
      <c r="CA17">
        <v>1545</v>
      </c>
      <c r="CB17">
        <v>1473</v>
      </c>
      <c r="CC17">
        <v>1358</v>
      </c>
      <c r="CD17">
        <v>1324</v>
      </c>
      <c r="CE17">
        <v>1243</v>
      </c>
      <c r="CF17">
        <v>1266</v>
      </c>
      <c r="CG17">
        <v>1168</v>
      </c>
      <c r="CH17">
        <v>1101</v>
      </c>
      <c r="CI17">
        <v>1008</v>
      </c>
      <c r="CJ17">
        <v>880</v>
      </c>
      <c r="CK17">
        <v>867</v>
      </c>
      <c r="CL17">
        <v>773</v>
      </c>
      <c r="CM17">
        <v>688</v>
      </c>
      <c r="CN17">
        <v>612</v>
      </c>
      <c r="CO17">
        <v>571</v>
      </c>
      <c r="CP17">
        <v>473</v>
      </c>
      <c r="CQ17">
        <v>387</v>
      </c>
      <c r="CR17">
        <v>331</v>
      </c>
      <c r="CS17">
        <v>250</v>
      </c>
      <c r="CT17">
        <v>190</v>
      </c>
      <c r="CU17">
        <v>124</v>
      </c>
      <c r="CV17">
        <v>91</v>
      </c>
      <c r="CW17">
        <v>56</v>
      </c>
      <c r="CX17">
        <v>91</v>
      </c>
    </row>
    <row r="18" spans="1:102" x14ac:dyDescent="0.25">
      <c r="A18">
        <v>2041</v>
      </c>
      <c r="B18">
        <v>2159</v>
      </c>
      <c r="C18">
        <v>2131</v>
      </c>
      <c r="D18">
        <v>2081</v>
      </c>
      <c r="E18">
        <v>2031</v>
      </c>
      <c r="F18">
        <v>1979</v>
      </c>
      <c r="G18">
        <v>1917</v>
      </c>
      <c r="H18">
        <v>1838</v>
      </c>
      <c r="I18">
        <v>1776</v>
      </c>
      <c r="J18">
        <v>1697</v>
      </c>
      <c r="K18">
        <v>1614</v>
      </c>
      <c r="L18">
        <v>1530</v>
      </c>
      <c r="M18">
        <v>1482</v>
      </c>
      <c r="N18">
        <v>1449</v>
      </c>
      <c r="O18">
        <v>1439</v>
      </c>
      <c r="P18">
        <v>1427</v>
      </c>
      <c r="Q18">
        <v>1427</v>
      </c>
      <c r="R18">
        <v>1398</v>
      </c>
      <c r="S18">
        <v>1544</v>
      </c>
      <c r="T18">
        <v>1498</v>
      </c>
      <c r="U18">
        <v>1911</v>
      </c>
      <c r="V18">
        <v>2736</v>
      </c>
      <c r="W18">
        <v>3267</v>
      </c>
      <c r="X18">
        <v>3566</v>
      </c>
      <c r="Y18">
        <v>3617</v>
      </c>
      <c r="Z18">
        <v>3555</v>
      </c>
      <c r="AA18">
        <v>3499</v>
      </c>
      <c r="AB18">
        <v>3364</v>
      </c>
      <c r="AC18">
        <v>3235</v>
      </c>
      <c r="AD18">
        <v>3202</v>
      </c>
      <c r="AE18">
        <v>3247</v>
      </c>
      <c r="AF18">
        <v>3096</v>
      </c>
      <c r="AG18">
        <v>3088</v>
      </c>
      <c r="AH18">
        <v>3080</v>
      </c>
      <c r="AI18">
        <v>2919</v>
      </c>
      <c r="AJ18">
        <v>2884</v>
      </c>
      <c r="AK18">
        <v>2828</v>
      </c>
      <c r="AL18">
        <v>2771</v>
      </c>
      <c r="AM18">
        <v>2745</v>
      </c>
      <c r="AN18">
        <v>2666</v>
      </c>
      <c r="AO18">
        <v>2425</v>
      </c>
      <c r="AP18">
        <v>2242</v>
      </c>
      <c r="AQ18">
        <v>2306</v>
      </c>
      <c r="AR18">
        <v>2210</v>
      </c>
      <c r="AS18">
        <v>2065</v>
      </c>
      <c r="AT18">
        <v>1998</v>
      </c>
      <c r="AU18">
        <v>2070</v>
      </c>
      <c r="AV18">
        <v>2171</v>
      </c>
      <c r="AW18">
        <v>2250</v>
      </c>
      <c r="AX18">
        <v>2319</v>
      </c>
      <c r="AY18">
        <v>2379</v>
      </c>
      <c r="AZ18">
        <v>2471</v>
      </c>
      <c r="BA18">
        <v>2377</v>
      </c>
      <c r="BB18">
        <v>2274</v>
      </c>
      <c r="BC18">
        <v>2273</v>
      </c>
      <c r="BD18">
        <v>2188</v>
      </c>
      <c r="BE18">
        <v>2128</v>
      </c>
      <c r="BF18">
        <v>2092</v>
      </c>
      <c r="BG18">
        <v>1967</v>
      </c>
      <c r="BH18">
        <v>2011</v>
      </c>
      <c r="BI18">
        <v>1950</v>
      </c>
      <c r="BJ18">
        <v>1893</v>
      </c>
      <c r="BK18">
        <v>1933</v>
      </c>
      <c r="BL18">
        <v>1922</v>
      </c>
      <c r="BM18">
        <v>1805</v>
      </c>
      <c r="BN18">
        <v>1876</v>
      </c>
      <c r="BO18">
        <v>1917</v>
      </c>
      <c r="BP18">
        <v>1821</v>
      </c>
      <c r="BQ18">
        <v>1946</v>
      </c>
      <c r="BR18">
        <v>1892</v>
      </c>
      <c r="BS18">
        <v>1791</v>
      </c>
      <c r="BT18">
        <v>1850</v>
      </c>
      <c r="BU18">
        <v>1786</v>
      </c>
      <c r="BV18">
        <v>1726</v>
      </c>
      <c r="BW18">
        <v>1664</v>
      </c>
      <c r="BX18">
        <v>1824</v>
      </c>
      <c r="BY18">
        <v>1700</v>
      </c>
      <c r="BZ18">
        <v>1782</v>
      </c>
      <c r="CA18">
        <v>1700</v>
      </c>
      <c r="CB18">
        <v>1521</v>
      </c>
      <c r="CC18">
        <v>1450</v>
      </c>
      <c r="CD18">
        <v>1328</v>
      </c>
      <c r="CE18">
        <v>1287</v>
      </c>
      <c r="CF18">
        <v>1207</v>
      </c>
      <c r="CG18">
        <v>1219</v>
      </c>
      <c r="CH18">
        <v>1118</v>
      </c>
      <c r="CI18">
        <v>1046</v>
      </c>
      <c r="CJ18">
        <v>949</v>
      </c>
      <c r="CK18">
        <v>816</v>
      </c>
      <c r="CL18">
        <v>797</v>
      </c>
      <c r="CM18">
        <v>700</v>
      </c>
      <c r="CN18">
        <v>615</v>
      </c>
      <c r="CO18">
        <v>538</v>
      </c>
      <c r="CP18">
        <v>491</v>
      </c>
      <c r="CQ18">
        <v>398</v>
      </c>
      <c r="CR18">
        <v>317</v>
      </c>
      <c r="CS18">
        <v>264</v>
      </c>
      <c r="CT18">
        <v>193</v>
      </c>
      <c r="CU18">
        <v>142</v>
      </c>
      <c r="CV18">
        <v>91</v>
      </c>
      <c r="CW18">
        <v>64</v>
      </c>
      <c r="CX18">
        <v>96</v>
      </c>
    </row>
    <row r="19" spans="1:102" x14ac:dyDescent="0.25">
      <c r="A19">
        <v>2042</v>
      </c>
      <c r="B19">
        <v>2178</v>
      </c>
      <c r="C19">
        <v>2155</v>
      </c>
      <c r="D19">
        <v>2123</v>
      </c>
      <c r="E19">
        <v>2072</v>
      </c>
      <c r="F19">
        <v>2034</v>
      </c>
      <c r="G19">
        <v>1970</v>
      </c>
      <c r="H19">
        <v>1899</v>
      </c>
      <c r="I19">
        <v>1830</v>
      </c>
      <c r="J19">
        <v>1765</v>
      </c>
      <c r="K19">
        <v>1686</v>
      </c>
      <c r="L19">
        <v>1606</v>
      </c>
      <c r="M19">
        <v>1524</v>
      </c>
      <c r="N19">
        <v>1486</v>
      </c>
      <c r="O19">
        <v>1456</v>
      </c>
      <c r="P19">
        <v>1441</v>
      </c>
      <c r="Q19">
        <v>1439</v>
      </c>
      <c r="R19">
        <v>1438</v>
      </c>
      <c r="S19">
        <v>1414</v>
      </c>
      <c r="T19">
        <v>1575</v>
      </c>
      <c r="U19">
        <v>1833</v>
      </c>
      <c r="V19">
        <v>2528</v>
      </c>
      <c r="W19">
        <v>3341</v>
      </c>
      <c r="X19">
        <v>3466</v>
      </c>
      <c r="Y19">
        <v>3624</v>
      </c>
      <c r="Z19">
        <v>3549</v>
      </c>
      <c r="AA19">
        <v>3363</v>
      </c>
      <c r="AB19">
        <v>3352</v>
      </c>
      <c r="AC19">
        <v>3247</v>
      </c>
      <c r="AD19">
        <v>3191</v>
      </c>
      <c r="AE19">
        <v>3144</v>
      </c>
      <c r="AF19">
        <v>3203</v>
      </c>
      <c r="AG19">
        <v>3035</v>
      </c>
      <c r="AH19">
        <v>3065</v>
      </c>
      <c r="AI19">
        <v>3061</v>
      </c>
      <c r="AJ19">
        <v>2895</v>
      </c>
      <c r="AK19">
        <v>2881</v>
      </c>
      <c r="AL19">
        <v>2811</v>
      </c>
      <c r="AM19">
        <v>2759</v>
      </c>
      <c r="AN19">
        <v>2736</v>
      </c>
      <c r="AO19">
        <v>2665</v>
      </c>
      <c r="AP19">
        <v>2413</v>
      </c>
      <c r="AQ19">
        <v>2241</v>
      </c>
      <c r="AR19">
        <v>2303</v>
      </c>
      <c r="AS19">
        <v>2205</v>
      </c>
      <c r="AT19">
        <v>2060</v>
      </c>
      <c r="AU19">
        <v>2002</v>
      </c>
      <c r="AV19">
        <v>2069</v>
      </c>
      <c r="AW19">
        <v>2170</v>
      </c>
      <c r="AX19">
        <v>2250</v>
      </c>
      <c r="AY19">
        <v>2326</v>
      </c>
      <c r="AZ19">
        <v>2387</v>
      </c>
      <c r="BA19">
        <v>2469</v>
      </c>
      <c r="BB19">
        <v>2378</v>
      </c>
      <c r="BC19">
        <v>2268</v>
      </c>
      <c r="BD19">
        <v>2273</v>
      </c>
      <c r="BE19">
        <v>2184</v>
      </c>
      <c r="BF19">
        <v>2123</v>
      </c>
      <c r="BG19">
        <v>2087</v>
      </c>
      <c r="BH19">
        <v>1958</v>
      </c>
      <c r="BI19">
        <v>2006</v>
      </c>
      <c r="BJ19">
        <v>1943</v>
      </c>
      <c r="BK19">
        <v>1884</v>
      </c>
      <c r="BL19">
        <v>1926</v>
      </c>
      <c r="BM19">
        <v>1909</v>
      </c>
      <c r="BN19">
        <v>1795</v>
      </c>
      <c r="BO19">
        <v>1866</v>
      </c>
      <c r="BP19">
        <v>1904</v>
      </c>
      <c r="BQ19">
        <v>1815</v>
      </c>
      <c r="BR19">
        <v>1932</v>
      </c>
      <c r="BS19">
        <v>1881</v>
      </c>
      <c r="BT19">
        <v>1783</v>
      </c>
      <c r="BU19">
        <v>1843</v>
      </c>
      <c r="BV19">
        <v>1771</v>
      </c>
      <c r="BW19">
        <v>1711</v>
      </c>
      <c r="BX19">
        <v>1654</v>
      </c>
      <c r="BY19">
        <v>1806</v>
      </c>
      <c r="BZ19">
        <v>1688</v>
      </c>
      <c r="CA19">
        <v>1755</v>
      </c>
      <c r="CB19">
        <v>1673</v>
      </c>
      <c r="CC19">
        <v>1497</v>
      </c>
      <c r="CD19">
        <v>1418</v>
      </c>
      <c r="CE19">
        <v>1291</v>
      </c>
      <c r="CF19">
        <v>1249</v>
      </c>
      <c r="CG19">
        <v>1163</v>
      </c>
      <c r="CH19">
        <v>1167</v>
      </c>
      <c r="CI19">
        <v>1063</v>
      </c>
      <c r="CJ19">
        <v>985</v>
      </c>
      <c r="CK19">
        <v>880</v>
      </c>
      <c r="CL19">
        <v>750</v>
      </c>
      <c r="CM19">
        <v>723</v>
      </c>
      <c r="CN19">
        <v>626</v>
      </c>
      <c r="CO19">
        <v>541</v>
      </c>
      <c r="CP19">
        <v>463</v>
      </c>
      <c r="CQ19">
        <v>413</v>
      </c>
      <c r="CR19">
        <v>327</v>
      </c>
      <c r="CS19">
        <v>254</v>
      </c>
      <c r="CT19">
        <v>204</v>
      </c>
      <c r="CU19">
        <v>145</v>
      </c>
      <c r="CV19">
        <v>104</v>
      </c>
      <c r="CW19">
        <v>65</v>
      </c>
      <c r="CX19">
        <v>104</v>
      </c>
    </row>
    <row r="20" spans="1:102" x14ac:dyDescent="0.25">
      <c r="A20">
        <v>2043</v>
      </c>
      <c r="B20">
        <v>2197</v>
      </c>
      <c r="C20">
        <v>2175</v>
      </c>
      <c r="D20">
        <v>2147</v>
      </c>
      <c r="E20">
        <v>2114</v>
      </c>
      <c r="F20">
        <v>2075</v>
      </c>
      <c r="G20">
        <v>2025</v>
      </c>
      <c r="H20">
        <v>1952</v>
      </c>
      <c r="I20">
        <v>1891</v>
      </c>
      <c r="J20">
        <v>1818</v>
      </c>
      <c r="K20">
        <v>1754</v>
      </c>
      <c r="L20">
        <v>1678</v>
      </c>
      <c r="M20">
        <v>1600</v>
      </c>
      <c r="N20">
        <v>1528</v>
      </c>
      <c r="O20">
        <v>1493</v>
      </c>
      <c r="P20">
        <v>1457</v>
      </c>
      <c r="Q20">
        <v>1452</v>
      </c>
      <c r="R20">
        <v>1450</v>
      </c>
      <c r="S20">
        <v>1454</v>
      </c>
      <c r="T20">
        <v>1445</v>
      </c>
      <c r="U20">
        <v>1911</v>
      </c>
      <c r="V20">
        <v>2450</v>
      </c>
      <c r="W20">
        <v>3134</v>
      </c>
      <c r="X20">
        <v>3540</v>
      </c>
      <c r="Y20">
        <v>3524</v>
      </c>
      <c r="Z20">
        <v>3555</v>
      </c>
      <c r="AA20">
        <v>3356</v>
      </c>
      <c r="AB20">
        <v>3216</v>
      </c>
      <c r="AC20">
        <v>3234</v>
      </c>
      <c r="AD20">
        <v>3203</v>
      </c>
      <c r="AE20">
        <v>3134</v>
      </c>
      <c r="AF20">
        <v>3101</v>
      </c>
      <c r="AG20">
        <v>3142</v>
      </c>
      <c r="AH20">
        <v>3012</v>
      </c>
      <c r="AI20">
        <v>3045</v>
      </c>
      <c r="AJ20">
        <v>3036</v>
      </c>
      <c r="AK20">
        <v>2891</v>
      </c>
      <c r="AL20">
        <v>2864</v>
      </c>
      <c r="AM20">
        <v>2799</v>
      </c>
      <c r="AN20">
        <v>2750</v>
      </c>
      <c r="AO20">
        <v>2736</v>
      </c>
      <c r="AP20">
        <v>2653</v>
      </c>
      <c r="AQ20">
        <v>2411</v>
      </c>
      <c r="AR20">
        <v>2238</v>
      </c>
      <c r="AS20">
        <v>2299</v>
      </c>
      <c r="AT20">
        <v>2201</v>
      </c>
      <c r="AU20">
        <v>2064</v>
      </c>
      <c r="AV20">
        <v>2001</v>
      </c>
      <c r="AW20">
        <v>2069</v>
      </c>
      <c r="AX20">
        <v>2171</v>
      </c>
      <c r="AY20">
        <v>2257</v>
      </c>
      <c r="AZ20">
        <v>2334</v>
      </c>
      <c r="BA20">
        <v>2385</v>
      </c>
      <c r="BB20">
        <v>2470</v>
      </c>
      <c r="BC20">
        <v>2372</v>
      </c>
      <c r="BD20">
        <v>2267</v>
      </c>
      <c r="BE20">
        <v>2269</v>
      </c>
      <c r="BF20">
        <v>2179</v>
      </c>
      <c r="BG20">
        <v>2118</v>
      </c>
      <c r="BH20">
        <v>2077</v>
      </c>
      <c r="BI20">
        <v>1952</v>
      </c>
      <c r="BJ20">
        <v>1999</v>
      </c>
      <c r="BK20">
        <v>1934</v>
      </c>
      <c r="BL20">
        <v>1877</v>
      </c>
      <c r="BM20">
        <v>1913</v>
      </c>
      <c r="BN20">
        <v>1899</v>
      </c>
      <c r="BO20">
        <v>1785</v>
      </c>
      <c r="BP20">
        <v>1854</v>
      </c>
      <c r="BQ20">
        <v>1899</v>
      </c>
      <c r="BR20">
        <v>1802</v>
      </c>
      <c r="BS20">
        <v>1920</v>
      </c>
      <c r="BT20">
        <v>1872</v>
      </c>
      <c r="BU20">
        <v>1777</v>
      </c>
      <c r="BV20">
        <v>1828</v>
      </c>
      <c r="BW20">
        <v>1757</v>
      </c>
      <c r="BX20">
        <v>1701</v>
      </c>
      <c r="BY20">
        <v>1638</v>
      </c>
      <c r="BZ20">
        <v>1793</v>
      </c>
      <c r="CA20">
        <v>1664</v>
      </c>
      <c r="CB20">
        <v>1728</v>
      </c>
      <c r="CC20">
        <v>1647</v>
      </c>
      <c r="CD20">
        <v>1465</v>
      </c>
      <c r="CE20">
        <v>1380</v>
      </c>
      <c r="CF20">
        <v>1254</v>
      </c>
      <c r="CG20">
        <v>1204</v>
      </c>
      <c r="CH20">
        <v>1114</v>
      </c>
      <c r="CI20">
        <v>1111</v>
      </c>
      <c r="CJ20">
        <v>1002</v>
      </c>
      <c r="CK20">
        <v>915</v>
      </c>
      <c r="CL20">
        <v>810</v>
      </c>
      <c r="CM20">
        <v>680</v>
      </c>
      <c r="CN20">
        <v>648</v>
      </c>
      <c r="CO20">
        <v>552</v>
      </c>
      <c r="CP20">
        <v>466</v>
      </c>
      <c r="CQ20">
        <v>390</v>
      </c>
      <c r="CR20">
        <v>340</v>
      </c>
      <c r="CS20">
        <v>262</v>
      </c>
      <c r="CT20">
        <v>197</v>
      </c>
      <c r="CU20">
        <v>153</v>
      </c>
      <c r="CV20">
        <v>106</v>
      </c>
      <c r="CW20">
        <v>74</v>
      </c>
      <c r="CX20">
        <v>110</v>
      </c>
    </row>
    <row r="21" spans="1:102" x14ac:dyDescent="0.25">
      <c r="A21">
        <v>2044</v>
      </c>
      <c r="B21">
        <v>2201</v>
      </c>
      <c r="C21">
        <v>2193</v>
      </c>
      <c r="D21">
        <v>2166</v>
      </c>
      <c r="E21">
        <v>2138</v>
      </c>
      <c r="F21">
        <v>2117</v>
      </c>
      <c r="G21">
        <v>2067</v>
      </c>
      <c r="H21">
        <v>2007</v>
      </c>
      <c r="I21">
        <v>1944</v>
      </c>
      <c r="J21">
        <v>1880</v>
      </c>
      <c r="K21">
        <v>1807</v>
      </c>
      <c r="L21">
        <v>1746</v>
      </c>
      <c r="M21">
        <v>1672</v>
      </c>
      <c r="N21">
        <v>1605</v>
      </c>
      <c r="O21">
        <v>1535</v>
      </c>
      <c r="P21">
        <v>1494</v>
      </c>
      <c r="Q21">
        <v>1469</v>
      </c>
      <c r="R21">
        <v>1463</v>
      </c>
      <c r="S21">
        <v>1466</v>
      </c>
      <c r="T21">
        <v>1485</v>
      </c>
      <c r="U21">
        <v>1781</v>
      </c>
      <c r="V21">
        <v>2529</v>
      </c>
      <c r="W21">
        <v>3057</v>
      </c>
      <c r="X21">
        <v>3334</v>
      </c>
      <c r="Y21">
        <v>3599</v>
      </c>
      <c r="Z21">
        <v>3456</v>
      </c>
      <c r="AA21">
        <v>3364</v>
      </c>
      <c r="AB21">
        <v>3209</v>
      </c>
      <c r="AC21">
        <v>3099</v>
      </c>
      <c r="AD21">
        <v>3191</v>
      </c>
      <c r="AE21">
        <v>3145</v>
      </c>
      <c r="AF21">
        <v>3090</v>
      </c>
      <c r="AG21">
        <v>3039</v>
      </c>
      <c r="AH21">
        <v>3119</v>
      </c>
      <c r="AI21">
        <v>2992</v>
      </c>
      <c r="AJ21">
        <v>3021</v>
      </c>
      <c r="AK21">
        <v>3032</v>
      </c>
      <c r="AL21">
        <v>2874</v>
      </c>
      <c r="AM21">
        <v>2852</v>
      </c>
      <c r="AN21">
        <v>2791</v>
      </c>
      <c r="AO21">
        <v>2750</v>
      </c>
      <c r="AP21">
        <v>2723</v>
      </c>
      <c r="AQ21">
        <v>2651</v>
      </c>
      <c r="AR21">
        <v>2409</v>
      </c>
      <c r="AS21">
        <v>2234</v>
      </c>
      <c r="AT21">
        <v>2294</v>
      </c>
      <c r="AU21">
        <v>2205</v>
      </c>
      <c r="AV21">
        <v>2064</v>
      </c>
      <c r="AW21">
        <v>2001</v>
      </c>
      <c r="AX21">
        <v>2069</v>
      </c>
      <c r="AY21">
        <v>2178</v>
      </c>
      <c r="AZ21">
        <v>2265</v>
      </c>
      <c r="BA21">
        <v>2332</v>
      </c>
      <c r="BB21">
        <v>2386</v>
      </c>
      <c r="BC21">
        <v>2464</v>
      </c>
      <c r="BD21">
        <v>2372</v>
      </c>
      <c r="BE21">
        <v>2264</v>
      </c>
      <c r="BF21">
        <v>2264</v>
      </c>
      <c r="BG21">
        <v>2174</v>
      </c>
      <c r="BH21">
        <v>2108</v>
      </c>
      <c r="BI21">
        <v>2072</v>
      </c>
      <c r="BJ21">
        <v>1946</v>
      </c>
      <c r="BK21">
        <v>1989</v>
      </c>
      <c r="BL21">
        <v>1927</v>
      </c>
      <c r="BM21">
        <v>1865</v>
      </c>
      <c r="BN21">
        <v>1903</v>
      </c>
      <c r="BO21">
        <v>1888</v>
      </c>
      <c r="BP21">
        <v>1774</v>
      </c>
      <c r="BQ21">
        <v>1849</v>
      </c>
      <c r="BR21">
        <v>1885</v>
      </c>
      <c r="BS21">
        <v>1792</v>
      </c>
      <c r="BT21">
        <v>1911</v>
      </c>
      <c r="BU21">
        <v>1866</v>
      </c>
      <c r="BV21">
        <v>1763</v>
      </c>
      <c r="BW21">
        <v>1813</v>
      </c>
      <c r="BX21">
        <v>1747</v>
      </c>
      <c r="BY21">
        <v>1686</v>
      </c>
      <c r="BZ21">
        <v>1627</v>
      </c>
      <c r="CA21">
        <v>1767</v>
      </c>
      <c r="CB21">
        <v>1640</v>
      </c>
      <c r="CC21">
        <v>1702</v>
      </c>
      <c r="CD21">
        <v>1612</v>
      </c>
      <c r="CE21">
        <v>1425</v>
      </c>
      <c r="CF21">
        <v>1341</v>
      </c>
      <c r="CG21">
        <v>1209</v>
      </c>
      <c r="CH21">
        <v>1154</v>
      </c>
      <c r="CI21">
        <v>1061</v>
      </c>
      <c r="CJ21">
        <v>1048</v>
      </c>
      <c r="CK21">
        <v>932</v>
      </c>
      <c r="CL21">
        <v>843</v>
      </c>
      <c r="CM21">
        <v>735</v>
      </c>
      <c r="CN21">
        <v>610</v>
      </c>
      <c r="CO21">
        <v>571</v>
      </c>
      <c r="CP21">
        <v>476</v>
      </c>
      <c r="CQ21">
        <v>393</v>
      </c>
      <c r="CR21">
        <v>321</v>
      </c>
      <c r="CS21">
        <v>272</v>
      </c>
      <c r="CT21">
        <v>203</v>
      </c>
      <c r="CU21">
        <v>148</v>
      </c>
      <c r="CV21">
        <v>112</v>
      </c>
      <c r="CW21">
        <v>75</v>
      </c>
      <c r="CX21">
        <v>120</v>
      </c>
    </row>
    <row r="22" spans="1:102" x14ac:dyDescent="0.25">
      <c r="A22">
        <v>2045</v>
      </c>
      <c r="B22">
        <v>2203</v>
      </c>
      <c r="C22">
        <v>2197</v>
      </c>
      <c r="D22">
        <v>2185</v>
      </c>
      <c r="E22">
        <v>2158</v>
      </c>
      <c r="F22">
        <v>2141</v>
      </c>
      <c r="G22">
        <v>2109</v>
      </c>
      <c r="H22">
        <v>2048</v>
      </c>
      <c r="I22">
        <v>1999</v>
      </c>
      <c r="J22">
        <v>1933</v>
      </c>
      <c r="K22">
        <v>1869</v>
      </c>
      <c r="L22">
        <v>1799</v>
      </c>
      <c r="M22">
        <v>1740</v>
      </c>
      <c r="N22">
        <v>1676</v>
      </c>
      <c r="O22">
        <v>1611</v>
      </c>
      <c r="P22">
        <v>1536</v>
      </c>
      <c r="Q22">
        <v>1505</v>
      </c>
      <c r="R22">
        <v>1480</v>
      </c>
      <c r="S22">
        <v>1479</v>
      </c>
      <c r="T22">
        <v>1497</v>
      </c>
      <c r="U22">
        <v>1821</v>
      </c>
      <c r="V22">
        <v>2400</v>
      </c>
      <c r="W22">
        <v>3136</v>
      </c>
      <c r="X22">
        <v>3257</v>
      </c>
      <c r="Y22">
        <v>3393</v>
      </c>
      <c r="Z22">
        <v>3531</v>
      </c>
      <c r="AA22">
        <v>3264</v>
      </c>
      <c r="AB22">
        <v>3216</v>
      </c>
      <c r="AC22">
        <v>3092</v>
      </c>
      <c r="AD22">
        <v>3055</v>
      </c>
      <c r="AE22">
        <v>3134</v>
      </c>
      <c r="AF22">
        <v>3102</v>
      </c>
      <c r="AG22">
        <v>3029</v>
      </c>
      <c r="AH22">
        <v>3016</v>
      </c>
      <c r="AI22">
        <v>3099</v>
      </c>
      <c r="AJ22">
        <v>2967</v>
      </c>
      <c r="AK22">
        <v>3017</v>
      </c>
      <c r="AL22">
        <v>3016</v>
      </c>
      <c r="AM22">
        <v>2862</v>
      </c>
      <c r="AN22">
        <v>2843</v>
      </c>
      <c r="AO22">
        <v>2790</v>
      </c>
      <c r="AP22">
        <v>2737</v>
      </c>
      <c r="AQ22">
        <v>2722</v>
      </c>
      <c r="AR22">
        <v>2649</v>
      </c>
      <c r="AS22">
        <v>2404</v>
      </c>
      <c r="AT22">
        <v>2230</v>
      </c>
      <c r="AU22">
        <v>2298</v>
      </c>
      <c r="AV22">
        <v>2204</v>
      </c>
      <c r="AW22">
        <v>2064</v>
      </c>
      <c r="AX22">
        <v>2001</v>
      </c>
      <c r="AY22">
        <v>2077</v>
      </c>
      <c r="AZ22">
        <v>2186</v>
      </c>
      <c r="BA22">
        <v>2264</v>
      </c>
      <c r="BB22">
        <v>2334</v>
      </c>
      <c r="BC22">
        <v>2380</v>
      </c>
      <c r="BD22">
        <v>2463</v>
      </c>
      <c r="BE22">
        <v>2368</v>
      </c>
      <c r="BF22">
        <v>2259</v>
      </c>
      <c r="BG22">
        <v>2259</v>
      </c>
      <c r="BH22">
        <v>2165</v>
      </c>
      <c r="BI22">
        <v>2103</v>
      </c>
      <c r="BJ22">
        <v>2065</v>
      </c>
      <c r="BK22">
        <v>1937</v>
      </c>
      <c r="BL22">
        <v>1983</v>
      </c>
      <c r="BM22">
        <v>1915</v>
      </c>
      <c r="BN22">
        <v>1855</v>
      </c>
      <c r="BO22">
        <v>1893</v>
      </c>
      <c r="BP22">
        <v>1876</v>
      </c>
      <c r="BQ22">
        <v>1769</v>
      </c>
      <c r="BR22">
        <v>1836</v>
      </c>
      <c r="BS22">
        <v>1874</v>
      </c>
      <c r="BT22">
        <v>1784</v>
      </c>
      <c r="BU22">
        <v>1905</v>
      </c>
      <c r="BV22">
        <v>1851</v>
      </c>
      <c r="BW22">
        <v>1749</v>
      </c>
      <c r="BX22">
        <v>1803</v>
      </c>
      <c r="BY22">
        <v>1731</v>
      </c>
      <c r="BZ22">
        <v>1675</v>
      </c>
      <c r="CA22">
        <v>1605</v>
      </c>
      <c r="CB22">
        <v>1741</v>
      </c>
      <c r="CC22">
        <v>1616</v>
      </c>
      <c r="CD22">
        <v>1666</v>
      </c>
      <c r="CE22">
        <v>1570</v>
      </c>
      <c r="CF22">
        <v>1385</v>
      </c>
      <c r="CG22">
        <v>1295</v>
      </c>
      <c r="CH22">
        <v>1160</v>
      </c>
      <c r="CI22">
        <v>1100</v>
      </c>
      <c r="CJ22">
        <v>1002</v>
      </c>
      <c r="CK22">
        <v>976</v>
      </c>
      <c r="CL22">
        <v>860</v>
      </c>
      <c r="CM22">
        <v>766</v>
      </c>
      <c r="CN22">
        <v>660</v>
      </c>
      <c r="CO22">
        <v>538</v>
      </c>
      <c r="CP22">
        <v>493</v>
      </c>
      <c r="CQ22">
        <v>402</v>
      </c>
      <c r="CR22">
        <v>324</v>
      </c>
      <c r="CS22">
        <v>257</v>
      </c>
      <c r="CT22">
        <v>211</v>
      </c>
      <c r="CU22">
        <v>153</v>
      </c>
      <c r="CV22">
        <v>108</v>
      </c>
      <c r="CW22">
        <v>80</v>
      </c>
      <c r="CX22">
        <v>127</v>
      </c>
    </row>
    <row r="23" spans="1:102" x14ac:dyDescent="0.25">
      <c r="A23">
        <v>2046</v>
      </c>
      <c r="B23">
        <v>2199</v>
      </c>
      <c r="C23">
        <v>2200</v>
      </c>
      <c r="D23">
        <v>2189</v>
      </c>
      <c r="E23">
        <v>2177</v>
      </c>
      <c r="F23">
        <v>2160</v>
      </c>
      <c r="G23">
        <v>2133</v>
      </c>
      <c r="H23">
        <v>2090</v>
      </c>
      <c r="I23">
        <v>2040</v>
      </c>
      <c r="J23">
        <v>1988</v>
      </c>
      <c r="K23">
        <v>1922</v>
      </c>
      <c r="L23">
        <v>1861</v>
      </c>
      <c r="M23">
        <v>1794</v>
      </c>
      <c r="N23">
        <v>1744</v>
      </c>
      <c r="O23">
        <v>1683</v>
      </c>
      <c r="P23">
        <v>1613</v>
      </c>
      <c r="Q23">
        <v>1548</v>
      </c>
      <c r="R23">
        <v>1517</v>
      </c>
      <c r="S23">
        <v>1496</v>
      </c>
      <c r="T23">
        <v>1510</v>
      </c>
      <c r="U23">
        <v>1833</v>
      </c>
      <c r="V23">
        <v>2440</v>
      </c>
      <c r="W23">
        <v>3008</v>
      </c>
      <c r="X23">
        <v>3337</v>
      </c>
      <c r="Y23">
        <v>3317</v>
      </c>
      <c r="Z23">
        <v>3325</v>
      </c>
      <c r="AA23">
        <v>3340</v>
      </c>
      <c r="AB23">
        <v>3117</v>
      </c>
      <c r="AC23">
        <v>3099</v>
      </c>
      <c r="AD23">
        <v>3049</v>
      </c>
      <c r="AE23">
        <v>2998</v>
      </c>
      <c r="AF23">
        <v>3091</v>
      </c>
      <c r="AG23">
        <v>3041</v>
      </c>
      <c r="AH23">
        <v>3006</v>
      </c>
      <c r="AI23">
        <v>2997</v>
      </c>
      <c r="AJ23">
        <v>3075</v>
      </c>
      <c r="AK23">
        <v>2964</v>
      </c>
      <c r="AL23">
        <v>3000</v>
      </c>
      <c r="AM23">
        <v>3004</v>
      </c>
      <c r="AN23">
        <v>2854</v>
      </c>
      <c r="AO23">
        <v>2843</v>
      </c>
      <c r="AP23">
        <v>2778</v>
      </c>
      <c r="AQ23">
        <v>2736</v>
      </c>
      <c r="AR23">
        <v>2719</v>
      </c>
      <c r="AS23">
        <v>2644</v>
      </c>
      <c r="AT23">
        <v>2400</v>
      </c>
      <c r="AU23">
        <v>2234</v>
      </c>
      <c r="AV23">
        <v>2298</v>
      </c>
      <c r="AW23">
        <v>2204</v>
      </c>
      <c r="AX23">
        <v>2064</v>
      </c>
      <c r="AY23">
        <v>2009</v>
      </c>
      <c r="AZ23">
        <v>2085</v>
      </c>
      <c r="BA23">
        <v>2185</v>
      </c>
      <c r="BB23">
        <v>2265</v>
      </c>
      <c r="BC23">
        <v>2328</v>
      </c>
      <c r="BD23">
        <v>2380</v>
      </c>
      <c r="BE23">
        <v>2460</v>
      </c>
      <c r="BF23">
        <v>2363</v>
      </c>
      <c r="BG23">
        <v>2254</v>
      </c>
      <c r="BH23">
        <v>2249</v>
      </c>
      <c r="BI23">
        <v>2159</v>
      </c>
      <c r="BJ23">
        <v>2096</v>
      </c>
      <c r="BK23">
        <v>2056</v>
      </c>
      <c r="BL23">
        <v>1930</v>
      </c>
      <c r="BM23">
        <v>1970</v>
      </c>
      <c r="BN23">
        <v>1905</v>
      </c>
      <c r="BO23">
        <v>1846</v>
      </c>
      <c r="BP23">
        <v>1881</v>
      </c>
      <c r="BQ23">
        <v>1872</v>
      </c>
      <c r="BR23">
        <v>1757</v>
      </c>
      <c r="BS23">
        <v>1825</v>
      </c>
      <c r="BT23">
        <v>1866</v>
      </c>
      <c r="BU23">
        <v>1779</v>
      </c>
      <c r="BV23">
        <v>1890</v>
      </c>
      <c r="BW23">
        <v>1837</v>
      </c>
      <c r="BX23">
        <v>1740</v>
      </c>
      <c r="BY23">
        <v>1787</v>
      </c>
      <c r="BZ23">
        <v>1720</v>
      </c>
      <c r="CA23">
        <v>1652</v>
      </c>
      <c r="CB23">
        <v>1582</v>
      </c>
      <c r="CC23">
        <v>1715</v>
      </c>
      <c r="CD23">
        <v>1583</v>
      </c>
      <c r="CE23">
        <v>1622</v>
      </c>
      <c r="CF23">
        <v>1526</v>
      </c>
      <c r="CG23">
        <v>1337</v>
      </c>
      <c r="CH23">
        <v>1243</v>
      </c>
      <c r="CI23">
        <v>1106</v>
      </c>
      <c r="CJ23">
        <v>1039</v>
      </c>
      <c r="CK23">
        <v>933</v>
      </c>
      <c r="CL23">
        <v>901</v>
      </c>
      <c r="CM23">
        <v>782</v>
      </c>
      <c r="CN23">
        <v>688</v>
      </c>
      <c r="CO23">
        <v>583</v>
      </c>
      <c r="CP23">
        <v>465</v>
      </c>
      <c r="CQ23">
        <v>417</v>
      </c>
      <c r="CR23">
        <v>331</v>
      </c>
      <c r="CS23">
        <v>259</v>
      </c>
      <c r="CT23">
        <v>200</v>
      </c>
      <c r="CU23">
        <v>159</v>
      </c>
      <c r="CV23">
        <v>112</v>
      </c>
      <c r="CW23">
        <v>77</v>
      </c>
      <c r="CX23">
        <v>135</v>
      </c>
    </row>
    <row r="24" spans="1:102" x14ac:dyDescent="0.25">
      <c r="A24">
        <v>2047</v>
      </c>
      <c r="B24">
        <v>2188</v>
      </c>
      <c r="C24">
        <v>2196</v>
      </c>
      <c r="D24">
        <v>2192</v>
      </c>
      <c r="E24">
        <v>2181</v>
      </c>
      <c r="F24">
        <v>2179</v>
      </c>
      <c r="G24">
        <v>2152</v>
      </c>
      <c r="H24">
        <v>2115</v>
      </c>
      <c r="I24">
        <v>2083</v>
      </c>
      <c r="J24">
        <v>2029</v>
      </c>
      <c r="K24">
        <v>1977</v>
      </c>
      <c r="L24">
        <v>1914</v>
      </c>
      <c r="M24">
        <v>1855</v>
      </c>
      <c r="N24">
        <v>1798</v>
      </c>
      <c r="O24">
        <v>1751</v>
      </c>
      <c r="P24">
        <v>1684</v>
      </c>
      <c r="Q24">
        <v>1624</v>
      </c>
      <c r="R24">
        <v>1559</v>
      </c>
      <c r="S24">
        <v>1533</v>
      </c>
      <c r="T24">
        <v>1527</v>
      </c>
      <c r="U24">
        <v>1847</v>
      </c>
      <c r="V24">
        <v>2454</v>
      </c>
      <c r="W24">
        <v>3050</v>
      </c>
      <c r="X24">
        <v>3210</v>
      </c>
      <c r="Y24">
        <v>3397</v>
      </c>
      <c r="Z24">
        <v>3250</v>
      </c>
      <c r="AA24">
        <v>3135</v>
      </c>
      <c r="AB24">
        <v>3193</v>
      </c>
      <c r="AC24">
        <v>3001</v>
      </c>
      <c r="AD24">
        <v>3057</v>
      </c>
      <c r="AE24">
        <v>2992</v>
      </c>
      <c r="AF24">
        <v>2956</v>
      </c>
      <c r="AG24">
        <v>3030</v>
      </c>
      <c r="AH24">
        <v>3018</v>
      </c>
      <c r="AI24">
        <v>2987</v>
      </c>
      <c r="AJ24">
        <v>2972</v>
      </c>
      <c r="AK24">
        <v>3071</v>
      </c>
      <c r="AL24">
        <v>2948</v>
      </c>
      <c r="AM24">
        <v>2989</v>
      </c>
      <c r="AN24">
        <v>2995</v>
      </c>
      <c r="AO24">
        <v>2854</v>
      </c>
      <c r="AP24">
        <v>2831</v>
      </c>
      <c r="AQ24">
        <v>2777</v>
      </c>
      <c r="AR24">
        <v>2734</v>
      </c>
      <c r="AS24">
        <v>2715</v>
      </c>
      <c r="AT24">
        <v>2640</v>
      </c>
      <c r="AU24">
        <v>2404</v>
      </c>
      <c r="AV24">
        <v>2233</v>
      </c>
      <c r="AW24">
        <v>2297</v>
      </c>
      <c r="AX24">
        <v>2204</v>
      </c>
      <c r="AY24">
        <v>2071</v>
      </c>
      <c r="AZ24">
        <v>2017</v>
      </c>
      <c r="BA24">
        <v>2084</v>
      </c>
      <c r="BB24">
        <v>2187</v>
      </c>
      <c r="BC24">
        <v>2259</v>
      </c>
      <c r="BD24">
        <v>2328</v>
      </c>
      <c r="BE24">
        <v>2377</v>
      </c>
      <c r="BF24">
        <v>2455</v>
      </c>
      <c r="BG24">
        <v>2358</v>
      </c>
      <c r="BH24">
        <v>2244</v>
      </c>
      <c r="BI24">
        <v>2244</v>
      </c>
      <c r="BJ24">
        <v>2152</v>
      </c>
      <c r="BK24">
        <v>2087</v>
      </c>
      <c r="BL24">
        <v>2049</v>
      </c>
      <c r="BM24">
        <v>1918</v>
      </c>
      <c r="BN24">
        <v>1960</v>
      </c>
      <c r="BO24">
        <v>1895</v>
      </c>
      <c r="BP24">
        <v>1834</v>
      </c>
      <c r="BQ24">
        <v>1877</v>
      </c>
      <c r="BR24">
        <v>1859</v>
      </c>
      <c r="BS24">
        <v>1747</v>
      </c>
      <c r="BT24">
        <v>1818</v>
      </c>
      <c r="BU24">
        <v>1861</v>
      </c>
      <c r="BV24">
        <v>1766</v>
      </c>
      <c r="BW24">
        <v>1876</v>
      </c>
      <c r="BX24">
        <v>1827</v>
      </c>
      <c r="BY24">
        <v>1725</v>
      </c>
      <c r="BZ24">
        <v>1775</v>
      </c>
      <c r="CA24">
        <v>1698</v>
      </c>
      <c r="CB24">
        <v>1629</v>
      </c>
      <c r="CC24">
        <v>1560</v>
      </c>
      <c r="CD24">
        <v>1681</v>
      </c>
      <c r="CE24">
        <v>1543</v>
      </c>
      <c r="CF24">
        <v>1578</v>
      </c>
      <c r="CG24">
        <v>1474</v>
      </c>
      <c r="CH24">
        <v>1285</v>
      </c>
      <c r="CI24">
        <v>1186</v>
      </c>
      <c r="CJ24">
        <v>1046</v>
      </c>
      <c r="CK24">
        <v>968</v>
      </c>
      <c r="CL24">
        <v>862</v>
      </c>
      <c r="CM24">
        <v>820</v>
      </c>
      <c r="CN24">
        <v>703</v>
      </c>
      <c r="CO24">
        <v>608</v>
      </c>
      <c r="CP24">
        <v>504</v>
      </c>
      <c r="CQ24">
        <v>393</v>
      </c>
      <c r="CR24">
        <v>344</v>
      </c>
      <c r="CS24">
        <v>266</v>
      </c>
      <c r="CT24">
        <v>202</v>
      </c>
      <c r="CU24">
        <v>150</v>
      </c>
      <c r="CV24">
        <v>117</v>
      </c>
      <c r="CW24">
        <v>80</v>
      </c>
      <c r="CX24">
        <v>138</v>
      </c>
    </row>
    <row r="25" spans="1:102" x14ac:dyDescent="0.25">
      <c r="A25">
        <v>2048</v>
      </c>
      <c r="B25">
        <v>2176</v>
      </c>
      <c r="C25">
        <v>2185</v>
      </c>
      <c r="D25">
        <v>2188</v>
      </c>
      <c r="E25">
        <v>2184</v>
      </c>
      <c r="F25">
        <v>2184</v>
      </c>
      <c r="G25">
        <v>2171</v>
      </c>
      <c r="H25">
        <v>2134</v>
      </c>
      <c r="I25">
        <v>2107</v>
      </c>
      <c r="J25">
        <v>2072</v>
      </c>
      <c r="K25">
        <v>2018</v>
      </c>
      <c r="L25">
        <v>1969</v>
      </c>
      <c r="M25">
        <v>1909</v>
      </c>
      <c r="N25">
        <v>1860</v>
      </c>
      <c r="O25">
        <v>1805</v>
      </c>
      <c r="P25">
        <v>1753</v>
      </c>
      <c r="Q25">
        <v>1696</v>
      </c>
      <c r="R25">
        <v>1635</v>
      </c>
      <c r="S25">
        <v>1575</v>
      </c>
      <c r="T25">
        <v>1564</v>
      </c>
      <c r="U25">
        <v>1865</v>
      </c>
      <c r="V25">
        <v>2470</v>
      </c>
      <c r="W25">
        <v>3066</v>
      </c>
      <c r="X25">
        <v>3253</v>
      </c>
      <c r="Y25">
        <v>3271</v>
      </c>
      <c r="Z25">
        <v>3331</v>
      </c>
      <c r="AA25">
        <v>3059</v>
      </c>
      <c r="AB25">
        <v>2988</v>
      </c>
      <c r="AC25">
        <v>3077</v>
      </c>
      <c r="AD25">
        <v>2959</v>
      </c>
      <c r="AE25">
        <v>3000</v>
      </c>
      <c r="AF25">
        <v>2950</v>
      </c>
      <c r="AG25">
        <v>2895</v>
      </c>
      <c r="AH25">
        <v>3007</v>
      </c>
      <c r="AI25">
        <v>2999</v>
      </c>
      <c r="AJ25">
        <v>2963</v>
      </c>
      <c r="AK25">
        <v>2969</v>
      </c>
      <c r="AL25">
        <v>3055</v>
      </c>
      <c r="AM25">
        <v>2936</v>
      </c>
      <c r="AN25">
        <v>2980</v>
      </c>
      <c r="AO25">
        <v>2996</v>
      </c>
      <c r="AP25">
        <v>2842</v>
      </c>
      <c r="AQ25">
        <v>2830</v>
      </c>
      <c r="AR25">
        <v>2774</v>
      </c>
      <c r="AS25">
        <v>2729</v>
      </c>
      <c r="AT25">
        <v>2710</v>
      </c>
      <c r="AU25">
        <v>2644</v>
      </c>
      <c r="AV25">
        <v>2403</v>
      </c>
      <c r="AW25">
        <v>2233</v>
      </c>
      <c r="AX25">
        <v>2298</v>
      </c>
      <c r="AY25">
        <v>2212</v>
      </c>
      <c r="AZ25">
        <v>2080</v>
      </c>
      <c r="BA25">
        <v>2016</v>
      </c>
      <c r="BB25">
        <v>2086</v>
      </c>
      <c r="BC25">
        <v>2181</v>
      </c>
      <c r="BD25">
        <v>2260</v>
      </c>
      <c r="BE25">
        <v>2325</v>
      </c>
      <c r="BF25">
        <v>2372</v>
      </c>
      <c r="BG25">
        <v>2449</v>
      </c>
      <c r="BH25">
        <v>2348</v>
      </c>
      <c r="BI25">
        <v>2239</v>
      </c>
      <c r="BJ25">
        <v>2237</v>
      </c>
      <c r="BK25">
        <v>2143</v>
      </c>
      <c r="BL25">
        <v>2081</v>
      </c>
      <c r="BM25">
        <v>2037</v>
      </c>
      <c r="BN25">
        <v>1909</v>
      </c>
      <c r="BO25">
        <v>1950</v>
      </c>
      <c r="BP25">
        <v>1884</v>
      </c>
      <c r="BQ25">
        <v>1830</v>
      </c>
      <c r="BR25">
        <v>1864</v>
      </c>
      <c r="BS25">
        <v>1849</v>
      </c>
      <c r="BT25">
        <v>1741</v>
      </c>
      <c r="BU25">
        <v>1814</v>
      </c>
      <c r="BV25">
        <v>1847</v>
      </c>
      <c r="BW25">
        <v>1753</v>
      </c>
      <c r="BX25">
        <v>1867</v>
      </c>
      <c r="BY25">
        <v>1812</v>
      </c>
      <c r="BZ25">
        <v>1714</v>
      </c>
      <c r="CA25">
        <v>1752</v>
      </c>
      <c r="CB25">
        <v>1674</v>
      </c>
      <c r="CC25">
        <v>1607</v>
      </c>
      <c r="CD25">
        <v>1529</v>
      </c>
      <c r="CE25">
        <v>1638</v>
      </c>
      <c r="CF25">
        <v>1502</v>
      </c>
      <c r="CG25">
        <v>1525</v>
      </c>
      <c r="CH25">
        <v>1417</v>
      </c>
      <c r="CI25">
        <v>1226</v>
      </c>
      <c r="CJ25">
        <v>1123</v>
      </c>
      <c r="CK25">
        <v>976</v>
      </c>
      <c r="CL25">
        <v>895</v>
      </c>
      <c r="CM25">
        <v>786</v>
      </c>
      <c r="CN25">
        <v>738</v>
      </c>
      <c r="CO25">
        <v>623</v>
      </c>
      <c r="CP25">
        <v>526</v>
      </c>
      <c r="CQ25">
        <v>427</v>
      </c>
      <c r="CR25">
        <v>325</v>
      </c>
      <c r="CS25">
        <v>277</v>
      </c>
      <c r="CT25">
        <v>207</v>
      </c>
      <c r="CU25">
        <v>152</v>
      </c>
      <c r="CV25">
        <v>110</v>
      </c>
      <c r="CW25">
        <v>83</v>
      </c>
      <c r="CX25">
        <v>142</v>
      </c>
    </row>
    <row r="26" spans="1:102" x14ac:dyDescent="0.25">
      <c r="A26">
        <v>2049</v>
      </c>
      <c r="B26">
        <v>2157</v>
      </c>
      <c r="C26">
        <v>2172</v>
      </c>
      <c r="D26">
        <v>2177</v>
      </c>
      <c r="E26">
        <v>2180</v>
      </c>
      <c r="F26">
        <v>2187</v>
      </c>
      <c r="G26">
        <v>2176</v>
      </c>
      <c r="H26">
        <v>2153</v>
      </c>
      <c r="I26">
        <v>2126</v>
      </c>
      <c r="J26">
        <v>2096</v>
      </c>
      <c r="K26">
        <v>2061</v>
      </c>
      <c r="L26">
        <v>2010</v>
      </c>
      <c r="M26">
        <v>1964</v>
      </c>
      <c r="N26">
        <v>1913</v>
      </c>
      <c r="O26">
        <v>1867</v>
      </c>
      <c r="P26">
        <v>1806</v>
      </c>
      <c r="Q26">
        <v>1764</v>
      </c>
      <c r="R26">
        <v>1707</v>
      </c>
      <c r="S26">
        <v>1652</v>
      </c>
      <c r="T26">
        <v>1607</v>
      </c>
      <c r="U26">
        <v>1903</v>
      </c>
      <c r="V26">
        <v>2489</v>
      </c>
      <c r="W26">
        <v>3083</v>
      </c>
      <c r="X26">
        <v>3269</v>
      </c>
      <c r="Y26">
        <v>3315</v>
      </c>
      <c r="Z26">
        <v>3205</v>
      </c>
      <c r="AA26">
        <v>3140</v>
      </c>
      <c r="AB26">
        <v>2913</v>
      </c>
      <c r="AC26">
        <v>2872</v>
      </c>
      <c r="AD26">
        <v>3035</v>
      </c>
      <c r="AE26">
        <v>2902</v>
      </c>
      <c r="AF26">
        <v>2958</v>
      </c>
      <c r="AG26">
        <v>2889</v>
      </c>
      <c r="AH26">
        <v>2873</v>
      </c>
      <c r="AI26">
        <v>2988</v>
      </c>
      <c r="AJ26">
        <v>2975</v>
      </c>
      <c r="AK26">
        <v>2960</v>
      </c>
      <c r="AL26">
        <v>2953</v>
      </c>
      <c r="AM26">
        <v>3043</v>
      </c>
      <c r="AN26">
        <v>2928</v>
      </c>
      <c r="AO26">
        <v>2981</v>
      </c>
      <c r="AP26">
        <v>2983</v>
      </c>
      <c r="AQ26">
        <v>2841</v>
      </c>
      <c r="AR26">
        <v>2827</v>
      </c>
      <c r="AS26">
        <v>2770</v>
      </c>
      <c r="AT26">
        <v>2725</v>
      </c>
      <c r="AU26">
        <v>2714</v>
      </c>
      <c r="AV26">
        <v>2643</v>
      </c>
      <c r="AW26">
        <v>2403</v>
      </c>
      <c r="AX26">
        <v>2234</v>
      </c>
      <c r="AY26">
        <v>2305</v>
      </c>
      <c r="AZ26">
        <v>2220</v>
      </c>
      <c r="BA26">
        <v>2079</v>
      </c>
      <c r="BB26">
        <v>2018</v>
      </c>
      <c r="BC26">
        <v>2081</v>
      </c>
      <c r="BD26">
        <v>2181</v>
      </c>
      <c r="BE26">
        <v>2257</v>
      </c>
      <c r="BF26">
        <v>2320</v>
      </c>
      <c r="BG26">
        <v>2367</v>
      </c>
      <c r="BH26">
        <v>2440</v>
      </c>
      <c r="BI26">
        <v>2343</v>
      </c>
      <c r="BJ26">
        <v>2232</v>
      </c>
      <c r="BK26">
        <v>2228</v>
      </c>
      <c r="BL26">
        <v>2137</v>
      </c>
      <c r="BM26">
        <v>2068</v>
      </c>
      <c r="BN26">
        <v>2027</v>
      </c>
      <c r="BO26">
        <v>1899</v>
      </c>
      <c r="BP26">
        <v>1939</v>
      </c>
      <c r="BQ26">
        <v>1880</v>
      </c>
      <c r="BR26">
        <v>1818</v>
      </c>
      <c r="BS26">
        <v>1855</v>
      </c>
      <c r="BT26">
        <v>1842</v>
      </c>
      <c r="BU26">
        <v>1737</v>
      </c>
      <c r="BV26">
        <v>1801</v>
      </c>
      <c r="BW26">
        <v>1834</v>
      </c>
      <c r="BX26">
        <v>1745</v>
      </c>
      <c r="BY26">
        <v>1851</v>
      </c>
      <c r="BZ26">
        <v>1801</v>
      </c>
      <c r="CA26">
        <v>1693</v>
      </c>
      <c r="CB26">
        <v>1729</v>
      </c>
      <c r="CC26">
        <v>1652</v>
      </c>
      <c r="CD26">
        <v>1576</v>
      </c>
      <c r="CE26">
        <v>1491</v>
      </c>
      <c r="CF26">
        <v>1595</v>
      </c>
      <c r="CG26">
        <v>1453</v>
      </c>
      <c r="CH26">
        <v>1467</v>
      </c>
      <c r="CI26">
        <v>1353</v>
      </c>
      <c r="CJ26">
        <v>1161</v>
      </c>
      <c r="CK26">
        <v>1049</v>
      </c>
      <c r="CL26">
        <v>903</v>
      </c>
      <c r="CM26">
        <v>816</v>
      </c>
      <c r="CN26">
        <v>708</v>
      </c>
      <c r="CO26">
        <v>654</v>
      </c>
      <c r="CP26">
        <v>540</v>
      </c>
      <c r="CQ26">
        <v>446</v>
      </c>
      <c r="CR26">
        <v>353</v>
      </c>
      <c r="CS26">
        <v>261</v>
      </c>
      <c r="CT26">
        <v>216</v>
      </c>
      <c r="CU26">
        <v>156</v>
      </c>
      <c r="CV26">
        <v>112</v>
      </c>
      <c r="CW26">
        <v>79</v>
      </c>
      <c r="CX26">
        <v>147</v>
      </c>
    </row>
    <row r="27" spans="1:102" x14ac:dyDescent="0.25">
      <c r="A27">
        <v>2050</v>
      </c>
      <c r="B27">
        <v>2140</v>
      </c>
      <c r="C27">
        <v>2154</v>
      </c>
      <c r="D27">
        <v>2164</v>
      </c>
      <c r="E27">
        <v>2168</v>
      </c>
      <c r="F27">
        <v>2183</v>
      </c>
      <c r="G27">
        <v>2179</v>
      </c>
      <c r="H27">
        <v>2158</v>
      </c>
      <c r="I27">
        <v>2146</v>
      </c>
      <c r="J27">
        <v>2115</v>
      </c>
      <c r="K27">
        <v>2085</v>
      </c>
      <c r="L27">
        <v>2053</v>
      </c>
      <c r="M27">
        <v>2005</v>
      </c>
      <c r="N27">
        <v>1968</v>
      </c>
      <c r="O27">
        <v>1920</v>
      </c>
      <c r="P27">
        <v>1868</v>
      </c>
      <c r="Q27">
        <v>1818</v>
      </c>
      <c r="R27">
        <v>1776</v>
      </c>
      <c r="S27">
        <v>1724</v>
      </c>
      <c r="T27">
        <v>1683</v>
      </c>
      <c r="U27">
        <v>1947</v>
      </c>
      <c r="V27">
        <v>2529</v>
      </c>
      <c r="W27">
        <v>3105</v>
      </c>
      <c r="X27">
        <v>3288</v>
      </c>
      <c r="Y27">
        <v>3332</v>
      </c>
      <c r="Z27">
        <v>3249</v>
      </c>
      <c r="AA27">
        <v>3014</v>
      </c>
      <c r="AB27">
        <v>2994</v>
      </c>
      <c r="AC27">
        <v>2797</v>
      </c>
      <c r="AD27">
        <v>2831</v>
      </c>
      <c r="AE27">
        <v>2978</v>
      </c>
      <c r="AF27">
        <v>2860</v>
      </c>
      <c r="AG27">
        <v>2897</v>
      </c>
      <c r="AH27">
        <v>2867</v>
      </c>
      <c r="AI27">
        <v>2854</v>
      </c>
      <c r="AJ27">
        <v>2964</v>
      </c>
      <c r="AK27">
        <v>2973</v>
      </c>
      <c r="AL27">
        <v>2944</v>
      </c>
      <c r="AM27">
        <v>2942</v>
      </c>
      <c r="AN27">
        <v>3035</v>
      </c>
      <c r="AO27">
        <v>2928</v>
      </c>
      <c r="AP27">
        <v>2968</v>
      </c>
      <c r="AQ27">
        <v>2982</v>
      </c>
      <c r="AR27">
        <v>2838</v>
      </c>
      <c r="AS27">
        <v>2823</v>
      </c>
      <c r="AT27">
        <v>2766</v>
      </c>
      <c r="AU27">
        <v>2729</v>
      </c>
      <c r="AV27">
        <v>2714</v>
      </c>
      <c r="AW27">
        <v>2643</v>
      </c>
      <c r="AX27">
        <v>2404</v>
      </c>
      <c r="AY27">
        <v>2241</v>
      </c>
      <c r="AZ27">
        <v>2314</v>
      </c>
      <c r="BA27">
        <v>2219</v>
      </c>
      <c r="BB27">
        <v>2081</v>
      </c>
      <c r="BC27">
        <v>2013</v>
      </c>
      <c r="BD27">
        <v>2081</v>
      </c>
      <c r="BE27">
        <v>2179</v>
      </c>
      <c r="BF27">
        <v>2252</v>
      </c>
      <c r="BG27">
        <v>2316</v>
      </c>
      <c r="BH27">
        <v>2358</v>
      </c>
      <c r="BI27">
        <v>2434</v>
      </c>
      <c r="BJ27">
        <v>2336</v>
      </c>
      <c r="BK27">
        <v>2223</v>
      </c>
      <c r="BL27">
        <v>2221</v>
      </c>
      <c r="BM27">
        <v>2124</v>
      </c>
      <c r="BN27">
        <v>2058</v>
      </c>
      <c r="BO27">
        <v>2017</v>
      </c>
      <c r="BP27">
        <v>1888</v>
      </c>
      <c r="BQ27">
        <v>1935</v>
      </c>
      <c r="BR27">
        <v>1867</v>
      </c>
      <c r="BS27">
        <v>1809</v>
      </c>
      <c r="BT27">
        <v>1848</v>
      </c>
      <c r="BU27">
        <v>1839</v>
      </c>
      <c r="BV27">
        <v>1725</v>
      </c>
      <c r="BW27">
        <v>1788</v>
      </c>
      <c r="BX27">
        <v>1826</v>
      </c>
      <c r="BY27">
        <v>1731</v>
      </c>
      <c r="BZ27">
        <v>1840</v>
      </c>
      <c r="CA27">
        <v>1779</v>
      </c>
      <c r="CB27">
        <v>1670</v>
      </c>
      <c r="CC27">
        <v>1706</v>
      </c>
      <c r="CD27">
        <v>1621</v>
      </c>
      <c r="CE27">
        <v>1537</v>
      </c>
      <c r="CF27">
        <v>1453</v>
      </c>
      <c r="CG27">
        <v>1543</v>
      </c>
      <c r="CH27">
        <v>1398</v>
      </c>
      <c r="CI27">
        <v>1402</v>
      </c>
      <c r="CJ27">
        <v>1283</v>
      </c>
      <c r="CK27">
        <v>1085</v>
      </c>
      <c r="CL27">
        <v>973</v>
      </c>
      <c r="CM27">
        <v>824</v>
      </c>
      <c r="CN27">
        <v>736</v>
      </c>
      <c r="CO27">
        <v>628</v>
      </c>
      <c r="CP27">
        <v>568</v>
      </c>
      <c r="CQ27">
        <v>458</v>
      </c>
      <c r="CR27">
        <v>369</v>
      </c>
      <c r="CS27">
        <v>284</v>
      </c>
      <c r="CT27">
        <v>203</v>
      </c>
      <c r="CU27">
        <v>163</v>
      </c>
      <c r="CV27">
        <v>115</v>
      </c>
      <c r="CW27">
        <v>80</v>
      </c>
      <c r="CX27">
        <v>147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5F880-3D33-4BBD-A96B-A03F678EF7E9}">
  <sheetPr>
    <tabColor theme="8" tint="-0.249977111117893"/>
  </sheetPr>
  <dimension ref="A1:C12"/>
  <sheetViews>
    <sheetView workbookViewId="0"/>
  </sheetViews>
  <sheetFormatPr defaultRowHeight="15" x14ac:dyDescent="0.25"/>
  <cols>
    <col min="1" max="1" width="9.85546875" bestFit="1" customWidth="1"/>
    <col min="2" max="2" width="28.5703125" bestFit="1" customWidth="1"/>
    <col min="3" max="3" width="24" bestFit="1" customWidth="1"/>
  </cols>
  <sheetData>
    <row r="1" spans="1:3" x14ac:dyDescent="0.25">
      <c r="A1" t="s">
        <v>3</v>
      </c>
      <c r="B1" s="1" t="s">
        <v>16</v>
      </c>
      <c r="C1" s="1" t="s">
        <v>17</v>
      </c>
    </row>
    <row r="2" spans="1:3" x14ac:dyDescent="0.25">
      <c r="A2">
        <v>2025</v>
      </c>
      <c r="B2" s="2">
        <v>10</v>
      </c>
      <c r="C2">
        <v>10</v>
      </c>
    </row>
    <row r="3" spans="1:3" x14ac:dyDescent="0.25">
      <c r="A3">
        <v>2026</v>
      </c>
      <c r="B3" s="3">
        <v>10</v>
      </c>
      <c r="C3">
        <v>10</v>
      </c>
    </row>
    <row r="4" spans="1:3" x14ac:dyDescent="0.25">
      <c r="A4">
        <v>2027</v>
      </c>
      <c r="B4" s="3">
        <v>10</v>
      </c>
      <c r="C4">
        <v>10</v>
      </c>
    </row>
    <row r="5" spans="1:3" x14ac:dyDescent="0.25">
      <c r="A5">
        <v>2028</v>
      </c>
      <c r="B5" s="3">
        <v>10</v>
      </c>
      <c r="C5">
        <v>10</v>
      </c>
    </row>
    <row r="6" spans="1:3" x14ac:dyDescent="0.25">
      <c r="A6">
        <v>2029</v>
      </c>
      <c r="B6" s="3">
        <v>10</v>
      </c>
      <c r="C6">
        <v>10</v>
      </c>
    </row>
    <row r="7" spans="1:3" x14ac:dyDescent="0.25">
      <c r="A7">
        <v>2030</v>
      </c>
      <c r="B7" s="3">
        <v>10</v>
      </c>
      <c r="C7">
        <v>10</v>
      </c>
    </row>
    <row r="8" spans="1:3" x14ac:dyDescent="0.25">
      <c r="A8">
        <v>2031</v>
      </c>
      <c r="B8" s="3">
        <v>10</v>
      </c>
      <c r="C8">
        <v>10</v>
      </c>
    </row>
    <row r="9" spans="1:3" x14ac:dyDescent="0.25">
      <c r="A9">
        <v>2032</v>
      </c>
      <c r="B9" s="3">
        <v>10</v>
      </c>
      <c r="C9">
        <v>10</v>
      </c>
    </row>
    <row r="10" spans="1:3" x14ac:dyDescent="0.25">
      <c r="A10">
        <v>2033</v>
      </c>
      <c r="B10" s="3">
        <v>10</v>
      </c>
      <c r="C10">
        <v>10</v>
      </c>
    </row>
    <row r="11" spans="1:3" x14ac:dyDescent="0.25">
      <c r="A11">
        <v>2034</v>
      </c>
      <c r="B11" s="3">
        <v>10</v>
      </c>
      <c r="C11">
        <v>10</v>
      </c>
    </row>
    <row r="12" spans="1:3" x14ac:dyDescent="0.25">
      <c r="A12">
        <v>2035</v>
      </c>
      <c r="B12" s="3">
        <v>10</v>
      </c>
      <c r="C12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B0489-E500-4DC5-923B-55378A814288}">
  <sheetPr>
    <tabColor theme="6" tint="0.59999389629810485"/>
  </sheetPr>
  <dimension ref="A1:B12"/>
  <sheetViews>
    <sheetView workbookViewId="0"/>
  </sheetViews>
  <sheetFormatPr defaultRowHeight="15" x14ac:dyDescent="0.25"/>
  <cols>
    <col min="1" max="1" width="11.28515625" customWidth="1"/>
  </cols>
  <sheetData>
    <row r="1" spans="1:2" x14ac:dyDescent="0.25">
      <c r="A1" t="s">
        <v>3</v>
      </c>
      <c r="B1" t="s">
        <v>13</v>
      </c>
    </row>
    <row r="2" spans="1:2" x14ac:dyDescent="0.25">
      <c r="A2">
        <v>2025</v>
      </c>
      <c r="B2" t="s">
        <v>14</v>
      </c>
    </row>
    <row r="3" spans="1:2" x14ac:dyDescent="0.25">
      <c r="A3">
        <v>2026</v>
      </c>
      <c r="B3" t="s">
        <v>14</v>
      </c>
    </row>
    <row r="4" spans="1:2" x14ac:dyDescent="0.25">
      <c r="A4">
        <v>2027</v>
      </c>
      <c r="B4" t="s">
        <v>14</v>
      </c>
    </row>
    <row r="5" spans="1:2" x14ac:dyDescent="0.25">
      <c r="A5">
        <v>2028</v>
      </c>
      <c r="B5" t="s">
        <v>14</v>
      </c>
    </row>
    <row r="6" spans="1:2" x14ac:dyDescent="0.25">
      <c r="A6">
        <v>2029</v>
      </c>
      <c r="B6" t="s">
        <v>14</v>
      </c>
    </row>
    <row r="7" spans="1:2" x14ac:dyDescent="0.25">
      <c r="A7">
        <v>2030</v>
      </c>
      <c r="B7" t="s">
        <v>15</v>
      </c>
    </row>
    <row r="8" spans="1:2" x14ac:dyDescent="0.25">
      <c r="A8">
        <v>2031</v>
      </c>
      <c r="B8" t="s">
        <v>15</v>
      </c>
    </row>
    <row r="9" spans="1:2" x14ac:dyDescent="0.25">
      <c r="A9">
        <v>2032</v>
      </c>
      <c r="B9" t="s">
        <v>15</v>
      </c>
    </row>
    <row r="10" spans="1:2" x14ac:dyDescent="0.25">
      <c r="A10">
        <v>2033</v>
      </c>
      <c r="B10" t="s">
        <v>15</v>
      </c>
    </row>
    <row r="11" spans="1:2" x14ac:dyDescent="0.25">
      <c r="A11">
        <v>2034</v>
      </c>
      <c r="B11" t="s">
        <v>15</v>
      </c>
    </row>
    <row r="12" spans="1:2" x14ac:dyDescent="0.25">
      <c r="A12">
        <v>2035</v>
      </c>
      <c r="B12" t="s">
        <v>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077DE-4CE7-480F-8724-0AA75B82F459}">
  <dimension ref="A1:I23"/>
  <sheetViews>
    <sheetView workbookViewId="0"/>
  </sheetViews>
  <sheetFormatPr defaultRowHeight="15" x14ac:dyDescent="0.25"/>
  <cols>
    <col min="1" max="1" width="10.5703125" bestFit="1" customWidth="1"/>
  </cols>
  <sheetData>
    <row r="1" spans="1:9" x14ac:dyDescent="0.25">
      <c r="A1" t="s">
        <v>11</v>
      </c>
      <c r="B1" t="s">
        <v>3</v>
      </c>
      <c r="C1" s="1" t="s">
        <v>0</v>
      </c>
      <c r="D1" s="1" t="s">
        <v>1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2025</v>
      </c>
      <c r="C2" s="1">
        <v>1</v>
      </c>
      <c r="D2" s="1">
        <v>2</v>
      </c>
      <c r="E2" s="1">
        <v>2</v>
      </c>
      <c r="F2" s="1">
        <v>1</v>
      </c>
      <c r="G2" s="1">
        <v>1</v>
      </c>
      <c r="H2" s="1">
        <v>1</v>
      </c>
      <c r="I2" s="1">
        <v>1</v>
      </c>
    </row>
    <row r="3" spans="1:9" x14ac:dyDescent="0.25">
      <c r="A3" t="s">
        <v>9</v>
      </c>
      <c r="B3">
        <v>2026</v>
      </c>
      <c r="C3">
        <v>1</v>
      </c>
      <c r="D3">
        <v>2</v>
      </c>
      <c r="E3">
        <v>2</v>
      </c>
      <c r="F3">
        <v>1</v>
      </c>
      <c r="G3">
        <v>1</v>
      </c>
      <c r="H3">
        <v>1</v>
      </c>
      <c r="I3">
        <v>1</v>
      </c>
    </row>
    <row r="4" spans="1:9" x14ac:dyDescent="0.25">
      <c r="A4" t="s">
        <v>9</v>
      </c>
      <c r="B4">
        <v>2027</v>
      </c>
      <c r="C4">
        <v>1</v>
      </c>
      <c r="D4">
        <v>2</v>
      </c>
      <c r="E4">
        <v>2</v>
      </c>
      <c r="F4">
        <v>1</v>
      </c>
      <c r="G4">
        <v>1</v>
      </c>
      <c r="H4">
        <v>1</v>
      </c>
      <c r="I4">
        <v>1</v>
      </c>
    </row>
    <row r="5" spans="1:9" x14ac:dyDescent="0.25">
      <c r="A5" t="s">
        <v>9</v>
      </c>
      <c r="B5">
        <v>2028</v>
      </c>
      <c r="C5">
        <v>1</v>
      </c>
      <c r="D5">
        <v>2</v>
      </c>
      <c r="E5">
        <v>2</v>
      </c>
      <c r="F5">
        <v>1</v>
      </c>
      <c r="G5">
        <v>1</v>
      </c>
      <c r="H5">
        <v>1</v>
      </c>
      <c r="I5">
        <v>1</v>
      </c>
    </row>
    <row r="6" spans="1:9" x14ac:dyDescent="0.25">
      <c r="A6" t="s">
        <v>9</v>
      </c>
      <c r="B6">
        <v>2029</v>
      </c>
      <c r="C6">
        <v>1</v>
      </c>
      <c r="D6">
        <v>2</v>
      </c>
      <c r="E6">
        <v>2</v>
      </c>
      <c r="F6">
        <v>1</v>
      </c>
      <c r="G6">
        <v>1</v>
      </c>
      <c r="H6">
        <v>1</v>
      </c>
      <c r="I6">
        <v>1</v>
      </c>
    </row>
    <row r="7" spans="1:9" x14ac:dyDescent="0.25">
      <c r="A7" t="s">
        <v>9</v>
      </c>
      <c r="B7">
        <v>2030</v>
      </c>
      <c r="C7">
        <v>1</v>
      </c>
      <c r="D7">
        <v>2</v>
      </c>
      <c r="E7">
        <v>2</v>
      </c>
      <c r="F7">
        <v>1</v>
      </c>
      <c r="G7">
        <v>1</v>
      </c>
      <c r="H7">
        <v>1</v>
      </c>
      <c r="I7">
        <v>1</v>
      </c>
    </row>
    <row r="8" spans="1:9" x14ac:dyDescent="0.25">
      <c r="A8" t="s">
        <v>9</v>
      </c>
      <c r="B8">
        <v>2031</v>
      </c>
      <c r="C8">
        <v>1</v>
      </c>
      <c r="D8">
        <v>2</v>
      </c>
      <c r="E8">
        <v>2</v>
      </c>
      <c r="F8">
        <v>1</v>
      </c>
      <c r="G8">
        <v>1</v>
      </c>
      <c r="H8">
        <v>1</v>
      </c>
      <c r="I8">
        <v>1</v>
      </c>
    </row>
    <row r="9" spans="1:9" x14ac:dyDescent="0.25">
      <c r="A9" t="s">
        <v>9</v>
      </c>
      <c r="B9">
        <v>2032</v>
      </c>
      <c r="C9">
        <v>1</v>
      </c>
      <c r="D9">
        <v>2</v>
      </c>
      <c r="E9">
        <v>2</v>
      </c>
      <c r="F9">
        <v>1</v>
      </c>
      <c r="G9">
        <v>1</v>
      </c>
      <c r="H9">
        <v>1</v>
      </c>
      <c r="I9">
        <v>1</v>
      </c>
    </row>
    <row r="10" spans="1:9" x14ac:dyDescent="0.25">
      <c r="A10" t="s">
        <v>9</v>
      </c>
      <c r="B10">
        <v>2033</v>
      </c>
      <c r="C10">
        <v>1</v>
      </c>
      <c r="D10">
        <v>2</v>
      </c>
      <c r="E10">
        <v>2</v>
      </c>
      <c r="F10">
        <v>1</v>
      </c>
      <c r="G10">
        <v>1</v>
      </c>
      <c r="H10">
        <v>1</v>
      </c>
      <c r="I10">
        <v>1</v>
      </c>
    </row>
    <row r="11" spans="1:9" x14ac:dyDescent="0.25">
      <c r="A11" t="s">
        <v>9</v>
      </c>
      <c r="B11">
        <v>2034</v>
      </c>
      <c r="C11">
        <v>1</v>
      </c>
      <c r="D11">
        <v>2</v>
      </c>
      <c r="E11">
        <v>2</v>
      </c>
      <c r="F11">
        <v>1</v>
      </c>
      <c r="G11">
        <v>1</v>
      </c>
      <c r="H11">
        <v>1</v>
      </c>
      <c r="I11">
        <v>1</v>
      </c>
    </row>
    <row r="12" spans="1:9" x14ac:dyDescent="0.25">
      <c r="A12" t="s">
        <v>9</v>
      </c>
      <c r="B12">
        <v>2035</v>
      </c>
      <c r="C12">
        <v>1</v>
      </c>
      <c r="D12">
        <v>2</v>
      </c>
      <c r="E12">
        <v>2</v>
      </c>
      <c r="F12">
        <v>1</v>
      </c>
      <c r="G12">
        <v>1</v>
      </c>
      <c r="H12">
        <v>1</v>
      </c>
      <c r="I12">
        <v>1</v>
      </c>
    </row>
    <row r="13" spans="1:9" x14ac:dyDescent="0.25">
      <c r="A13" t="s">
        <v>10</v>
      </c>
      <c r="B13">
        <v>2025</v>
      </c>
      <c r="C13">
        <v>1</v>
      </c>
      <c r="D13">
        <v>2</v>
      </c>
      <c r="E13">
        <v>2</v>
      </c>
      <c r="F13">
        <v>1</v>
      </c>
      <c r="G13">
        <v>1</v>
      </c>
      <c r="H13">
        <v>1</v>
      </c>
      <c r="I13">
        <v>1</v>
      </c>
    </row>
    <row r="14" spans="1:9" x14ac:dyDescent="0.25">
      <c r="A14" t="s">
        <v>10</v>
      </c>
      <c r="B14">
        <v>2026</v>
      </c>
      <c r="C14">
        <v>1</v>
      </c>
      <c r="D14">
        <v>2</v>
      </c>
      <c r="E14">
        <v>2</v>
      </c>
      <c r="F14">
        <v>1</v>
      </c>
      <c r="G14">
        <v>1</v>
      </c>
      <c r="H14">
        <v>1</v>
      </c>
      <c r="I14">
        <v>1</v>
      </c>
    </row>
    <row r="15" spans="1:9" x14ac:dyDescent="0.25">
      <c r="A15" t="s">
        <v>10</v>
      </c>
      <c r="B15">
        <v>2027</v>
      </c>
      <c r="C15">
        <v>1</v>
      </c>
      <c r="D15">
        <v>2</v>
      </c>
      <c r="E15">
        <v>2</v>
      </c>
      <c r="F15">
        <v>1</v>
      </c>
      <c r="G15">
        <v>1</v>
      </c>
      <c r="H15">
        <v>1</v>
      </c>
      <c r="I15">
        <v>1</v>
      </c>
    </row>
    <row r="16" spans="1:9" x14ac:dyDescent="0.25">
      <c r="A16" t="s">
        <v>10</v>
      </c>
      <c r="B16">
        <v>2028</v>
      </c>
      <c r="C16">
        <v>1</v>
      </c>
      <c r="D16">
        <v>2</v>
      </c>
      <c r="E16">
        <v>2</v>
      </c>
      <c r="F16">
        <v>1</v>
      </c>
      <c r="G16">
        <v>1</v>
      </c>
      <c r="H16">
        <v>1</v>
      </c>
      <c r="I16">
        <v>1</v>
      </c>
    </row>
    <row r="17" spans="1:9" x14ac:dyDescent="0.25">
      <c r="A17" t="s">
        <v>10</v>
      </c>
      <c r="B17">
        <v>2029</v>
      </c>
      <c r="C17">
        <v>1</v>
      </c>
      <c r="D17">
        <v>2</v>
      </c>
      <c r="E17">
        <v>2</v>
      </c>
      <c r="F17">
        <v>1</v>
      </c>
      <c r="G17">
        <v>1</v>
      </c>
      <c r="H17">
        <v>1</v>
      </c>
      <c r="I17">
        <v>1</v>
      </c>
    </row>
    <row r="18" spans="1:9" x14ac:dyDescent="0.25">
      <c r="A18" t="s">
        <v>10</v>
      </c>
      <c r="B18">
        <v>2030</v>
      </c>
      <c r="C18">
        <v>1</v>
      </c>
      <c r="D18">
        <v>2</v>
      </c>
      <c r="E18">
        <v>2</v>
      </c>
      <c r="F18">
        <v>1</v>
      </c>
      <c r="G18">
        <v>1</v>
      </c>
      <c r="H18">
        <v>1</v>
      </c>
      <c r="I18">
        <v>1</v>
      </c>
    </row>
    <row r="19" spans="1:9" x14ac:dyDescent="0.25">
      <c r="A19" t="s">
        <v>10</v>
      </c>
      <c r="B19">
        <v>2031</v>
      </c>
      <c r="C19">
        <v>1</v>
      </c>
      <c r="D19">
        <v>2</v>
      </c>
      <c r="E19">
        <v>2</v>
      </c>
      <c r="F19">
        <v>1</v>
      </c>
      <c r="G19">
        <v>1</v>
      </c>
      <c r="H19">
        <v>1</v>
      </c>
      <c r="I19">
        <v>1</v>
      </c>
    </row>
    <row r="20" spans="1:9" x14ac:dyDescent="0.25">
      <c r="A20" t="s">
        <v>10</v>
      </c>
      <c r="B20">
        <v>2032</v>
      </c>
      <c r="C20">
        <v>1</v>
      </c>
      <c r="D20">
        <v>2</v>
      </c>
      <c r="E20">
        <v>2</v>
      </c>
      <c r="F20">
        <v>1</v>
      </c>
      <c r="G20">
        <v>1</v>
      </c>
      <c r="H20">
        <v>1</v>
      </c>
      <c r="I20">
        <v>1</v>
      </c>
    </row>
    <row r="21" spans="1:9" x14ac:dyDescent="0.25">
      <c r="A21" t="s">
        <v>10</v>
      </c>
      <c r="B21">
        <v>2033</v>
      </c>
      <c r="C21">
        <v>1</v>
      </c>
      <c r="D21">
        <v>2</v>
      </c>
      <c r="E21">
        <v>2</v>
      </c>
      <c r="F21">
        <v>1</v>
      </c>
      <c r="G21">
        <v>1</v>
      </c>
      <c r="H21">
        <v>1</v>
      </c>
      <c r="I21">
        <v>1</v>
      </c>
    </row>
    <row r="22" spans="1:9" x14ac:dyDescent="0.25">
      <c r="A22" t="s">
        <v>10</v>
      </c>
      <c r="B22">
        <v>2034</v>
      </c>
      <c r="C22">
        <v>1</v>
      </c>
      <c r="D22">
        <v>2</v>
      </c>
      <c r="E22">
        <v>2</v>
      </c>
      <c r="F22">
        <v>1</v>
      </c>
      <c r="G22">
        <v>1</v>
      </c>
      <c r="H22">
        <v>1</v>
      </c>
      <c r="I22">
        <v>1</v>
      </c>
    </row>
    <row r="23" spans="1:9" x14ac:dyDescent="0.25">
      <c r="A23" t="s">
        <v>10</v>
      </c>
      <c r="B23">
        <v>2035</v>
      </c>
      <c r="C23">
        <v>1</v>
      </c>
      <c r="D23">
        <v>2</v>
      </c>
      <c r="E23">
        <v>2</v>
      </c>
      <c r="F23">
        <v>1</v>
      </c>
      <c r="G23">
        <v>1</v>
      </c>
      <c r="H23">
        <v>1</v>
      </c>
      <c r="I23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2BF26-E06C-4F10-AF40-CB8CB98CC53D}">
  <sheetPr>
    <tabColor theme="6" tint="0.59999389629810485"/>
  </sheetPr>
  <dimension ref="A1:E7"/>
  <sheetViews>
    <sheetView workbookViewId="0"/>
  </sheetViews>
  <sheetFormatPr defaultRowHeight="15" x14ac:dyDescent="0.25"/>
  <cols>
    <col min="1" max="1" width="21" bestFit="1" customWidth="1"/>
    <col min="2" max="2" width="14.7109375" bestFit="1" customWidth="1"/>
    <col min="3" max="3" width="24" bestFit="1" customWidth="1"/>
  </cols>
  <sheetData>
    <row r="1" spans="1:5" x14ac:dyDescent="0.25">
      <c r="A1" t="s">
        <v>18</v>
      </c>
      <c r="B1" t="s">
        <v>19</v>
      </c>
      <c r="C1" t="s">
        <v>20</v>
      </c>
      <c r="D1" t="s">
        <v>152</v>
      </c>
      <c r="E1" t="s">
        <v>153</v>
      </c>
    </row>
    <row r="2" spans="1:5" x14ac:dyDescent="0.25">
      <c r="A2" t="s">
        <v>151</v>
      </c>
      <c r="B2" s="4">
        <f>SUM(E2/D2)</f>
        <v>1.8653571428571429</v>
      </c>
      <c r="C2">
        <v>10</v>
      </c>
      <c r="D2" s="6">
        <v>8400</v>
      </c>
      <c r="E2" s="6">
        <v>15669</v>
      </c>
    </row>
    <row r="3" spans="1:5" x14ac:dyDescent="0.25">
      <c r="A3" t="s">
        <v>4</v>
      </c>
      <c r="B3" s="4">
        <f t="shared" ref="B3:B7" si="0">SUM(E3/D3)</f>
        <v>1.7084285522247613</v>
      </c>
      <c r="C3">
        <v>5</v>
      </c>
      <c r="D3" s="6">
        <v>7439</v>
      </c>
      <c r="E3" s="6">
        <v>12709</v>
      </c>
    </row>
    <row r="4" spans="1:5" x14ac:dyDescent="0.25">
      <c r="A4" t="s">
        <v>5</v>
      </c>
      <c r="B4" s="4">
        <f t="shared" si="0"/>
        <v>1.7618646447627071</v>
      </c>
      <c r="C4">
        <v>1</v>
      </c>
      <c r="D4" s="6">
        <v>7122</v>
      </c>
      <c r="E4" s="6">
        <v>12548</v>
      </c>
    </row>
    <row r="5" spans="1:5" x14ac:dyDescent="0.25">
      <c r="A5" t="s">
        <v>6</v>
      </c>
      <c r="B5" s="4">
        <f t="shared" si="0"/>
        <v>1.7156033820138354</v>
      </c>
      <c r="C5">
        <v>0</v>
      </c>
      <c r="D5" s="6">
        <v>6505</v>
      </c>
      <c r="E5" s="6">
        <v>11160</v>
      </c>
    </row>
    <row r="6" spans="1:5" x14ac:dyDescent="0.25">
      <c r="A6" t="s">
        <v>7</v>
      </c>
      <c r="B6" s="4">
        <f t="shared" si="0"/>
        <v>1.6783252059862115</v>
      </c>
      <c r="C6">
        <v>0</v>
      </c>
      <c r="D6" s="6">
        <v>5947</v>
      </c>
      <c r="E6" s="6">
        <v>9981</v>
      </c>
    </row>
    <row r="7" spans="1:5" x14ac:dyDescent="0.25">
      <c r="A7" t="s">
        <v>8</v>
      </c>
      <c r="B7" s="4">
        <f t="shared" si="0"/>
        <v>1.6365616621983914</v>
      </c>
      <c r="C7">
        <v>0</v>
      </c>
      <c r="D7" s="6">
        <v>5968</v>
      </c>
      <c r="E7" s="6">
        <v>9767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13</vt:i4>
      </vt:variant>
    </vt:vector>
  </HeadingPairs>
  <TitlesOfParts>
    <vt:vector size="13" baseType="lpstr">
      <vt:lpstr>Scenarier</vt:lpstr>
      <vt:lpstr>Universitet</vt:lpstr>
      <vt:lpstr>Andel_förvarb_inflytt_över_län</vt:lpstr>
      <vt:lpstr>Inom_en_timme</vt:lpstr>
      <vt:lpstr>SNIgrupper</vt:lpstr>
      <vt:lpstr>Etableringschocker</vt:lpstr>
      <vt:lpstr>Branschglidning</vt:lpstr>
      <vt:lpstr>Tak_effekten</vt:lpstr>
      <vt:lpstr>Officiell_befolkningsprognos</vt:lpstr>
      <vt:lpstr>Matchning</vt:lpstr>
      <vt:lpstr>Dummy</vt:lpstr>
      <vt:lpstr>Flyttåldrar</vt:lpstr>
      <vt:lpstr>Hushåll_referensperson</vt:lpstr>
    </vt:vector>
  </TitlesOfParts>
  <Company>Linköpings Kommun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Lindahl Jimmy</dc:creator>
  <cp:lastModifiedBy>Lindahl Jimmy</cp:lastModifiedBy>
  <dcterms:created xsi:type="dcterms:W3CDTF">2026-03-17T15:07:23Z</dcterms:created>
  <dcterms:modified xsi:type="dcterms:W3CDTF">2026-03-27T17:28:35Z</dcterms:modified>
</cp:coreProperties>
</file>