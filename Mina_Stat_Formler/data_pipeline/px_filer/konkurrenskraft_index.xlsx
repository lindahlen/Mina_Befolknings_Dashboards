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BS\OBS 2026_2027\"/>
    </mc:Choice>
  </mc:AlternateContent>
  <xr:revisionPtr revIDLastSave="0" documentId="13_ncr:1_{EF336DD2-C9B3-40B5-9E8F-66A9227377F8}" xr6:coauthVersionLast="36" xr6:coauthVersionMax="36" xr10:uidLastSave="{00000000-0000-0000-0000-000000000000}"/>
  <bookViews>
    <workbookView xWindow="0" yWindow="0" windowWidth="38400" windowHeight="17505" xr2:uid="{72CE4493-A20D-4097-9ED9-F03ED7B63204}"/>
  </bookViews>
  <sheets>
    <sheet name="Folkmängd" sheetId="1" r:id="rId1"/>
    <sheet name="Vuxen_bef" sheetId="2" r:id="rId2"/>
    <sheet name="Ung_bef" sheetId="17" r:id="rId3"/>
    <sheet name="Sysselsatta" sheetId="3" r:id="rId4"/>
    <sheet name="KIBS" sheetId="4" r:id="rId5"/>
    <sheet name="Inpendling" sheetId="5" r:id="rId6"/>
    <sheet name="Utpendling" sheetId="19" r:id="rId7"/>
    <sheet name="Lång_eftergymnasial_procent" sheetId="6" r:id="rId8"/>
    <sheet name="Lång_eftergymnasial_antal" sheetId="12" r:id="rId9"/>
    <sheet name="Inflyttning_annat_län" sheetId="9" r:id="rId10"/>
    <sheet name="Inflytt_annat_län_30-59" sheetId="13" r:id="rId11"/>
    <sheet name="Utflyttning_annat_län" sheetId="20" r:id="rId12"/>
    <sheet name="Utflytt_annat_län_30-59" sheetId="18" r:id="rId13"/>
    <sheet name="Inflytt_eget_län" sheetId="11" r:id="rId14"/>
    <sheet name="Sysselsättningsgrad" sheetId="27" r:id="rId15"/>
    <sheet name="Syssgrad_kvinnor-män" sheetId="26" r:id="rId16"/>
    <sheet name="Nettoinkomst_median" sheetId="8" r:id="rId17"/>
    <sheet name="Nettoinkomst_belopp_summa" sheetId="10" r:id="rId18"/>
    <sheet name="Förvärvsinkomst_median" sheetId="25" r:id="rId19"/>
    <sheet name="BRP" sheetId="7" r:id="rId20"/>
    <sheet name="Arbetslöshet" sheetId="24" r:id="rId21"/>
    <sheet name="Långtidsarbetslöshet" sheetId="23" r:id="rId22"/>
    <sheet name="Nyföretagande" sheetId="21" r:id="rId23"/>
    <sheet name="Bostadsbyggande" sheetId="22" r:id="rId24"/>
    <sheet name="Bostäder" sheetId="28" r:id="rId25"/>
    <sheet name="Bostadspriser" sheetId="29" r:id="rId26"/>
    <sheet name="Standardvikt" sheetId="14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2" i="1" l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Z24" i="29"/>
  <c r="AA24" i="29" s="1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Z21" i="29"/>
  <c r="AA21" i="29" s="1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Z19" i="29"/>
  <c r="AA19" i="29" s="1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Z17" i="29"/>
  <c r="AA17" i="29" s="1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Z25" i="28"/>
  <c r="AA25" i="28" s="1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B25" i="28"/>
  <c r="Z24" i="28"/>
  <c r="AA24" i="28" s="1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Z23" i="28"/>
  <c r="AA23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Z21" i="28"/>
  <c r="AA21" i="28" s="1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Z20" i="28"/>
  <c r="AA20" i="28" s="1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Z19" i="28"/>
  <c r="AA19" i="28" s="1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Z18" i="28"/>
  <c r="AA18" i="28" s="1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Z17" i="28"/>
  <c r="AA17" i="28" s="1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Z16" i="28"/>
  <c r="AA16" i="28" s="1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20" i="1"/>
  <c r="F34" i="14" l="1"/>
  <c r="E34" i="14"/>
  <c r="D34" i="14"/>
  <c r="C34" i="14"/>
  <c r="AA25" i="5" l="1"/>
  <c r="AA24" i="5"/>
  <c r="AA23" i="5"/>
  <c r="AA21" i="5"/>
  <c r="AA20" i="5"/>
  <c r="AA19" i="5"/>
  <c r="AA18" i="5"/>
  <c r="AA17" i="5"/>
  <c r="AA16" i="5"/>
  <c r="AA25" i="4"/>
  <c r="AA24" i="4"/>
  <c r="AA23" i="4"/>
  <c r="AA21" i="4"/>
  <c r="AA20" i="4"/>
  <c r="AA19" i="4"/>
  <c r="AA18" i="4"/>
  <c r="AA17" i="4"/>
  <c r="AA16" i="4"/>
  <c r="AA25" i="3"/>
  <c r="AA24" i="3"/>
  <c r="AA23" i="3"/>
  <c r="AA21" i="3"/>
  <c r="AA20" i="3"/>
  <c r="AA19" i="3"/>
  <c r="AA18" i="3"/>
  <c r="AA17" i="3"/>
  <c r="AA16" i="3"/>
  <c r="B16" i="27"/>
  <c r="C16" i="27"/>
  <c r="D16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T16" i="27"/>
  <c r="U16" i="27"/>
  <c r="V16" i="27"/>
  <c r="W16" i="27"/>
  <c r="X16" i="27"/>
  <c r="Y16" i="27"/>
  <c r="B17" i="27"/>
  <c r="C17" i="27"/>
  <c r="D17" i="27"/>
  <c r="E17" i="27"/>
  <c r="F17" i="27"/>
  <c r="G17" i="27"/>
  <c r="H17" i="27"/>
  <c r="I17" i="27"/>
  <c r="J17" i="27"/>
  <c r="K17" i="27"/>
  <c r="L17" i="27"/>
  <c r="M17" i="27"/>
  <c r="N17" i="27"/>
  <c r="O17" i="27"/>
  <c r="P17" i="27"/>
  <c r="Q17" i="27"/>
  <c r="R17" i="27"/>
  <c r="S17" i="27"/>
  <c r="T17" i="27"/>
  <c r="U17" i="27"/>
  <c r="V17" i="27"/>
  <c r="W17" i="27"/>
  <c r="X17" i="27"/>
  <c r="Y17" i="27"/>
  <c r="B18" i="27"/>
  <c r="C18" i="27"/>
  <c r="D18" i="27"/>
  <c r="E18" i="27"/>
  <c r="F18" i="27"/>
  <c r="G18" i="27"/>
  <c r="H18" i="27"/>
  <c r="I18" i="27"/>
  <c r="J18" i="27"/>
  <c r="K18" i="27"/>
  <c r="L18" i="27"/>
  <c r="M18" i="27"/>
  <c r="N18" i="27"/>
  <c r="O18" i="27"/>
  <c r="P18" i="27"/>
  <c r="Q18" i="27"/>
  <c r="R18" i="27"/>
  <c r="S18" i="27"/>
  <c r="T18" i="27"/>
  <c r="U18" i="27"/>
  <c r="V18" i="27"/>
  <c r="W18" i="27"/>
  <c r="X18" i="27"/>
  <c r="Y18" i="27"/>
  <c r="B19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X19" i="27"/>
  <c r="Y19" i="27"/>
  <c r="B20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U20" i="27"/>
  <c r="V20" i="27"/>
  <c r="W20" i="27"/>
  <c r="X20" i="27"/>
  <c r="Y20" i="27"/>
  <c r="B21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B23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" i="25"/>
  <c r="Z18" i="25" s="1"/>
  <c r="Z3" i="25"/>
  <c r="Z4" i="25"/>
  <c r="Z5" i="25"/>
  <c r="Z6" i="25"/>
  <c r="Z7" i="25"/>
  <c r="Z8" i="25"/>
  <c r="Z9" i="25"/>
  <c r="Z10" i="25"/>
  <c r="Z11" i="25"/>
  <c r="Z12" i="25"/>
  <c r="Z13" i="25"/>
  <c r="Z14" i="25"/>
  <c r="Z15" i="25"/>
  <c r="B16" i="25"/>
  <c r="C16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B17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B18" i="25"/>
  <c r="C18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B19" i="25"/>
  <c r="C19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B20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B21" i="25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B23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23" i="25"/>
  <c r="V23" i="25"/>
  <c r="W23" i="25"/>
  <c r="X23" i="25"/>
  <c r="Y23" i="25"/>
  <c r="H16" i="24"/>
  <c r="I16" i="24"/>
  <c r="J16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H17" i="24"/>
  <c r="I17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H18" i="24"/>
  <c r="I18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H19" i="24"/>
  <c r="I19" i="24"/>
  <c r="J19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H20" i="24"/>
  <c r="I20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Z21" i="22"/>
  <c r="AA21" i="22" s="1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Z17" i="25" l="1"/>
  <c r="Z16" i="25"/>
  <c r="Z23" i="25"/>
  <c r="Z19" i="25"/>
  <c r="Z21" i="25"/>
  <c r="Z20" i="25"/>
  <c r="Y25" i="21" l="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W21" i="20"/>
  <c r="K21" i="20"/>
  <c r="G21" i="20"/>
  <c r="Z20" i="20"/>
  <c r="Z21" i="20" s="1"/>
  <c r="Y20" i="20"/>
  <c r="Y21" i="20" s="1"/>
  <c r="X20" i="20"/>
  <c r="X21" i="20" s="1"/>
  <c r="W20" i="20"/>
  <c r="V20" i="20"/>
  <c r="V21" i="20" s="1"/>
  <c r="U20" i="20"/>
  <c r="U21" i="20" s="1"/>
  <c r="T20" i="20"/>
  <c r="T21" i="20" s="1"/>
  <c r="S20" i="20"/>
  <c r="S21" i="20" s="1"/>
  <c r="R20" i="20"/>
  <c r="R21" i="20" s="1"/>
  <c r="Q20" i="20"/>
  <c r="Q21" i="20" s="1"/>
  <c r="P20" i="20"/>
  <c r="P21" i="20" s="1"/>
  <c r="O20" i="20"/>
  <c r="O21" i="20" s="1"/>
  <c r="N20" i="20"/>
  <c r="N21" i="20" s="1"/>
  <c r="M20" i="20"/>
  <c r="M21" i="20" s="1"/>
  <c r="L20" i="20"/>
  <c r="L21" i="20" s="1"/>
  <c r="K20" i="20"/>
  <c r="J20" i="20"/>
  <c r="J21" i="20" s="1"/>
  <c r="I20" i="20"/>
  <c r="I21" i="20" s="1"/>
  <c r="H20" i="20"/>
  <c r="H21" i="20" s="1"/>
  <c r="G20" i="20"/>
  <c r="F20" i="20"/>
  <c r="F21" i="20" s="1"/>
  <c r="E20" i="20"/>
  <c r="E21" i="20" s="1"/>
  <c r="D20" i="20"/>
  <c r="D21" i="20" s="1"/>
  <c r="C20" i="20"/>
  <c r="C21" i="20" s="1"/>
  <c r="B20" i="20"/>
  <c r="B21" i="20" s="1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R21" i="19"/>
  <c r="B21" i="19"/>
  <c r="Z20" i="19"/>
  <c r="Z21" i="19" s="1"/>
  <c r="Y20" i="19"/>
  <c r="Y21" i="19" s="1"/>
  <c r="X20" i="19"/>
  <c r="X21" i="19" s="1"/>
  <c r="W20" i="19"/>
  <c r="W21" i="19" s="1"/>
  <c r="V20" i="19"/>
  <c r="V21" i="19" s="1"/>
  <c r="U20" i="19"/>
  <c r="U21" i="19" s="1"/>
  <c r="T20" i="19"/>
  <c r="T21" i="19" s="1"/>
  <c r="S20" i="19"/>
  <c r="S21" i="19" s="1"/>
  <c r="R20" i="19"/>
  <c r="Q20" i="19"/>
  <c r="Q21" i="19" s="1"/>
  <c r="P20" i="19"/>
  <c r="P21" i="19" s="1"/>
  <c r="O20" i="19"/>
  <c r="O21" i="19" s="1"/>
  <c r="N20" i="19"/>
  <c r="N21" i="19" s="1"/>
  <c r="M20" i="19"/>
  <c r="M21" i="19" s="1"/>
  <c r="L20" i="19"/>
  <c r="L21" i="19" s="1"/>
  <c r="K20" i="19"/>
  <c r="K21" i="19" s="1"/>
  <c r="J20" i="19"/>
  <c r="J21" i="19" s="1"/>
  <c r="I20" i="19"/>
  <c r="I21" i="19" s="1"/>
  <c r="H20" i="19"/>
  <c r="H21" i="19" s="1"/>
  <c r="G20" i="19"/>
  <c r="G21" i="19" s="1"/>
  <c r="F20" i="19"/>
  <c r="F21" i="19" s="1"/>
  <c r="E20" i="19"/>
  <c r="E21" i="19" s="1"/>
  <c r="D20" i="19"/>
  <c r="D21" i="19" s="1"/>
  <c r="C20" i="19"/>
  <c r="C21" i="19" s="1"/>
  <c r="B20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Z25" i="19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U21" i="18"/>
  <c r="M21" i="18"/>
  <c r="E21" i="18"/>
  <c r="Z20" i="18"/>
  <c r="Z21" i="18" s="1"/>
  <c r="Y20" i="18"/>
  <c r="Y21" i="18" s="1"/>
  <c r="X20" i="18"/>
  <c r="X21" i="18" s="1"/>
  <c r="W20" i="18"/>
  <c r="W21" i="18" s="1"/>
  <c r="V20" i="18"/>
  <c r="V21" i="18" s="1"/>
  <c r="U20" i="18"/>
  <c r="T20" i="18"/>
  <c r="T21" i="18" s="1"/>
  <c r="S20" i="18"/>
  <c r="S21" i="18" s="1"/>
  <c r="R20" i="18"/>
  <c r="R21" i="18" s="1"/>
  <c r="Q20" i="18"/>
  <c r="Q21" i="18" s="1"/>
  <c r="P20" i="18"/>
  <c r="P21" i="18" s="1"/>
  <c r="O20" i="18"/>
  <c r="O21" i="18" s="1"/>
  <c r="N20" i="18"/>
  <c r="N21" i="18" s="1"/>
  <c r="M20" i="18"/>
  <c r="L20" i="18"/>
  <c r="L21" i="18" s="1"/>
  <c r="K20" i="18"/>
  <c r="K21" i="18" s="1"/>
  <c r="J20" i="18"/>
  <c r="J21" i="18" s="1"/>
  <c r="I20" i="18"/>
  <c r="I21" i="18" s="1"/>
  <c r="H20" i="18"/>
  <c r="H21" i="18" s="1"/>
  <c r="G20" i="18"/>
  <c r="G21" i="18" s="1"/>
  <c r="F20" i="18"/>
  <c r="F21" i="18" s="1"/>
  <c r="E20" i="18"/>
  <c r="D20" i="18"/>
  <c r="D21" i="18" s="1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Z17" i="21" l="1"/>
  <c r="AA17" i="21" s="1"/>
  <c r="Z24" i="21"/>
  <c r="AA24" i="21" s="1"/>
  <c r="Z16" i="21"/>
  <c r="AA16" i="21" s="1"/>
  <c r="Z18" i="21"/>
  <c r="AA18" i="21" s="1"/>
  <c r="Z20" i="21"/>
  <c r="AA20" i="21" s="1"/>
  <c r="Z23" i="21"/>
  <c r="AA23" i="21" s="1"/>
  <c r="Z25" i="21"/>
  <c r="AA25" i="21" s="1"/>
  <c r="Z19" i="21"/>
  <c r="AA19" i="21" s="1"/>
  <c r="Z21" i="21"/>
  <c r="AA21" i="21" s="1"/>
  <c r="Z24" i="19"/>
  <c r="AA25" i="10" l="1"/>
  <c r="AA24" i="10"/>
  <c r="AA23" i="10"/>
  <c r="AA21" i="10"/>
  <c r="AA20" i="10"/>
  <c r="AA19" i="10"/>
  <c r="AA18" i="10"/>
  <c r="AA17" i="10"/>
  <c r="AA16" i="10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Y25" i="7" l="1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5" i="7"/>
  <c r="B24" i="7"/>
  <c r="B25" i="10"/>
  <c r="B24" i="10"/>
  <c r="B25" i="3"/>
  <c r="B24" i="3"/>
  <c r="B25" i="17"/>
  <c r="B24" i="17"/>
  <c r="B25" i="2"/>
  <c r="B24" i="2"/>
  <c r="B25" i="1"/>
  <c r="B24" i="1"/>
  <c r="Z25" i="11" l="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5" i="11"/>
  <c r="B24" i="11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5" i="13"/>
  <c r="D24" i="13"/>
  <c r="Z14" i="5"/>
  <c r="AA14" i="5" s="1"/>
  <c r="AA15" i="8"/>
  <c r="AA14" i="8"/>
  <c r="AA13" i="8"/>
  <c r="AA12" i="8"/>
  <c r="AA11" i="8"/>
  <c r="AA10" i="8"/>
  <c r="AA9" i="8"/>
  <c r="AA8" i="8"/>
  <c r="AA7" i="8"/>
  <c r="AA6" i="8"/>
  <c r="AA5" i="8"/>
  <c r="AA4" i="8"/>
  <c r="AA3" i="8"/>
  <c r="AA2" i="8"/>
  <c r="AA13" i="5"/>
  <c r="AA12" i="5"/>
  <c r="AA11" i="5"/>
  <c r="AA10" i="5"/>
  <c r="AA9" i="5"/>
  <c r="AA8" i="5"/>
  <c r="AA7" i="5"/>
  <c r="AA6" i="5"/>
  <c r="AA5" i="5"/>
  <c r="AA4" i="5"/>
  <c r="AA3" i="5"/>
  <c r="AA2" i="5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B25" i="6"/>
  <c r="B24" i="6"/>
  <c r="AA15" i="10"/>
  <c r="AA14" i="10"/>
  <c r="AA13" i="10"/>
  <c r="AA12" i="10"/>
  <c r="AA11" i="10"/>
  <c r="AA10" i="10"/>
  <c r="AA9" i="10"/>
  <c r="AA8" i="10"/>
  <c r="AA7" i="10"/>
  <c r="AA6" i="10"/>
  <c r="AA5" i="10"/>
  <c r="AA4" i="10"/>
  <c r="AA3" i="10"/>
  <c r="AA2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B25" i="8"/>
  <c r="B24" i="8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B25" i="9"/>
  <c r="B24" i="9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B25" i="12"/>
  <c r="B24" i="12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B25" i="5"/>
  <c r="B24" i="5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B23" i="1"/>
  <c r="AA11" i="4" l="1"/>
  <c r="AA14" i="4"/>
  <c r="AA13" i="4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23" i="7"/>
  <c r="B21" i="7"/>
  <c r="B20" i="7"/>
  <c r="B19" i="7"/>
  <c r="B18" i="7"/>
  <c r="B17" i="7"/>
  <c r="B16" i="7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B21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1" i="6"/>
  <c r="B20" i="6"/>
  <c r="B20" i="2"/>
  <c r="B21" i="2" s="1"/>
  <c r="B20" i="17"/>
  <c r="B21" i="17" s="1"/>
  <c r="B20" i="3"/>
  <c r="B21" i="3" s="1"/>
  <c r="B20" i="5"/>
  <c r="B21" i="5" s="1"/>
  <c r="B20" i="12"/>
  <c r="B21" i="12" s="1"/>
  <c r="B20" i="9"/>
  <c r="B20" i="11"/>
  <c r="B21" i="11" s="1"/>
  <c r="B20" i="10"/>
  <c r="B21" i="10" s="1"/>
  <c r="AA7" i="4" l="1"/>
  <c r="AA12" i="4"/>
  <c r="AA2" i="4"/>
  <c r="AA5" i="4"/>
  <c r="AA6" i="4"/>
  <c r="AA3" i="4"/>
  <c r="AA8" i="4"/>
  <c r="AA15" i="4"/>
  <c r="AA9" i="4"/>
  <c r="AA4" i="4"/>
  <c r="AA10" i="4"/>
  <c r="B21" i="9"/>
  <c r="B21" i="1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Z20" i="17"/>
  <c r="Y20" i="17"/>
  <c r="Y21" i="17" s="1"/>
  <c r="X20" i="17"/>
  <c r="X21" i="17" s="1"/>
  <c r="W20" i="17"/>
  <c r="W21" i="17" s="1"/>
  <c r="V20" i="17"/>
  <c r="U20" i="17"/>
  <c r="U21" i="17" s="1"/>
  <c r="T20" i="17"/>
  <c r="T21" i="17" s="1"/>
  <c r="S20" i="17"/>
  <c r="S21" i="17" s="1"/>
  <c r="R20" i="17"/>
  <c r="Q20" i="17"/>
  <c r="Q21" i="17" s="1"/>
  <c r="P20" i="17"/>
  <c r="O20" i="17"/>
  <c r="O21" i="17" s="1"/>
  <c r="N20" i="17"/>
  <c r="M20" i="17"/>
  <c r="M21" i="17" s="1"/>
  <c r="L20" i="17"/>
  <c r="K20" i="17"/>
  <c r="K21" i="17" s="1"/>
  <c r="J20" i="17"/>
  <c r="I20" i="17"/>
  <c r="I21" i="17" s="1"/>
  <c r="H20" i="17"/>
  <c r="G20" i="17"/>
  <c r="G21" i="17" s="1"/>
  <c r="F20" i="17"/>
  <c r="E20" i="17"/>
  <c r="E21" i="17" s="1"/>
  <c r="D20" i="17"/>
  <c r="C20" i="17"/>
  <c r="C21" i="17" s="1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L21" i="17" l="1"/>
  <c r="D21" i="17"/>
  <c r="F21" i="17"/>
  <c r="J21" i="17"/>
  <c r="N21" i="17"/>
  <c r="R21" i="17"/>
  <c r="V21" i="17"/>
  <c r="Z21" i="17"/>
  <c r="H21" i="17"/>
  <c r="P21" i="17"/>
  <c r="Z24" i="3"/>
  <c r="Z25" i="3"/>
  <c r="Z20" i="3"/>
  <c r="Z21" i="3" s="1"/>
  <c r="Z23" i="13" l="1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Z20" i="13"/>
  <c r="Z21" i="13" s="1"/>
  <c r="Y20" i="13"/>
  <c r="Y21" i="13" s="1"/>
  <c r="X20" i="13"/>
  <c r="X21" i="13" s="1"/>
  <c r="W20" i="13"/>
  <c r="W21" i="13" s="1"/>
  <c r="V20" i="13"/>
  <c r="V21" i="13" s="1"/>
  <c r="U20" i="13"/>
  <c r="U21" i="13" s="1"/>
  <c r="T20" i="13"/>
  <c r="S20" i="13"/>
  <c r="S21" i="13" s="1"/>
  <c r="R20" i="13"/>
  <c r="R21" i="13" s="1"/>
  <c r="Q20" i="13"/>
  <c r="Q21" i="13" s="1"/>
  <c r="P20" i="13"/>
  <c r="P21" i="13" s="1"/>
  <c r="O20" i="13"/>
  <c r="O21" i="13" s="1"/>
  <c r="N20" i="13"/>
  <c r="N21" i="13" s="1"/>
  <c r="M20" i="13"/>
  <c r="M21" i="13" s="1"/>
  <c r="L20" i="13"/>
  <c r="K20" i="13"/>
  <c r="K21" i="13" s="1"/>
  <c r="J20" i="13"/>
  <c r="J21" i="13" s="1"/>
  <c r="I20" i="13"/>
  <c r="I21" i="13" s="1"/>
  <c r="H20" i="13"/>
  <c r="G20" i="13"/>
  <c r="G21" i="13" s="1"/>
  <c r="F20" i="13"/>
  <c r="F21" i="13" s="1"/>
  <c r="E20" i="13"/>
  <c r="E21" i="13" s="1"/>
  <c r="D20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Z20" i="12"/>
  <c r="Z21" i="12" s="1"/>
  <c r="Y20" i="12"/>
  <c r="Y21" i="12" s="1"/>
  <c r="X20" i="12"/>
  <c r="X21" i="12" s="1"/>
  <c r="W20" i="12"/>
  <c r="W21" i="12" s="1"/>
  <c r="V20" i="12"/>
  <c r="V21" i="12" s="1"/>
  <c r="U20" i="12"/>
  <c r="U21" i="12" s="1"/>
  <c r="T20" i="12"/>
  <c r="T21" i="12" s="1"/>
  <c r="S20" i="12"/>
  <c r="S21" i="12" s="1"/>
  <c r="R20" i="12"/>
  <c r="R21" i="12" s="1"/>
  <c r="Q20" i="12"/>
  <c r="Q21" i="12" s="1"/>
  <c r="P20" i="12"/>
  <c r="P21" i="12" s="1"/>
  <c r="O20" i="12"/>
  <c r="O21" i="12" s="1"/>
  <c r="N20" i="12"/>
  <c r="N21" i="12" s="1"/>
  <c r="M20" i="12"/>
  <c r="M21" i="12" s="1"/>
  <c r="L20" i="12"/>
  <c r="K20" i="12"/>
  <c r="K21" i="12" s="1"/>
  <c r="J20" i="12"/>
  <c r="J21" i="12" s="1"/>
  <c r="I20" i="12"/>
  <c r="I21" i="12" s="1"/>
  <c r="H20" i="12"/>
  <c r="G20" i="12"/>
  <c r="G21" i="12" s="1"/>
  <c r="F20" i="12"/>
  <c r="F21" i="12" s="1"/>
  <c r="E20" i="12"/>
  <c r="E21" i="12" s="1"/>
  <c r="D20" i="12"/>
  <c r="C20" i="12"/>
  <c r="C21" i="12" s="1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0" i="11"/>
  <c r="Z21" i="11" s="1"/>
  <c r="Y20" i="11"/>
  <c r="Y21" i="11" s="1"/>
  <c r="X20" i="11"/>
  <c r="X21" i="11" s="1"/>
  <c r="W20" i="11"/>
  <c r="W21" i="11" s="1"/>
  <c r="V20" i="11"/>
  <c r="V21" i="11" s="1"/>
  <c r="U20" i="11"/>
  <c r="U21" i="11" s="1"/>
  <c r="T20" i="11"/>
  <c r="T21" i="11" s="1"/>
  <c r="S20" i="11"/>
  <c r="S21" i="11" s="1"/>
  <c r="R20" i="11"/>
  <c r="R21" i="11" s="1"/>
  <c r="Q20" i="11"/>
  <c r="Q21" i="11" s="1"/>
  <c r="P20" i="11"/>
  <c r="P21" i="11" s="1"/>
  <c r="O20" i="11"/>
  <c r="O21" i="11" s="1"/>
  <c r="N20" i="11"/>
  <c r="N21" i="11" s="1"/>
  <c r="M20" i="11"/>
  <c r="M21" i="11" s="1"/>
  <c r="L20" i="11"/>
  <c r="K20" i="11"/>
  <c r="K21" i="11" s="1"/>
  <c r="J20" i="11"/>
  <c r="J21" i="11" s="1"/>
  <c r="I20" i="11"/>
  <c r="I21" i="11" s="1"/>
  <c r="H20" i="11"/>
  <c r="G20" i="11"/>
  <c r="G21" i="11" s="1"/>
  <c r="F20" i="11"/>
  <c r="F21" i="11" s="1"/>
  <c r="E20" i="11"/>
  <c r="E21" i="11" s="1"/>
  <c r="D20" i="11"/>
  <c r="C20" i="11"/>
  <c r="C21" i="11" s="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Y20" i="10"/>
  <c r="Y21" i="10" s="1"/>
  <c r="X20" i="10"/>
  <c r="X21" i="10" s="1"/>
  <c r="W20" i="10"/>
  <c r="W21" i="10" s="1"/>
  <c r="V20" i="10"/>
  <c r="V21" i="10" s="1"/>
  <c r="U20" i="10"/>
  <c r="U21" i="10" s="1"/>
  <c r="T20" i="10"/>
  <c r="T21" i="10" s="1"/>
  <c r="S20" i="10"/>
  <c r="S21" i="10" s="1"/>
  <c r="R20" i="10"/>
  <c r="R21" i="10" s="1"/>
  <c r="Q20" i="10"/>
  <c r="Q21" i="10" s="1"/>
  <c r="P20" i="10"/>
  <c r="P21" i="10" s="1"/>
  <c r="O20" i="10"/>
  <c r="O21" i="10" s="1"/>
  <c r="N20" i="10"/>
  <c r="N21" i="10" s="1"/>
  <c r="M20" i="10"/>
  <c r="M21" i="10" s="1"/>
  <c r="L20" i="10"/>
  <c r="K20" i="10"/>
  <c r="K21" i="10" s="1"/>
  <c r="J20" i="10"/>
  <c r="J21" i="10" s="1"/>
  <c r="I20" i="10"/>
  <c r="I21" i="10" s="1"/>
  <c r="H20" i="10"/>
  <c r="G20" i="10"/>
  <c r="G21" i="10" s="1"/>
  <c r="F20" i="10"/>
  <c r="F21" i="10" s="1"/>
  <c r="E20" i="10"/>
  <c r="E21" i="10" s="1"/>
  <c r="D20" i="10"/>
  <c r="C20" i="10"/>
  <c r="C21" i="10" s="1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Z15" i="7"/>
  <c r="Z14" i="7"/>
  <c r="Z13" i="7"/>
  <c r="AA13" i="7" s="1"/>
  <c r="Z12" i="7"/>
  <c r="AA12" i="7" s="1"/>
  <c r="Z11" i="7"/>
  <c r="Z10" i="7"/>
  <c r="AA10" i="7" s="1"/>
  <c r="Z9" i="7"/>
  <c r="AA9" i="7" s="1"/>
  <c r="Z8" i="7"/>
  <c r="AA8" i="7" s="1"/>
  <c r="Z7" i="7"/>
  <c r="AA7" i="7" s="1"/>
  <c r="Z6" i="7"/>
  <c r="AA6" i="7" s="1"/>
  <c r="Z5" i="7"/>
  <c r="AA5" i="7" s="1"/>
  <c r="Z4" i="7"/>
  <c r="AA4" i="7" s="1"/>
  <c r="Z3" i="7"/>
  <c r="AA3" i="7" s="1"/>
  <c r="Z2" i="7"/>
  <c r="AA2" i="7" s="1"/>
  <c r="B23" i="8"/>
  <c r="B19" i="8"/>
  <c r="B18" i="8"/>
  <c r="B17" i="8"/>
  <c r="B16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B19" i="6"/>
  <c r="B18" i="6"/>
  <c r="B17" i="6"/>
  <c r="B16" i="6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Y20" i="5"/>
  <c r="Y21" i="5" s="1"/>
  <c r="X20" i="5"/>
  <c r="X21" i="5" s="1"/>
  <c r="W20" i="5"/>
  <c r="V20" i="5"/>
  <c r="V21" i="5" s="1"/>
  <c r="U20" i="5"/>
  <c r="U21" i="5" s="1"/>
  <c r="T20" i="5"/>
  <c r="T21" i="5" s="1"/>
  <c r="S20" i="5"/>
  <c r="R20" i="5"/>
  <c r="Q20" i="5"/>
  <c r="Q21" i="5" s="1"/>
  <c r="P20" i="5"/>
  <c r="P21" i="5" s="1"/>
  <c r="O20" i="5"/>
  <c r="N20" i="5"/>
  <c r="N21" i="5" s="1"/>
  <c r="M20" i="5"/>
  <c r="M21" i="5" s="1"/>
  <c r="L20" i="5"/>
  <c r="K20" i="5"/>
  <c r="J20" i="5"/>
  <c r="J21" i="5" s="1"/>
  <c r="I20" i="5"/>
  <c r="I21" i="5" s="1"/>
  <c r="H20" i="5"/>
  <c r="G20" i="5"/>
  <c r="F20" i="5"/>
  <c r="F21" i="5" s="1"/>
  <c r="E20" i="5"/>
  <c r="E21" i="5" s="1"/>
  <c r="D20" i="5"/>
  <c r="C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Y20" i="3"/>
  <c r="Y21" i="3" s="1"/>
  <c r="X20" i="3"/>
  <c r="X21" i="3" s="1"/>
  <c r="W20" i="3"/>
  <c r="W21" i="3" s="1"/>
  <c r="V20" i="3"/>
  <c r="V21" i="3" s="1"/>
  <c r="U20" i="3"/>
  <c r="U21" i="3" s="1"/>
  <c r="T20" i="3"/>
  <c r="T21" i="3" s="1"/>
  <c r="S20" i="3"/>
  <c r="S21" i="3" s="1"/>
  <c r="R20" i="3"/>
  <c r="R21" i="3" s="1"/>
  <c r="Q20" i="3"/>
  <c r="Q21" i="3" s="1"/>
  <c r="P20" i="3"/>
  <c r="P21" i="3" s="1"/>
  <c r="O20" i="3"/>
  <c r="O21" i="3" s="1"/>
  <c r="N20" i="3"/>
  <c r="N21" i="3" s="1"/>
  <c r="M20" i="3"/>
  <c r="M21" i="3" s="1"/>
  <c r="L20" i="3"/>
  <c r="K20" i="3"/>
  <c r="K21" i="3" s="1"/>
  <c r="J20" i="3"/>
  <c r="J21" i="3" s="1"/>
  <c r="I20" i="3"/>
  <c r="I21" i="3" s="1"/>
  <c r="H20" i="3"/>
  <c r="G20" i="3"/>
  <c r="G21" i="3" s="1"/>
  <c r="F20" i="3"/>
  <c r="F21" i="3" s="1"/>
  <c r="E20" i="3"/>
  <c r="E21" i="3" s="1"/>
  <c r="D20" i="3"/>
  <c r="C20" i="3"/>
  <c r="C21" i="3" s="1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0" i="2"/>
  <c r="Z21" i="2" s="1"/>
  <c r="Y20" i="2"/>
  <c r="Y21" i="2" s="1"/>
  <c r="X20" i="2"/>
  <c r="X21" i="2" s="1"/>
  <c r="W20" i="2"/>
  <c r="W21" i="2" s="1"/>
  <c r="V20" i="2"/>
  <c r="V21" i="2" s="1"/>
  <c r="U20" i="2"/>
  <c r="U21" i="2" s="1"/>
  <c r="T20" i="2"/>
  <c r="T21" i="2" s="1"/>
  <c r="S20" i="2"/>
  <c r="S21" i="2" s="1"/>
  <c r="R20" i="2"/>
  <c r="R21" i="2" s="1"/>
  <c r="Q20" i="2"/>
  <c r="Q21" i="2" s="1"/>
  <c r="P20" i="2"/>
  <c r="P21" i="2" s="1"/>
  <c r="O20" i="2"/>
  <c r="O21" i="2" s="1"/>
  <c r="N20" i="2"/>
  <c r="N21" i="2" s="1"/>
  <c r="M20" i="2"/>
  <c r="M21" i="2" s="1"/>
  <c r="L20" i="2"/>
  <c r="K20" i="2"/>
  <c r="K21" i="2" s="1"/>
  <c r="J20" i="2"/>
  <c r="J21" i="2" s="1"/>
  <c r="I20" i="2"/>
  <c r="I21" i="2" s="1"/>
  <c r="H20" i="2"/>
  <c r="G20" i="2"/>
  <c r="G21" i="2" s="1"/>
  <c r="F20" i="2"/>
  <c r="F21" i="2" s="1"/>
  <c r="E20" i="2"/>
  <c r="E21" i="2" s="1"/>
  <c r="D20" i="2"/>
  <c r="C20" i="2"/>
  <c r="C21" i="2" s="1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Z20" i="1"/>
  <c r="Z21" i="1" s="1"/>
  <c r="Y20" i="1"/>
  <c r="Y21" i="1" s="1"/>
  <c r="X20" i="1"/>
  <c r="X21" i="1" s="1"/>
  <c r="W20" i="1"/>
  <c r="W21" i="1" s="1"/>
  <c r="V20" i="1"/>
  <c r="V21" i="1" s="1"/>
  <c r="U20" i="1"/>
  <c r="U21" i="1" s="1"/>
  <c r="T20" i="1"/>
  <c r="T21" i="1" s="1"/>
  <c r="S20" i="1"/>
  <c r="S21" i="1" s="1"/>
  <c r="R20" i="1"/>
  <c r="R21" i="1" s="1"/>
  <c r="Q20" i="1"/>
  <c r="Q21" i="1" s="1"/>
  <c r="P20" i="1"/>
  <c r="P21" i="1" s="1"/>
  <c r="O20" i="1"/>
  <c r="O21" i="1" s="1"/>
  <c r="N20" i="1"/>
  <c r="N21" i="1" s="1"/>
  <c r="M20" i="1"/>
  <c r="M21" i="1" s="1"/>
  <c r="L20" i="1"/>
  <c r="K20" i="1"/>
  <c r="K21" i="1" s="1"/>
  <c r="J20" i="1"/>
  <c r="J21" i="1" s="1"/>
  <c r="I20" i="1"/>
  <c r="I21" i="1" s="1"/>
  <c r="H20" i="1"/>
  <c r="G20" i="1"/>
  <c r="G21" i="1" s="1"/>
  <c r="F20" i="1"/>
  <c r="F21" i="1" s="1"/>
  <c r="E20" i="1"/>
  <c r="E21" i="1" s="1"/>
  <c r="D20" i="1"/>
  <c r="C20" i="1"/>
  <c r="C21" i="1" s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C23" i="9"/>
  <c r="B23" i="9"/>
  <c r="C20" i="9"/>
  <c r="C21" i="9" s="1"/>
  <c r="C19" i="9"/>
  <c r="B19" i="9"/>
  <c r="C18" i="9"/>
  <c r="B18" i="9"/>
  <c r="C17" i="9"/>
  <c r="B17" i="9"/>
  <c r="C16" i="9"/>
  <c r="B16" i="9"/>
  <c r="Z25" i="7" l="1"/>
  <c r="AA25" i="7" s="1"/>
  <c r="Z24" i="7"/>
  <c r="AA24" i="7" s="1"/>
  <c r="AA14" i="7"/>
  <c r="AA11" i="7"/>
  <c r="AA15" i="7"/>
  <c r="D21" i="2"/>
  <c r="L21" i="2"/>
  <c r="D21" i="11"/>
  <c r="C21" i="5"/>
  <c r="G21" i="5"/>
  <c r="K21" i="5"/>
  <c r="O21" i="5"/>
  <c r="S21" i="5"/>
  <c r="W21" i="5"/>
  <c r="D21" i="12"/>
  <c r="H21" i="12"/>
  <c r="L21" i="12"/>
  <c r="H21" i="2"/>
  <c r="R21" i="5"/>
  <c r="L21" i="11"/>
  <c r="D21" i="5"/>
  <c r="H21" i="5"/>
  <c r="L21" i="5"/>
  <c r="D21" i="10"/>
  <c r="H21" i="10"/>
  <c r="L21" i="10"/>
  <c r="D21" i="13"/>
  <c r="H21" i="13"/>
  <c r="L21" i="13"/>
  <c r="T21" i="13"/>
  <c r="H21" i="11"/>
  <c r="D21" i="3"/>
  <c r="D21" i="1"/>
  <c r="H21" i="1"/>
  <c r="L21" i="1"/>
  <c r="Z21" i="7"/>
  <c r="AA21" i="7" s="1"/>
  <c r="Z23" i="7"/>
  <c r="AA23" i="7" s="1"/>
  <c r="Z19" i="7"/>
  <c r="AA19" i="7" s="1"/>
  <c r="Z20" i="7"/>
  <c r="AA20" i="7" s="1"/>
  <c r="Z18" i="7"/>
  <c r="AA18" i="7" s="1"/>
  <c r="Z16" i="7"/>
  <c r="AA16" i="7" s="1"/>
  <c r="Z17" i="7"/>
  <c r="AA17" i="7" s="1"/>
  <c r="Z21" i="8"/>
  <c r="H21" i="3"/>
  <c r="L21" i="3"/>
  <c r="Z18" i="10"/>
  <c r="Z19" i="5"/>
  <c r="Z20" i="10"/>
  <c r="Z18" i="8"/>
  <c r="Z16" i="10"/>
  <c r="Z23" i="8"/>
  <c r="Z17" i="10"/>
  <c r="Z19" i="10"/>
  <c r="Z17" i="3"/>
  <c r="Z23" i="10"/>
  <c r="Z16" i="8"/>
  <c r="Z19" i="8"/>
  <c r="Z20" i="8"/>
  <c r="Z17" i="8"/>
  <c r="Z16" i="5"/>
  <c r="Z20" i="5"/>
  <c r="Z17" i="5"/>
  <c r="Z23" i="5"/>
  <c r="Z18" i="5"/>
  <c r="Z23" i="3"/>
  <c r="Z19" i="3"/>
  <c r="Z16" i="3"/>
  <c r="Z18" i="3"/>
  <c r="Z21" i="5" l="1"/>
  <c r="Z21" i="10"/>
  <c r="E16" i="9" l="1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E20" i="9"/>
  <c r="F20" i="9"/>
  <c r="G20" i="9"/>
  <c r="H20" i="9"/>
  <c r="H21" i="9" s="1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D17" i="9"/>
  <c r="D16" i="9"/>
  <c r="D23" i="9"/>
  <c r="D20" i="9"/>
  <c r="D19" i="9"/>
  <c r="D18" i="9"/>
  <c r="D21" i="9" l="1"/>
  <c r="Y21" i="9"/>
  <c r="U21" i="9"/>
  <c r="Q21" i="9"/>
  <c r="M21" i="9"/>
  <c r="I21" i="9"/>
  <c r="E21" i="9"/>
  <c r="T21" i="9"/>
  <c r="P21" i="9"/>
  <c r="L21" i="9"/>
  <c r="X21" i="9"/>
  <c r="W21" i="9"/>
  <c r="S21" i="9"/>
  <c r="O21" i="9"/>
  <c r="K21" i="9"/>
  <c r="G21" i="9"/>
  <c r="Z21" i="9"/>
  <c r="V21" i="9"/>
  <c r="R21" i="9"/>
  <c r="N21" i="9"/>
  <c r="J21" i="9"/>
  <c r="F21" i="9"/>
</calcChain>
</file>

<file path=xl/sharedStrings.xml><?xml version="1.0" encoding="utf-8"?>
<sst xmlns="http://schemas.openxmlformats.org/spreadsheetml/2006/main" count="880" uniqueCount="101">
  <si>
    <t>Totalt</t>
  </si>
  <si>
    <t>Stockholm</t>
  </si>
  <si>
    <t>Uppsala</t>
  </si>
  <si>
    <t>Linköping</t>
  </si>
  <si>
    <t>Norrköping</t>
  </si>
  <si>
    <t>Jönköping</t>
  </si>
  <si>
    <t>Malmö</t>
  </si>
  <si>
    <t>Lund</t>
  </si>
  <si>
    <t>Helsingborg</t>
  </si>
  <si>
    <t>Göteborg</t>
  </si>
  <si>
    <t>Örebro</t>
  </si>
  <si>
    <t>Västerås</t>
  </si>
  <si>
    <t>Umeå</t>
  </si>
  <si>
    <t>Fyra stora</t>
  </si>
  <si>
    <t>Fem till tolv</t>
  </si>
  <si>
    <t>Lkpg-Nkpg</t>
  </si>
  <si>
    <t>Tolv största</t>
  </si>
  <si>
    <t>Tre största</t>
  </si>
  <si>
    <t>Riket</t>
  </si>
  <si>
    <t>Folkmängd</t>
  </si>
  <si>
    <t>Sex till tolv minus tio</t>
  </si>
  <si>
    <t>Östergötlands län</t>
  </si>
  <si>
    <t>BRP per capita (tkr)</t>
  </si>
  <si>
    <t>Folkmängd 0+ år, antal</t>
  </si>
  <si>
    <t>Folkmängd 30-59 år, antal</t>
  </si>
  <si>
    <t>Sysselsättning 15-74 år, antal</t>
  </si>
  <si>
    <t>KIBS 15-74 år, antal</t>
  </si>
  <si>
    <t>Lång eftergymnasial utb 20-64 år, andel</t>
  </si>
  <si>
    <t>Inflyttning annat län, antal</t>
  </si>
  <si>
    <t>Nettoinkomst 20-64 år, median (tkr)</t>
  </si>
  <si>
    <t>Lång eftergymnasial utb 20-64 år, antal</t>
  </si>
  <si>
    <t>Inpendling över kommungräns 15-74 år, antal</t>
  </si>
  <si>
    <t>Inflyttning annat län 30-59 år, antal</t>
  </si>
  <si>
    <t>Folkmängd 0-19 år, antal</t>
  </si>
  <si>
    <t>Sex till tolv</t>
  </si>
  <si>
    <t>Länet exkl Linköping</t>
  </si>
  <si>
    <t>Länet exkl Norrköping</t>
  </si>
  <si>
    <t>Kommun</t>
  </si>
  <si>
    <t>Standardvikt_sysselsättning</t>
  </si>
  <si>
    <t>Standardvikt_befolkning</t>
  </si>
  <si>
    <t>Standardvikt_kombination</t>
  </si>
  <si>
    <t>Klartext</t>
  </si>
  <si>
    <t>Indikator</t>
  </si>
  <si>
    <t>Lång_eftergymnasial_procent</t>
  </si>
  <si>
    <t>Inflyttning_annat_län</t>
  </si>
  <si>
    <t>Inflyttning_annat_län_30-59</t>
  </si>
  <si>
    <t>BRP</t>
  </si>
  <si>
    <t>KIBS</t>
  </si>
  <si>
    <t>Inpendling</t>
  </si>
  <si>
    <t>Vuxen_bef</t>
  </si>
  <si>
    <t>Ung_bef</t>
  </si>
  <si>
    <t>Sysselsatta</t>
  </si>
  <si>
    <t>Lång_eftergymnasial_antal</t>
  </si>
  <si>
    <t>..</t>
  </si>
  <si>
    <t>Nettoinkomst_median</t>
  </si>
  <si>
    <t>Sysselsättning 15-74 år, förändring per år (%)</t>
  </si>
  <si>
    <t>Sysselsättningsgrad (%), 20-64 år</t>
  </si>
  <si>
    <t>Balanserad sysselsättningsgrad mellan könen (%) [inverterad]</t>
  </si>
  <si>
    <t>KIBS 15-74 år, andel av sysselsatta (%)</t>
  </si>
  <si>
    <t>Inpendling över kommungräns 15-74 år, andel av dagbef (%)</t>
  </si>
  <si>
    <t>Förvärvsinkomst 20-64 år, median (tkr)</t>
  </si>
  <si>
    <t>Befolkning i åldern 30-59 år, andel av hela bef (%)</t>
  </si>
  <si>
    <t>Arbetslöshet 16-65 år (% av arbetskraften) [inverterat]</t>
  </si>
  <si>
    <t>Långtidsarbetslöshet 16-65 år (% av arbetskraften) [inverterat]</t>
  </si>
  <si>
    <t>Standardvikt_relativ_styrka</t>
  </si>
  <si>
    <t>Sysselsättningsgrad</t>
  </si>
  <si>
    <t>KIBS (beräkning Sysselsatta)</t>
  </si>
  <si>
    <t>Sysselsatta (beräknad förändring)</t>
  </si>
  <si>
    <t>Förvärvsinkomst_median</t>
  </si>
  <si>
    <t>Vuxen_bef (Beräkning Folkmängd)</t>
  </si>
  <si>
    <t>Arbetslöshet</t>
  </si>
  <si>
    <t>Långtidsarbetslöshet</t>
  </si>
  <si>
    <t>Polaritet</t>
  </si>
  <si>
    <t>Hög</t>
  </si>
  <si>
    <t>Låg</t>
  </si>
  <si>
    <t>Nyföretagande</t>
  </si>
  <si>
    <t>Utpendling</t>
  </si>
  <si>
    <t>Utflyttning_annat_län</t>
  </si>
  <si>
    <t>Utflyttning_annat_län_30-59</t>
  </si>
  <si>
    <t>Utflyttning annat län, antal</t>
  </si>
  <si>
    <t>Utflyttning annat län 30-59 år, antal</t>
  </si>
  <si>
    <t>Bostadsbyggande</t>
  </si>
  <si>
    <t>Syssgrad_kvinnor-män</t>
  </si>
  <si>
    <t>Inpendling (beräkning Sysselsatta)</t>
  </si>
  <si>
    <t>Nyföretagande per 1000 invånare</t>
  </si>
  <si>
    <t>Bostadsbyggande per 1000 invånare</t>
  </si>
  <si>
    <t>X</t>
  </si>
  <si>
    <t>Nettopendling (Beräknad Inpendling-Utpendling)</t>
  </si>
  <si>
    <t>Nettoflyttning (Beräknad Inpendling-Utpendling)</t>
  </si>
  <si>
    <t>Nettopendling, antal</t>
  </si>
  <si>
    <t>Nettoflyttning, antal</t>
  </si>
  <si>
    <t>Nettoflyttning 30-59 år, antal</t>
  </si>
  <si>
    <t>Nettoflyttning_30-59 (Beräknad Inpendling 30-59-Utpendling 30-59)</t>
  </si>
  <si>
    <t>x</t>
  </si>
  <si>
    <t>Beskrivning</t>
  </si>
  <si>
    <t>Bostäder</t>
  </si>
  <si>
    <t>Bostadspriser</t>
  </si>
  <si>
    <t>Utpendling över kommungräns 15-74 år, antal</t>
  </si>
  <si>
    <t>Nettoinkomst, summerad</t>
  </si>
  <si>
    <t>Nettoinkomst_belopp_summa</t>
  </si>
  <si>
    <t>Tolv största minus 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</si>
</sst>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0" fillId="2" borderId="0" xfId="0" applyNumberFormat="1" applyFill="1"/>
    <xf numFmtId="1" fontId="0" fillId="0" borderId="0" xfId="0" applyNumberFormat="1"/>
    <xf numFmtId="1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  <xf numFmtId="2" fontId="0" fillId="0" borderId="0" xfId="0" applyNumberFormat="1"/>
    <xf numFmtId="165" fontId="3" fillId="0" borderId="0" xfId="0" applyNumberFormat="1" applyFont="1"/>
    <xf numFmtId="3" fontId="3" fillId="0" borderId="0" xfId="0" applyNumberFormat="1" applyFont="1"/>
    <xf numFmtId="2" fontId="0" fillId="0" borderId="0" xfId="0" applyNumberFormat="1" applyAlignment="1">
      <alignment horizontal="right"/>
    </xf>
    <xf numFmtId="165" fontId="0" fillId="2" borderId="0" xfId="0" applyNumberFormat="1" applyFill="1"/>
    <xf numFmtId="2" fontId="1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753A-071B-4FF3-AB92-F9201D9458F6}">
  <dimension ref="A1:AA25"/>
  <sheetViews>
    <sheetView tabSelected="1" workbookViewId="0">
      <selection activeCell="U4" sqref="U4"/>
    </sheetView>
  </sheetViews>
  <sheetFormatPr defaultRowHeight="15" x14ac:dyDescent="0.25"/>
  <cols>
    <col min="1" max="1" width="20.5703125" customWidth="1"/>
    <col min="2" max="27" width="10.85546875" customWidth="1"/>
  </cols>
  <sheetData>
    <row r="1" spans="1:27" s="2" customFormat="1" x14ac:dyDescent="0.25">
      <c r="A1" s="2" t="s">
        <v>37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</row>
    <row r="2" spans="1:27" x14ac:dyDescent="0.25">
      <c r="A2" t="s">
        <v>1</v>
      </c>
      <c r="B2" s="1">
        <v>750348</v>
      </c>
      <c r="C2" s="1">
        <v>754948</v>
      </c>
      <c r="D2" s="1">
        <v>758148</v>
      </c>
      <c r="E2" s="1">
        <v>761721</v>
      </c>
      <c r="F2" s="1">
        <v>765044</v>
      </c>
      <c r="G2" s="1">
        <v>771038</v>
      </c>
      <c r="H2" s="1">
        <v>782885</v>
      </c>
      <c r="I2" s="1">
        <v>795163</v>
      </c>
      <c r="J2" s="1">
        <v>810120</v>
      </c>
      <c r="K2" s="1">
        <v>829417</v>
      </c>
      <c r="L2" s="1">
        <v>847073</v>
      </c>
      <c r="M2" s="1">
        <v>864324</v>
      </c>
      <c r="N2" s="1">
        <v>881235</v>
      </c>
      <c r="O2" s="1">
        <v>897700</v>
      </c>
      <c r="P2" s="1">
        <v>911989</v>
      </c>
      <c r="Q2" s="1">
        <v>923516</v>
      </c>
      <c r="R2" s="1">
        <v>935619</v>
      </c>
      <c r="S2" s="1">
        <v>949761</v>
      </c>
      <c r="T2" s="1">
        <v>962154</v>
      </c>
      <c r="U2" s="1">
        <v>974073</v>
      </c>
      <c r="V2" s="1">
        <v>975551</v>
      </c>
      <c r="W2" s="1">
        <v>978770</v>
      </c>
      <c r="X2" s="1">
        <v>984748</v>
      </c>
      <c r="Y2" s="1">
        <v>988943</v>
      </c>
      <c r="Z2" s="1">
        <v>995574</v>
      </c>
    </row>
    <row r="3" spans="1:27" x14ac:dyDescent="0.25">
      <c r="A3" t="s">
        <v>2</v>
      </c>
      <c r="B3" s="1">
        <v>189569</v>
      </c>
      <c r="C3" s="1">
        <v>191110</v>
      </c>
      <c r="D3" s="1">
        <v>179673</v>
      </c>
      <c r="E3" s="1">
        <v>180669</v>
      </c>
      <c r="F3" s="1">
        <v>182076</v>
      </c>
      <c r="G3" s="1">
        <v>183308</v>
      </c>
      <c r="H3" s="1">
        <v>185187</v>
      </c>
      <c r="I3" s="1">
        <v>187541</v>
      </c>
      <c r="J3" s="1">
        <v>190668</v>
      </c>
      <c r="K3" s="1">
        <v>194751</v>
      </c>
      <c r="L3" s="1">
        <v>197787</v>
      </c>
      <c r="M3" s="1">
        <v>200001</v>
      </c>
      <c r="N3" s="1">
        <v>202625</v>
      </c>
      <c r="O3" s="1">
        <v>205199</v>
      </c>
      <c r="P3" s="1">
        <v>207362</v>
      </c>
      <c r="Q3" s="1">
        <v>210126</v>
      </c>
      <c r="R3" s="1">
        <v>214559</v>
      </c>
      <c r="S3" s="1">
        <v>219914</v>
      </c>
      <c r="T3" s="1">
        <v>225164</v>
      </c>
      <c r="U3" s="1">
        <v>230767</v>
      </c>
      <c r="V3" s="1">
        <v>233839</v>
      </c>
      <c r="W3" s="1">
        <v>237596</v>
      </c>
      <c r="X3" s="1">
        <v>242140</v>
      </c>
      <c r="Y3" s="1">
        <v>245329</v>
      </c>
      <c r="Z3" s="1">
        <v>248016</v>
      </c>
    </row>
    <row r="4" spans="1:27" x14ac:dyDescent="0.25">
      <c r="A4" t="s">
        <v>3</v>
      </c>
      <c r="B4" s="1">
        <v>133168</v>
      </c>
      <c r="C4" s="1">
        <v>134039</v>
      </c>
      <c r="D4" s="1">
        <v>135066</v>
      </c>
      <c r="E4" s="1">
        <v>136231</v>
      </c>
      <c r="F4" s="1">
        <v>136912</v>
      </c>
      <c r="G4" s="1">
        <v>137636</v>
      </c>
      <c r="H4" s="1">
        <v>138580</v>
      </c>
      <c r="I4" s="1">
        <v>140367</v>
      </c>
      <c r="J4" s="1">
        <v>141863</v>
      </c>
      <c r="K4" s="1">
        <v>144690</v>
      </c>
      <c r="L4" s="1">
        <v>146416</v>
      </c>
      <c r="M4" s="1">
        <v>147334</v>
      </c>
      <c r="N4" s="1">
        <v>148521</v>
      </c>
      <c r="O4" s="1">
        <v>150202</v>
      </c>
      <c r="P4" s="1">
        <v>151881</v>
      </c>
      <c r="Q4" s="1">
        <v>152966</v>
      </c>
      <c r="R4" s="1">
        <v>155817</v>
      </c>
      <c r="S4" s="1">
        <v>158520</v>
      </c>
      <c r="T4" s="1">
        <v>161034</v>
      </c>
      <c r="U4" s="1">
        <v>163051</v>
      </c>
      <c r="V4" s="1">
        <v>164616</v>
      </c>
      <c r="W4" s="1">
        <v>165527</v>
      </c>
      <c r="X4" s="1">
        <v>166673</v>
      </c>
      <c r="Y4" s="1">
        <v>167404</v>
      </c>
      <c r="Z4" s="1">
        <v>168035</v>
      </c>
    </row>
    <row r="5" spans="1:27" x14ac:dyDescent="0.25">
      <c r="A5" t="s">
        <v>4</v>
      </c>
      <c r="B5" s="1">
        <v>122199</v>
      </c>
      <c r="C5" s="1">
        <v>122896</v>
      </c>
      <c r="D5" s="1">
        <v>123303</v>
      </c>
      <c r="E5" s="1">
        <v>123971</v>
      </c>
      <c r="F5" s="1">
        <v>124410</v>
      </c>
      <c r="G5" s="1">
        <v>124642</v>
      </c>
      <c r="H5" s="1">
        <v>125463</v>
      </c>
      <c r="I5" s="1">
        <v>126680</v>
      </c>
      <c r="J5" s="1">
        <v>128060</v>
      </c>
      <c r="K5" s="1">
        <v>129254</v>
      </c>
      <c r="L5" s="1">
        <v>130050</v>
      </c>
      <c r="M5" s="1">
        <v>130623</v>
      </c>
      <c r="N5" s="1">
        <v>132124</v>
      </c>
      <c r="O5" s="1">
        <v>133749</v>
      </c>
      <c r="P5" s="1">
        <v>135283</v>
      </c>
      <c r="Q5" s="1">
        <v>137035</v>
      </c>
      <c r="R5" s="1">
        <v>139363</v>
      </c>
      <c r="S5" s="1">
        <v>140927</v>
      </c>
      <c r="T5" s="1">
        <v>141676</v>
      </c>
      <c r="U5" s="1">
        <v>143171</v>
      </c>
      <c r="V5" s="1">
        <v>143478</v>
      </c>
      <c r="W5" s="1">
        <v>144458</v>
      </c>
      <c r="X5" s="1">
        <v>145120</v>
      </c>
      <c r="Y5" s="1">
        <v>145163</v>
      </c>
      <c r="Z5" s="1">
        <v>144980</v>
      </c>
    </row>
    <row r="6" spans="1:27" x14ac:dyDescent="0.25">
      <c r="A6" t="s">
        <v>5</v>
      </c>
      <c r="B6" s="1">
        <v>117095</v>
      </c>
      <c r="C6" s="1">
        <v>117896</v>
      </c>
      <c r="D6" s="1">
        <v>118581</v>
      </c>
      <c r="E6" s="1">
        <v>119340</v>
      </c>
      <c r="F6" s="1">
        <v>119927</v>
      </c>
      <c r="G6" s="1">
        <v>120965</v>
      </c>
      <c r="H6" s="1">
        <v>122194</v>
      </c>
      <c r="I6" s="1">
        <v>123709</v>
      </c>
      <c r="J6" s="1">
        <v>125154</v>
      </c>
      <c r="K6" s="1">
        <v>126331</v>
      </c>
      <c r="L6" s="1">
        <v>127382</v>
      </c>
      <c r="M6" s="1">
        <v>128305</v>
      </c>
      <c r="N6" s="1">
        <v>129478</v>
      </c>
      <c r="O6" s="1">
        <v>130798</v>
      </c>
      <c r="P6" s="1">
        <v>132140</v>
      </c>
      <c r="Q6" s="1">
        <v>133310</v>
      </c>
      <c r="R6" s="1">
        <v>135297</v>
      </c>
      <c r="S6" s="1">
        <v>137481</v>
      </c>
      <c r="T6" s="1">
        <v>139222</v>
      </c>
      <c r="U6" s="1">
        <v>141081</v>
      </c>
      <c r="V6" s="1">
        <v>142427</v>
      </c>
      <c r="W6" s="1">
        <v>143579</v>
      </c>
      <c r="X6" s="1">
        <v>145114</v>
      </c>
      <c r="Y6" s="1">
        <v>146161</v>
      </c>
      <c r="Z6" s="1">
        <v>147654</v>
      </c>
    </row>
    <row r="7" spans="1:27" x14ac:dyDescent="0.25">
      <c r="A7" t="s">
        <v>6</v>
      </c>
      <c r="B7" s="1">
        <v>259579</v>
      </c>
      <c r="C7" s="1">
        <v>262397</v>
      </c>
      <c r="D7" s="1">
        <v>265481</v>
      </c>
      <c r="E7" s="1">
        <v>267171</v>
      </c>
      <c r="F7" s="1">
        <v>269142</v>
      </c>
      <c r="G7" s="1">
        <v>271271</v>
      </c>
      <c r="H7" s="1">
        <v>276244</v>
      </c>
      <c r="I7" s="1">
        <v>280801</v>
      </c>
      <c r="J7" s="1">
        <v>286535</v>
      </c>
      <c r="K7" s="1">
        <v>293909</v>
      </c>
      <c r="L7" s="1">
        <v>298963</v>
      </c>
      <c r="M7" s="1">
        <v>302835</v>
      </c>
      <c r="N7" s="1">
        <v>307758</v>
      </c>
      <c r="O7" s="1">
        <v>312994</v>
      </c>
      <c r="P7" s="1">
        <v>318107</v>
      </c>
      <c r="Q7" s="1">
        <v>322574</v>
      </c>
      <c r="R7" s="1">
        <v>328494</v>
      </c>
      <c r="S7" s="1">
        <v>333633</v>
      </c>
      <c r="T7" s="1">
        <v>339313</v>
      </c>
      <c r="U7" s="1">
        <v>344166</v>
      </c>
      <c r="V7" s="1">
        <v>347949</v>
      </c>
      <c r="W7" s="1">
        <v>351749</v>
      </c>
      <c r="X7" s="1">
        <v>357377</v>
      </c>
      <c r="Y7" s="1">
        <v>362133</v>
      </c>
      <c r="Z7" s="1">
        <v>365644</v>
      </c>
    </row>
    <row r="8" spans="1:27" x14ac:dyDescent="0.25">
      <c r="A8" t="s">
        <v>7</v>
      </c>
      <c r="B8" s="1">
        <v>98948</v>
      </c>
      <c r="C8" s="1">
        <v>99622</v>
      </c>
      <c r="D8" s="1">
        <v>100402</v>
      </c>
      <c r="E8" s="1">
        <v>100995</v>
      </c>
      <c r="F8" s="1">
        <v>101423</v>
      </c>
      <c r="G8" s="1">
        <v>102257</v>
      </c>
      <c r="H8" s="1">
        <v>103286</v>
      </c>
      <c r="I8" s="1">
        <v>105286</v>
      </c>
      <c r="J8" s="1">
        <v>107351</v>
      </c>
      <c r="K8" s="1">
        <v>109147</v>
      </c>
      <c r="L8" s="1">
        <v>110488</v>
      </c>
      <c r="M8" s="1">
        <v>111666</v>
      </c>
      <c r="N8" s="1">
        <v>112950</v>
      </c>
      <c r="O8" s="1">
        <v>114291</v>
      </c>
      <c r="P8" s="1">
        <v>115968</v>
      </c>
      <c r="Q8" s="1">
        <v>116834</v>
      </c>
      <c r="R8" s="1">
        <v>118542</v>
      </c>
      <c r="S8" s="1">
        <v>121274</v>
      </c>
      <c r="T8" s="1">
        <v>122948</v>
      </c>
      <c r="U8" s="1">
        <v>124935</v>
      </c>
      <c r="V8" s="1">
        <v>125941</v>
      </c>
      <c r="W8" s="1">
        <v>127376</v>
      </c>
      <c r="X8" s="1">
        <v>128384</v>
      </c>
      <c r="Y8" s="1">
        <v>130288</v>
      </c>
      <c r="Z8" s="1">
        <v>131590</v>
      </c>
    </row>
    <row r="9" spans="1:27" x14ac:dyDescent="0.25">
      <c r="A9" t="s">
        <v>8</v>
      </c>
      <c r="B9" s="1">
        <v>117737</v>
      </c>
      <c r="C9" s="1">
        <v>118512</v>
      </c>
      <c r="D9" s="1">
        <v>119406</v>
      </c>
      <c r="E9" s="1">
        <v>120154</v>
      </c>
      <c r="F9" s="1">
        <v>121179</v>
      </c>
      <c r="G9" s="1">
        <v>122062</v>
      </c>
      <c r="H9" s="1">
        <v>123389</v>
      </c>
      <c r="I9" s="1">
        <v>124986</v>
      </c>
      <c r="J9" s="1">
        <v>126754</v>
      </c>
      <c r="K9" s="1">
        <v>128359</v>
      </c>
      <c r="L9" s="1">
        <v>129177</v>
      </c>
      <c r="M9" s="1">
        <v>130626</v>
      </c>
      <c r="N9" s="1">
        <v>132011</v>
      </c>
      <c r="O9" s="1">
        <v>132989</v>
      </c>
      <c r="P9" s="1">
        <v>135344</v>
      </c>
      <c r="Q9" s="1">
        <v>137909</v>
      </c>
      <c r="R9" s="1">
        <v>140547</v>
      </c>
      <c r="S9" s="1">
        <v>143304</v>
      </c>
      <c r="T9" s="1">
        <v>145415</v>
      </c>
      <c r="U9" s="1">
        <v>147734</v>
      </c>
      <c r="V9" s="1">
        <v>149280</v>
      </c>
      <c r="W9" s="1">
        <v>150109</v>
      </c>
      <c r="X9" s="1">
        <v>150975</v>
      </c>
      <c r="Y9" s="1">
        <v>151306</v>
      </c>
      <c r="Z9" s="1">
        <v>152091</v>
      </c>
    </row>
    <row r="10" spans="1:27" x14ac:dyDescent="0.25">
      <c r="A10" t="s">
        <v>9</v>
      </c>
      <c r="B10" s="1">
        <v>466990</v>
      </c>
      <c r="C10" s="1">
        <v>471267</v>
      </c>
      <c r="D10" s="1">
        <v>474921</v>
      </c>
      <c r="E10" s="1">
        <v>478055</v>
      </c>
      <c r="F10" s="1">
        <v>481410</v>
      </c>
      <c r="G10" s="1">
        <v>484942</v>
      </c>
      <c r="H10" s="1">
        <v>489757</v>
      </c>
      <c r="I10" s="1">
        <v>493502</v>
      </c>
      <c r="J10" s="1">
        <v>500197</v>
      </c>
      <c r="K10" s="1">
        <v>507330</v>
      </c>
      <c r="L10" s="1">
        <v>513751</v>
      </c>
      <c r="M10" s="1">
        <v>520374</v>
      </c>
      <c r="N10" s="1">
        <v>526089</v>
      </c>
      <c r="O10" s="1">
        <v>533271</v>
      </c>
      <c r="P10" s="1">
        <v>541145</v>
      </c>
      <c r="Q10" s="1">
        <v>548190</v>
      </c>
      <c r="R10" s="1">
        <v>556640</v>
      </c>
      <c r="S10" s="1">
        <v>564039</v>
      </c>
      <c r="T10" s="1">
        <v>571868</v>
      </c>
      <c r="U10" s="1">
        <v>579281</v>
      </c>
      <c r="V10" s="1">
        <v>583056</v>
      </c>
      <c r="W10" s="1">
        <v>587549</v>
      </c>
      <c r="X10" s="1">
        <v>596841</v>
      </c>
      <c r="Y10" s="1">
        <v>604616</v>
      </c>
      <c r="Z10" s="1">
        <v>608993</v>
      </c>
    </row>
    <row r="11" spans="1:27" x14ac:dyDescent="0.25">
      <c r="A11" t="s">
        <v>10</v>
      </c>
      <c r="B11" s="1">
        <v>124207</v>
      </c>
      <c r="C11" s="1">
        <v>124873</v>
      </c>
      <c r="D11" s="1">
        <v>125520</v>
      </c>
      <c r="E11" s="1">
        <v>126288</v>
      </c>
      <c r="F11" s="1">
        <v>126982</v>
      </c>
      <c r="G11" s="1">
        <v>127733</v>
      </c>
      <c r="H11" s="1">
        <v>128977</v>
      </c>
      <c r="I11" s="1">
        <v>130429</v>
      </c>
      <c r="J11" s="1">
        <v>132277</v>
      </c>
      <c r="K11" s="1">
        <v>134006</v>
      </c>
      <c r="L11" s="1">
        <v>135460</v>
      </c>
      <c r="M11" s="1">
        <v>137121</v>
      </c>
      <c r="N11" s="1">
        <v>138952</v>
      </c>
      <c r="O11" s="1">
        <v>140599</v>
      </c>
      <c r="P11" s="1">
        <v>142618</v>
      </c>
      <c r="Q11" s="1">
        <v>144200</v>
      </c>
      <c r="R11" s="1">
        <v>146631</v>
      </c>
      <c r="S11" s="1">
        <v>150291</v>
      </c>
      <c r="T11" s="1">
        <v>153367</v>
      </c>
      <c r="U11" s="1">
        <v>155696</v>
      </c>
      <c r="V11" s="1">
        <v>156381</v>
      </c>
      <c r="W11" s="1">
        <v>156987</v>
      </c>
      <c r="X11" s="1">
        <v>158057</v>
      </c>
      <c r="Y11" s="1">
        <v>159348</v>
      </c>
      <c r="Z11" s="1">
        <v>160140</v>
      </c>
    </row>
    <row r="12" spans="1:27" x14ac:dyDescent="0.25">
      <c r="A12" t="s">
        <v>11</v>
      </c>
      <c r="B12" s="1">
        <v>126328</v>
      </c>
      <c r="C12" s="1">
        <v>127799</v>
      </c>
      <c r="D12" s="1">
        <v>128902</v>
      </c>
      <c r="E12" s="1">
        <v>129987</v>
      </c>
      <c r="F12" s="1">
        <v>131014</v>
      </c>
      <c r="G12" s="1">
        <v>131934</v>
      </c>
      <c r="H12" s="1">
        <v>132920</v>
      </c>
      <c r="I12" s="1">
        <v>133728</v>
      </c>
      <c r="J12" s="1">
        <v>134684</v>
      </c>
      <c r="K12" s="1">
        <v>135936</v>
      </c>
      <c r="L12" s="1">
        <v>137207</v>
      </c>
      <c r="M12" s="1">
        <v>138709</v>
      </c>
      <c r="N12" s="1">
        <v>140499</v>
      </c>
      <c r="O12" s="1">
        <v>142131</v>
      </c>
      <c r="P12" s="1">
        <v>143702</v>
      </c>
      <c r="Q12" s="1">
        <v>145218</v>
      </c>
      <c r="R12" s="1">
        <v>147420</v>
      </c>
      <c r="S12" s="1">
        <v>150134</v>
      </c>
      <c r="T12" s="1">
        <v>152078</v>
      </c>
      <c r="U12" s="1">
        <v>154049</v>
      </c>
      <c r="V12" s="1">
        <v>155551</v>
      </c>
      <c r="W12" s="1">
        <v>156838</v>
      </c>
      <c r="X12" s="1">
        <v>158653</v>
      </c>
      <c r="Y12" s="1">
        <v>159662</v>
      </c>
      <c r="Z12" s="1">
        <v>160634</v>
      </c>
    </row>
    <row r="13" spans="1:27" x14ac:dyDescent="0.25">
      <c r="A13" t="s">
        <v>12</v>
      </c>
      <c r="B13" s="1">
        <v>104512</v>
      </c>
      <c r="C13" s="1">
        <v>105006</v>
      </c>
      <c r="D13" s="1">
        <v>106525</v>
      </c>
      <c r="E13" s="1">
        <v>107917</v>
      </c>
      <c r="F13" s="1">
        <v>109390</v>
      </c>
      <c r="G13" s="1">
        <v>110758</v>
      </c>
      <c r="H13" s="1">
        <v>111235</v>
      </c>
      <c r="I13" s="1">
        <v>111771</v>
      </c>
      <c r="J13" s="1">
        <v>112728</v>
      </c>
      <c r="K13" s="1">
        <v>114075</v>
      </c>
      <c r="L13" s="1">
        <v>115473</v>
      </c>
      <c r="M13" s="1">
        <v>116465</v>
      </c>
      <c r="N13" s="1">
        <v>117294</v>
      </c>
      <c r="O13" s="1">
        <v>118349</v>
      </c>
      <c r="P13" s="1">
        <v>119613</v>
      </c>
      <c r="Q13" s="1">
        <v>120777</v>
      </c>
      <c r="R13" s="1">
        <v>122892</v>
      </c>
      <c r="S13" s="1">
        <v>125080</v>
      </c>
      <c r="T13" s="1">
        <v>127119</v>
      </c>
      <c r="U13" s="1">
        <v>128901</v>
      </c>
      <c r="V13" s="1">
        <v>130224</v>
      </c>
      <c r="W13" s="1">
        <v>130997</v>
      </c>
      <c r="X13" s="1">
        <v>132235</v>
      </c>
      <c r="Y13" s="1">
        <v>133091</v>
      </c>
      <c r="Z13" s="1">
        <v>134249</v>
      </c>
    </row>
    <row r="14" spans="1:27" x14ac:dyDescent="0.25">
      <c r="A14" t="s">
        <v>21</v>
      </c>
      <c r="B14" s="1">
        <v>411345</v>
      </c>
      <c r="C14" s="1">
        <v>412363</v>
      </c>
      <c r="D14" s="1">
        <v>413438</v>
      </c>
      <c r="E14" s="1">
        <v>414897</v>
      </c>
      <c r="F14" s="1">
        <v>415990</v>
      </c>
      <c r="G14" s="1">
        <v>416303</v>
      </c>
      <c r="H14" s="1">
        <v>417966</v>
      </c>
      <c r="I14" s="1">
        <v>420809</v>
      </c>
      <c r="J14" s="1">
        <v>423169</v>
      </c>
      <c r="K14" s="1">
        <v>427106</v>
      </c>
      <c r="L14" s="1">
        <v>429642</v>
      </c>
      <c r="M14" s="1">
        <v>431075</v>
      </c>
      <c r="N14" s="1">
        <v>433784</v>
      </c>
      <c r="O14" s="1">
        <v>437848</v>
      </c>
      <c r="P14" s="1">
        <v>442105</v>
      </c>
      <c r="Q14" s="1">
        <v>445661</v>
      </c>
      <c r="R14" s="1">
        <v>452105</v>
      </c>
      <c r="S14" s="1">
        <v>457496</v>
      </c>
      <c r="T14" s="1">
        <v>461583</v>
      </c>
      <c r="U14" s="1">
        <v>465495</v>
      </c>
      <c r="V14" s="1">
        <v>467158</v>
      </c>
      <c r="W14" s="1">
        <v>469704</v>
      </c>
      <c r="X14" s="1">
        <v>471912</v>
      </c>
      <c r="Y14" s="1">
        <v>472298</v>
      </c>
      <c r="Z14" s="1">
        <v>472446</v>
      </c>
    </row>
    <row r="15" spans="1:27" s="3" customFormat="1" x14ac:dyDescent="0.25">
      <c r="A15" t="s">
        <v>18</v>
      </c>
      <c r="B15" s="1">
        <v>8882792</v>
      </c>
      <c r="C15" s="1">
        <v>8909128</v>
      </c>
      <c r="D15" s="1">
        <v>8940788</v>
      </c>
      <c r="E15" s="1">
        <v>8975670</v>
      </c>
      <c r="F15" s="1">
        <v>9011392</v>
      </c>
      <c r="G15" s="1">
        <v>9047752</v>
      </c>
      <c r="H15" s="1">
        <v>9113257</v>
      </c>
      <c r="I15" s="1">
        <v>9182927</v>
      </c>
      <c r="J15" s="1">
        <v>9256347</v>
      </c>
      <c r="K15" s="1">
        <v>9340682</v>
      </c>
      <c r="L15" s="1">
        <v>9415570</v>
      </c>
      <c r="M15" s="1">
        <v>9482855</v>
      </c>
      <c r="N15" s="1">
        <v>9555893</v>
      </c>
      <c r="O15" s="1">
        <v>9644864</v>
      </c>
      <c r="P15" s="1">
        <v>9747355</v>
      </c>
      <c r="Q15" s="1">
        <v>9851017</v>
      </c>
      <c r="R15" s="1">
        <v>9995153</v>
      </c>
      <c r="S15" s="1">
        <v>10120242</v>
      </c>
      <c r="T15" s="1">
        <v>10230185</v>
      </c>
      <c r="U15" s="1">
        <v>10327589</v>
      </c>
      <c r="V15" s="1">
        <v>10379295</v>
      </c>
      <c r="W15" s="1">
        <v>10452326</v>
      </c>
      <c r="X15" s="1">
        <v>10521556</v>
      </c>
      <c r="Y15" s="1">
        <v>10551707</v>
      </c>
      <c r="Z15" s="1">
        <v>10587710</v>
      </c>
    </row>
    <row r="16" spans="1:27" x14ac:dyDescent="0.25">
      <c r="A16" t="s">
        <v>16</v>
      </c>
      <c r="B16" s="22">
        <f t="shared" ref="B16:Z16" si="0">SUM(B2:B13)</f>
        <v>2610680</v>
      </c>
      <c r="C16" s="22">
        <f t="shared" si="0"/>
        <v>2630365</v>
      </c>
      <c r="D16" s="22">
        <f t="shared" si="0"/>
        <v>2635928</v>
      </c>
      <c r="E16" s="22">
        <f t="shared" si="0"/>
        <v>2652499</v>
      </c>
      <c r="F16" s="22">
        <f t="shared" si="0"/>
        <v>2668909</v>
      </c>
      <c r="G16" s="22">
        <f t="shared" si="0"/>
        <v>2688546</v>
      </c>
      <c r="H16" s="22">
        <f t="shared" si="0"/>
        <v>2720117</v>
      </c>
      <c r="I16" s="22">
        <f t="shared" si="0"/>
        <v>2753963</v>
      </c>
      <c r="J16" s="22">
        <f t="shared" si="0"/>
        <v>2796391</v>
      </c>
      <c r="K16" s="22">
        <f t="shared" si="0"/>
        <v>2847205</v>
      </c>
      <c r="L16" s="22">
        <f t="shared" si="0"/>
        <v>2889227</v>
      </c>
      <c r="M16" s="22">
        <f t="shared" si="0"/>
        <v>2928383</v>
      </c>
      <c r="N16" s="22">
        <f t="shared" si="0"/>
        <v>2969536</v>
      </c>
      <c r="O16" s="22">
        <f t="shared" si="0"/>
        <v>3012272</v>
      </c>
      <c r="P16" s="22">
        <f t="shared" si="0"/>
        <v>3055152</v>
      </c>
      <c r="Q16" s="22">
        <f t="shared" si="0"/>
        <v>3092655</v>
      </c>
      <c r="R16" s="22">
        <f t="shared" si="0"/>
        <v>3141821</v>
      </c>
      <c r="S16" s="22">
        <f t="shared" si="0"/>
        <v>3194358</v>
      </c>
      <c r="T16" s="22">
        <f t="shared" si="0"/>
        <v>3241358</v>
      </c>
      <c r="U16" s="22">
        <f t="shared" si="0"/>
        <v>3286905</v>
      </c>
      <c r="V16" s="22">
        <f t="shared" si="0"/>
        <v>3308293</v>
      </c>
      <c r="W16" s="22">
        <f t="shared" si="0"/>
        <v>3331535</v>
      </c>
      <c r="X16" s="22">
        <f t="shared" si="0"/>
        <v>3366317</v>
      </c>
      <c r="Y16" s="22">
        <f t="shared" si="0"/>
        <v>3393444</v>
      </c>
      <c r="Z16" s="22">
        <f t="shared" si="0"/>
        <v>3417600</v>
      </c>
    </row>
    <row r="17" spans="1:26" x14ac:dyDescent="0.25">
      <c r="A17" t="s">
        <v>17</v>
      </c>
      <c r="B17" s="22">
        <f t="shared" ref="B17:Z17" si="1">SUM(B2+B7+B10)</f>
        <v>1476917</v>
      </c>
      <c r="C17" s="22">
        <f t="shared" si="1"/>
        <v>1488612</v>
      </c>
      <c r="D17" s="22">
        <f t="shared" si="1"/>
        <v>1498550</v>
      </c>
      <c r="E17" s="22">
        <f t="shared" si="1"/>
        <v>1506947</v>
      </c>
      <c r="F17" s="22">
        <f t="shared" si="1"/>
        <v>1515596</v>
      </c>
      <c r="G17" s="22">
        <f t="shared" si="1"/>
        <v>1527251</v>
      </c>
      <c r="H17" s="22">
        <f t="shared" si="1"/>
        <v>1548886</v>
      </c>
      <c r="I17" s="22">
        <f t="shared" si="1"/>
        <v>1569466</v>
      </c>
      <c r="J17" s="22">
        <f t="shared" si="1"/>
        <v>1596852</v>
      </c>
      <c r="K17" s="22">
        <f t="shared" si="1"/>
        <v>1630656</v>
      </c>
      <c r="L17" s="22">
        <f t="shared" si="1"/>
        <v>1659787</v>
      </c>
      <c r="M17" s="22">
        <f t="shared" si="1"/>
        <v>1687533</v>
      </c>
      <c r="N17" s="22">
        <f t="shared" si="1"/>
        <v>1715082</v>
      </c>
      <c r="O17" s="22">
        <f t="shared" si="1"/>
        <v>1743965</v>
      </c>
      <c r="P17" s="22">
        <f t="shared" si="1"/>
        <v>1771241</v>
      </c>
      <c r="Q17" s="22">
        <f t="shared" si="1"/>
        <v>1794280</v>
      </c>
      <c r="R17" s="22">
        <f t="shared" si="1"/>
        <v>1820753</v>
      </c>
      <c r="S17" s="22">
        <f t="shared" si="1"/>
        <v>1847433</v>
      </c>
      <c r="T17" s="22">
        <f t="shared" si="1"/>
        <v>1873335</v>
      </c>
      <c r="U17" s="22">
        <f t="shared" si="1"/>
        <v>1897520</v>
      </c>
      <c r="V17" s="22">
        <f t="shared" si="1"/>
        <v>1906556</v>
      </c>
      <c r="W17" s="22">
        <f t="shared" si="1"/>
        <v>1918068</v>
      </c>
      <c r="X17" s="22">
        <f t="shared" si="1"/>
        <v>1938966</v>
      </c>
      <c r="Y17" s="22">
        <f t="shared" si="1"/>
        <v>1955692</v>
      </c>
      <c r="Z17" s="22">
        <f t="shared" si="1"/>
        <v>1970211</v>
      </c>
    </row>
    <row r="18" spans="1:26" x14ac:dyDescent="0.25">
      <c r="A18" t="s">
        <v>13</v>
      </c>
      <c r="B18" s="22">
        <f t="shared" ref="B18:Z18" si="2">SUM(B2+B3+B7+B10)</f>
        <v>1666486</v>
      </c>
      <c r="C18" s="22">
        <f t="shared" si="2"/>
        <v>1679722</v>
      </c>
      <c r="D18" s="22">
        <f t="shared" si="2"/>
        <v>1678223</v>
      </c>
      <c r="E18" s="22">
        <f t="shared" si="2"/>
        <v>1687616</v>
      </c>
      <c r="F18" s="22">
        <f t="shared" si="2"/>
        <v>1697672</v>
      </c>
      <c r="G18" s="22">
        <f t="shared" si="2"/>
        <v>1710559</v>
      </c>
      <c r="H18" s="22">
        <f t="shared" si="2"/>
        <v>1734073</v>
      </c>
      <c r="I18" s="22">
        <f t="shared" si="2"/>
        <v>1757007</v>
      </c>
      <c r="J18" s="22">
        <f t="shared" si="2"/>
        <v>1787520</v>
      </c>
      <c r="K18" s="22">
        <f t="shared" si="2"/>
        <v>1825407</v>
      </c>
      <c r="L18" s="22">
        <f t="shared" si="2"/>
        <v>1857574</v>
      </c>
      <c r="M18" s="22">
        <f t="shared" si="2"/>
        <v>1887534</v>
      </c>
      <c r="N18" s="22">
        <f t="shared" si="2"/>
        <v>1917707</v>
      </c>
      <c r="O18" s="22">
        <f t="shared" si="2"/>
        <v>1949164</v>
      </c>
      <c r="P18" s="22">
        <f t="shared" si="2"/>
        <v>1978603</v>
      </c>
      <c r="Q18" s="22">
        <f t="shared" si="2"/>
        <v>2004406</v>
      </c>
      <c r="R18" s="22">
        <f t="shared" si="2"/>
        <v>2035312</v>
      </c>
      <c r="S18" s="22">
        <f t="shared" si="2"/>
        <v>2067347</v>
      </c>
      <c r="T18" s="22">
        <f t="shared" si="2"/>
        <v>2098499</v>
      </c>
      <c r="U18" s="22">
        <f t="shared" si="2"/>
        <v>2128287</v>
      </c>
      <c r="V18" s="22">
        <f t="shared" si="2"/>
        <v>2140395</v>
      </c>
      <c r="W18" s="22">
        <f t="shared" si="2"/>
        <v>2155664</v>
      </c>
      <c r="X18" s="22">
        <f t="shared" si="2"/>
        <v>2181106</v>
      </c>
      <c r="Y18" s="22">
        <f t="shared" si="2"/>
        <v>2201021</v>
      </c>
      <c r="Z18" s="22">
        <f t="shared" si="2"/>
        <v>2218227</v>
      </c>
    </row>
    <row r="19" spans="1:26" x14ac:dyDescent="0.25">
      <c r="A19" t="s">
        <v>14</v>
      </c>
      <c r="B19" s="22">
        <f t="shared" ref="B19:Z19" si="3">+B4+B5+B6+B8+B9+B11+B12+B13</f>
        <v>944194</v>
      </c>
      <c r="C19" s="22">
        <f t="shared" si="3"/>
        <v>950643</v>
      </c>
      <c r="D19" s="22">
        <f t="shared" si="3"/>
        <v>957705</v>
      </c>
      <c r="E19" s="22">
        <f t="shared" si="3"/>
        <v>964883</v>
      </c>
      <c r="F19" s="22">
        <f t="shared" si="3"/>
        <v>971237</v>
      </c>
      <c r="G19" s="22">
        <f t="shared" si="3"/>
        <v>977987</v>
      </c>
      <c r="H19" s="22">
        <f t="shared" si="3"/>
        <v>986044</v>
      </c>
      <c r="I19" s="22">
        <f t="shared" si="3"/>
        <v>996956</v>
      </c>
      <c r="J19" s="22">
        <f t="shared" si="3"/>
        <v>1008871</v>
      </c>
      <c r="K19" s="22">
        <f t="shared" si="3"/>
        <v>1021798</v>
      </c>
      <c r="L19" s="22">
        <f t="shared" si="3"/>
        <v>1031653</v>
      </c>
      <c r="M19" s="22">
        <f t="shared" si="3"/>
        <v>1040849</v>
      </c>
      <c r="N19" s="22">
        <f t="shared" si="3"/>
        <v>1051829</v>
      </c>
      <c r="O19" s="22">
        <f t="shared" si="3"/>
        <v>1063108</v>
      </c>
      <c r="P19" s="22">
        <f t="shared" si="3"/>
        <v>1076549</v>
      </c>
      <c r="Q19" s="22">
        <f t="shared" si="3"/>
        <v>1088249</v>
      </c>
      <c r="R19" s="22">
        <f t="shared" si="3"/>
        <v>1106509</v>
      </c>
      <c r="S19" s="22">
        <f t="shared" si="3"/>
        <v>1127011</v>
      </c>
      <c r="T19" s="22">
        <f t="shared" si="3"/>
        <v>1142859</v>
      </c>
      <c r="U19" s="22">
        <f t="shared" si="3"/>
        <v>1158618</v>
      </c>
      <c r="V19" s="22">
        <f t="shared" si="3"/>
        <v>1167898</v>
      </c>
      <c r="W19" s="22">
        <f t="shared" si="3"/>
        <v>1175871</v>
      </c>
      <c r="X19" s="22">
        <f t="shared" si="3"/>
        <v>1185211</v>
      </c>
      <c r="Y19" s="22">
        <f t="shared" si="3"/>
        <v>1192423</v>
      </c>
      <c r="Z19" s="22">
        <f t="shared" si="3"/>
        <v>1199373</v>
      </c>
    </row>
    <row r="20" spans="1:26" x14ac:dyDescent="0.25">
      <c r="A20" t="s">
        <v>20</v>
      </c>
      <c r="B20" s="22">
        <f>+B6+B8+B9+B11+B12+B13</f>
        <v>688827</v>
      </c>
      <c r="C20" s="22">
        <f t="shared" ref="C20:Z20" si="4">+C6+C8+C9+C11+C12+C13</f>
        <v>693708</v>
      </c>
      <c r="D20" s="22">
        <f t="shared" si="4"/>
        <v>699336</v>
      </c>
      <c r="E20" s="22">
        <f t="shared" si="4"/>
        <v>704681</v>
      </c>
      <c r="F20" s="22">
        <f t="shared" si="4"/>
        <v>709915</v>
      </c>
      <c r="G20" s="22">
        <f t="shared" si="4"/>
        <v>715709</v>
      </c>
      <c r="H20" s="22">
        <f t="shared" si="4"/>
        <v>722001</v>
      </c>
      <c r="I20" s="22">
        <f t="shared" si="4"/>
        <v>729909</v>
      </c>
      <c r="J20" s="22">
        <f t="shared" si="4"/>
        <v>738948</v>
      </c>
      <c r="K20" s="22">
        <f t="shared" si="4"/>
        <v>747854</v>
      </c>
      <c r="L20" s="22">
        <f t="shared" si="4"/>
        <v>755187</v>
      </c>
      <c r="M20" s="22">
        <f t="shared" si="4"/>
        <v>762892</v>
      </c>
      <c r="N20" s="22">
        <f t="shared" si="4"/>
        <v>771184</v>
      </c>
      <c r="O20" s="22">
        <f t="shared" si="4"/>
        <v>779157</v>
      </c>
      <c r="P20" s="22">
        <f t="shared" si="4"/>
        <v>789385</v>
      </c>
      <c r="Q20" s="22">
        <f t="shared" si="4"/>
        <v>798248</v>
      </c>
      <c r="R20" s="22">
        <f t="shared" si="4"/>
        <v>811329</v>
      </c>
      <c r="S20" s="22">
        <f t="shared" si="4"/>
        <v>827564</v>
      </c>
      <c r="T20" s="22">
        <f t="shared" si="4"/>
        <v>840149</v>
      </c>
      <c r="U20" s="22">
        <f t="shared" si="4"/>
        <v>852396</v>
      </c>
      <c r="V20" s="22">
        <f t="shared" si="4"/>
        <v>859804</v>
      </c>
      <c r="W20" s="22">
        <f t="shared" si="4"/>
        <v>865886</v>
      </c>
      <c r="X20" s="22">
        <f t="shared" si="4"/>
        <v>873418</v>
      </c>
      <c r="Y20" s="22">
        <f t="shared" si="4"/>
        <v>879856</v>
      </c>
      <c r="Z20" s="22">
        <f t="shared" si="4"/>
        <v>886358</v>
      </c>
    </row>
    <row r="21" spans="1:26" x14ac:dyDescent="0.25">
      <c r="A21" t="s">
        <v>34</v>
      </c>
      <c r="B21" s="22">
        <f t="shared" ref="B21:Z21" si="5">+B20+B5</f>
        <v>811026</v>
      </c>
      <c r="C21" s="22">
        <f t="shared" si="5"/>
        <v>816604</v>
      </c>
      <c r="D21" s="22">
        <f t="shared" si="5"/>
        <v>822639</v>
      </c>
      <c r="E21" s="22">
        <f t="shared" si="5"/>
        <v>828652</v>
      </c>
      <c r="F21" s="22">
        <f t="shared" si="5"/>
        <v>834325</v>
      </c>
      <c r="G21" s="22">
        <f t="shared" si="5"/>
        <v>840351</v>
      </c>
      <c r="H21" s="22">
        <f t="shared" si="5"/>
        <v>847464</v>
      </c>
      <c r="I21" s="22">
        <f t="shared" si="5"/>
        <v>856589</v>
      </c>
      <c r="J21" s="22">
        <f t="shared" si="5"/>
        <v>867008</v>
      </c>
      <c r="K21" s="22">
        <f t="shared" si="5"/>
        <v>877108</v>
      </c>
      <c r="L21" s="22">
        <f t="shared" si="5"/>
        <v>885237</v>
      </c>
      <c r="M21" s="22">
        <f t="shared" si="5"/>
        <v>893515</v>
      </c>
      <c r="N21" s="22">
        <f t="shared" si="5"/>
        <v>903308</v>
      </c>
      <c r="O21" s="22">
        <f t="shared" si="5"/>
        <v>912906</v>
      </c>
      <c r="P21" s="22">
        <f t="shared" si="5"/>
        <v>924668</v>
      </c>
      <c r="Q21" s="22">
        <f t="shared" si="5"/>
        <v>935283</v>
      </c>
      <c r="R21" s="22">
        <f t="shared" si="5"/>
        <v>950692</v>
      </c>
      <c r="S21" s="22">
        <f t="shared" si="5"/>
        <v>968491</v>
      </c>
      <c r="T21" s="22">
        <f t="shared" si="5"/>
        <v>981825</v>
      </c>
      <c r="U21" s="22">
        <f t="shared" si="5"/>
        <v>995567</v>
      </c>
      <c r="V21" s="22">
        <f t="shared" si="5"/>
        <v>1003282</v>
      </c>
      <c r="W21" s="22">
        <f t="shared" si="5"/>
        <v>1010344</v>
      </c>
      <c r="X21" s="22">
        <f t="shared" si="5"/>
        <v>1018538</v>
      </c>
      <c r="Y21" s="22">
        <f t="shared" si="5"/>
        <v>1025019</v>
      </c>
      <c r="Z21" s="22">
        <f t="shared" si="5"/>
        <v>1031338</v>
      </c>
    </row>
    <row r="22" spans="1:26" x14ac:dyDescent="0.25">
      <c r="A22" t="s">
        <v>100</v>
      </c>
      <c r="B22" s="22">
        <f>+B16-B4</f>
        <v>2477512</v>
      </c>
      <c r="C22" s="22">
        <f t="shared" ref="C22:Z22" si="6">+C16-C4</f>
        <v>2496326</v>
      </c>
      <c r="D22" s="22">
        <f t="shared" si="6"/>
        <v>2500862</v>
      </c>
      <c r="E22" s="22">
        <f t="shared" si="6"/>
        <v>2516268</v>
      </c>
      <c r="F22" s="22">
        <f t="shared" si="6"/>
        <v>2531997</v>
      </c>
      <c r="G22" s="22">
        <f t="shared" si="6"/>
        <v>2550910</v>
      </c>
      <c r="H22" s="22">
        <f t="shared" si="6"/>
        <v>2581537</v>
      </c>
      <c r="I22" s="22">
        <f t="shared" si="6"/>
        <v>2613596</v>
      </c>
      <c r="J22" s="22">
        <f t="shared" si="6"/>
        <v>2654528</v>
      </c>
      <c r="K22" s="22">
        <f t="shared" si="6"/>
        <v>2702515</v>
      </c>
      <c r="L22" s="22">
        <f t="shared" si="6"/>
        <v>2742811</v>
      </c>
      <c r="M22" s="22">
        <f t="shared" si="6"/>
        <v>2781049</v>
      </c>
      <c r="N22" s="22">
        <f t="shared" si="6"/>
        <v>2821015</v>
      </c>
      <c r="O22" s="22">
        <f t="shared" si="6"/>
        <v>2862070</v>
      </c>
      <c r="P22" s="22">
        <f t="shared" si="6"/>
        <v>2903271</v>
      </c>
      <c r="Q22" s="22">
        <f t="shared" si="6"/>
        <v>2939689</v>
      </c>
      <c r="R22" s="22">
        <f t="shared" si="6"/>
        <v>2986004</v>
      </c>
      <c r="S22" s="22">
        <f t="shared" si="6"/>
        <v>3035838</v>
      </c>
      <c r="T22" s="22">
        <f t="shared" si="6"/>
        <v>3080324</v>
      </c>
      <c r="U22" s="22">
        <f t="shared" si="6"/>
        <v>3123854</v>
      </c>
      <c r="V22" s="22">
        <f t="shared" si="6"/>
        <v>3143677</v>
      </c>
      <c r="W22" s="22">
        <f t="shared" si="6"/>
        <v>3166008</v>
      </c>
      <c r="X22" s="22">
        <f t="shared" si="6"/>
        <v>3199644</v>
      </c>
      <c r="Y22" s="22">
        <f t="shared" si="6"/>
        <v>3226040</v>
      </c>
      <c r="Z22" s="22">
        <f t="shared" si="6"/>
        <v>3249565</v>
      </c>
    </row>
    <row r="23" spans="1:26" x14ac:dyDescent="0.25">
      <c r="A23" t="s">
        <v>15</v>
      </c>
      <c r="B23" s="22">
        <f t="shared" ref="B23:Z23" si="7">+B4+B5</f>
        <v>255367</v>
      </c>
      <c r="C23" s="22">
        <f t="shared" si="7"/>
        <v>256935</v>
      </c>
      <c r="D23" s="22">
        <f t="shared" si="7"/>
        <v>258369</v>
      </c>
      <c r="E23" s="22">
        <f t="shared" si="7"/>
        <v>260202</v>
      </c>
      <c r="F23" s="22">
        <f t="shared" si="7"/>
        <v>261322</v>
      </c>
      <c r="G23" s="22">
        <f t="shared" si="7"/>
        <v>262278</v>
      </c>
      <c r="H23" s="22">
        <f t="shared" si="7"/>
        <v>264043</v>
      </c>
      <c r="I23" s="22">
        <f t="shared" si="7"/>
        <v>267047</v>
      </c>
      <c r="J23" s="22">
        <f t="shared" si="7"/>
        <v>269923</v>
      </c>
      <c r="K23" s="22">
        <f t="shared" si="7"/>
        <v>273944</v>
      </c>
      <c r="L23" s="22">
        <f t="shared" si="7"/>
        <v>276466</v>
      </c>
      <c r="M23" s="22">
        <f t="shared" si="7"/>
        <v>277957</v>
      </c>
      <c r="N23" s="22">
        <f t="shared" si="7"/>
        <v>280645</v>
      </c>
      <c r="O23" s="22">
        <f t="shared" si="7"/>
        <v>283951</v>
      </c>
      <c r="P23" s="22">
        <f t="shared" si="7"/>
        <v>287164</v>
      </c>
      <c r="Q23" s="22">
        <f t="shared" si="7"/>
        <v>290001</v>
      </c>
      <c r="R23" s="22">
        <f t="shared" si="7"/>
        <v>295180</v>
      </c>
      <c r="S23" s="22">
        <f t="shared" si="7"/>
        <v>299447</v>
      </c>
      <c r="T23" s="22">
        <f t="shared" si="7"/>
        <v>302710</v>
      </c>
      <c r="U23" s="22">
        <f t="shared" si="7"/>
        <v>306222</v>
      </c>
      <c r="V23" s="22">
        <f t="shared" si="7"/>
        <v>308094</v>
      </c>
      <c r="W23" s="22">
        <f t="shared" si="7"/>
        <v>309985</v>
      </c>
      <c r="X23" s="22">
        <f t="shared" si="7"/>
        <v>311793</v>
      </c>
      <c r="Y23" s="22">
        <f t="shared" si="7"/>
        <v>312567</v>
      </c>
      <c r="Z23" s="22">
        <f t="shared" si="7"/>
        <v>313015</v>
      </c>
    </row>
    <row r="24" spans="1:26" x14ac:dyDescent="0.25">
      <c r="A24" t="s">
        <v>35</v>
      </c>
      <c r="B24" s="22">
        <f t="shared" ref="B24:Z24" si="8">SUM(B14-B4)</f>
        <v>278177</v>
      </c>
      <c r="C24" s="22">
        <f t="shared" si="8"/>
        <v>278324</v>
      </c>
      <c r="D24" s="22">
        <f t="shared" si="8"/>
        <v>278372</v>
      </c>
      <c r="E24" s="22">
        <f t="shared" si="8"/>
        <v>278666</v>
      </c>
      <c r="F24" s="22">
        <f t="shared" si="8"/>
        <v>279078</v>
      </c>
      <c r="G24" s="22">
        <f t="shared" si="8"/>
        <v>278667</v>
      </c>
      <c r="H24" s="22">
        <f t="shared" si="8"/>
        <v>279386</v>
      </c>
      <c r="I24" s="22">
        <f t="shared" si="8"/>
        <v>280442</v>
      </c>
      <c r="J24" s="22">
        <f t="shared" si="8"/>
        <v>281306</v>
      </c>
      <c r="K24" s="22">
        <f t="shared" si="8"/>
        <v>282416</v>
      </c>
      <c r="L24" s="22">
        <f t="shared" si="8"/>
        <v>283226</v>
      </c>
      <c r="M24" s="22">
        <f t="shared" si="8"/>
        <v>283741</v>
      </c>
      <c r="N24" s="22">
        <f t="shared" si="8"/>
        <v>285263</v>
      </c>
      <c r="O24" s="22">
        <f t="shared" si="8"/>
        <v>287646</v>
      </c>
      <c r="P24" s="22">
        <f t="shared" si="8"/>
        <v>290224</v>
      </c>
      <c r="Q24" s="22">
        <f t="shared" si="8"/>
        <v>292695</v>
      </c>
      <c r="R24" s="22">
        <f t="shared" si="8"/>
        <v>296288</v>
      </c>
      <c r="S24" s="22">
        <f t="shared" si="8"/>
        <v>298976</v>
      </c>
      <c r="T24" s="22">
        <f t="shared" si="8"/>
        <v>300549</v>
      </c>
      <c r="U24" s="22">
        <f t="shared" si="8"/>
        <v>302444</v>
      </c>
      <c r="V24" s="22">
        <f t="shared" si="8"/>
        <v>302542</v>
      </c>
      <c r="W24" s="22">
        <f t="shared" si="8"/>
        <v>304177</v>
      </c>
      <c r="X24" s="22">
        <f t="shared" si="8"/>
        <v>305239</v>
      </c>
      <c r="Y24" s="22">
        <f t="shared" si="8"/>
        <v>304894</v>
      </c>
      <c r="Z24" s="22">
        <f t="shared" si="8"/>
        <v>304411</v>
      </c>
    </row>
    <row r="25" spans="1:26" x14ac:dyDescent="0.25">
      <c r="A25" t="s">
        <v>36</v>
      </c>
      <c r="B25" s="22">
        <f t="shared" ref="B25:Z25" si="9">SUM(B14-B5)</f>
        <v>289146</v>
      </c>
      <c r="C25" s="22">
        <f t="shared" si="9"/>
        <v>289467</v>
      </c>
      <c r="D25" s="22">
        <f t="shared" si="9"/>
        <v>290135</v>
      </c>
      <c r="E25" s="22">
        <f t="shared" si="9"/>
        <v>290926</v>
      </c>
      <c r="F25" s="22">
        <f t="shared" si="9"/>
        <v>291580</v>
      </c>
      <c r="G25" s="22">
        <f t="shared" si="9"/>
        <v>291661</v>
      </c>
      <c r="H25" s="22">
        <f t="shared" si="9"/>
        <v>292503</v>
      </c>
      <c r="I25" s="22">
        <f t="shared" si="9"/>
        <v>294129</v>
      </c>
      <c r="J25" s="22">
        <f t="shared" si="9"/>
        <v>295109</v>
      </c>
      <c r="K25" s="22">
        <f t="shared" si="9"/>
        <v>297852</v>
      </c>
      <c r="L25" s="22">
        <f t="shared" si="9"/>
        <v>299592</v>
      </c>
      <c r="M25" s="22">
        <f t="shared" si="9"/>
        <v>300452</v>
      </c>
      <c r="N25" s="22">
        <f t="shared" si="9"/>
        <v>301660</v>
      </c>
      <c r="O25" s="22">
        <f t="shared" si="9"/>
        <v>304099</v>
      </c>
      <c r="P25" s="22">
        <f t="shared" si="9"/>
        <v>306822</v>
      </c>
      <c r="Q25" s="22">
        <f t="shared" si="9"/>
        <v>308626</v>
      </c>
      <c r="R25" s="22">
        <f t="shared" si="9"/>
        <v>312742</v>
      </c>
      <c r="S25" s="22">
        <f t="shared" si="9"/>
        <v>316569</v>
      </c>
      <c r="T25" s="22">
        <f t="shared" si="9"/>
        <v>319907</v>
      </c>
      <c r="U25" s="22">
        <f t="shared" si="9"/>
        <v>322324</v>
      </c>
      <c r="V25" s="22">
        <f t="shared" si="9"/>
        <v>323680</v>
      </c>
      <c r="W25" s="22">
        <f t="shared" si="9"/>
        <v>325246</v>
      </c>
      <c r="X25" s="22">
        <f t="shared" si="9"/>
        <v>326792</v>
      </c>
      <c r="Y25" s="22">
        <f t="shared" si="9"/>
        <v>327135</v>
      </c>
      <c r="Z25" s="22">
        <f t="shared" si="9"/>
        <v>327466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4B81-473C-4E96-A313-29E8CD6A15A4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325933</v>
      </c>
      <c r="C2">
        <v>331612</v>
      </c>
      <c r="D2" s="1">
        <v>335957</v>
      </c>
      <c r="E2" s="1">
        <v>339261</v>
      </c>
      <c r="F2" s="1">
        <v>341395</v>
      </c>
      <c r="G2" s="1">
        <v>343275</v>
      </c>
      <c r="H2" s="1">
        <v>345833</v>
      </c>
      <c r="I2" s="1">
        <v>348117</v>
      </c>
      <c r="J2" s="1">
        <v>352353</v>
      </c>
      <c r="K2" s="1">
        <v>359691</v>
      </c>
      <c r="L2" s="1">
        <v>366547</v>
      </c>
      <c r="M2" s="1">
        <v>374607</v>
      </c>
      <c r="N2" s="1">
        <v>381631</v>
      </c>
      <c r="O2" s="1">
        <v>388235</v>
      </c>
      <c r="P2" s="1">
        <v>394172</v>
      </c>
      <c r="Q2" s="1">
        <v>398795</v>
      </c>
      <c r="R2" s="1">
        <v>404334</v>
      </c>
      <c r="S2" s="1">
        <v>410499</v>
      </c>
      <c r="T2" s="1">
        <v>417179</v>
      </c>
      <c r="U2" s="1">
        <v>424209</v>
      </c>
      <c r="V2" s="1">
        <v>427386</v>
      </c>
      <c r="W2" s="1">
        <v>429596</v>
      </c>
      <c r="X2" s="1">
        <v>433869</v>
      </c>
      <c r="Y2" s="1">
        <v>435944</v>
      </c>
      <c r="Z2" s="1">
        <v>436951</v>
      </c>
    </row>
    <row r="3" spans="1:27" x14ac:dyDescent="0.25">
      <c r="A3" t="s">
        <v>2</v>
      </c>
      <c r="B3">
        <v>77716</v>
      </c>
      <c r="C3">
        <v>78642</v>
      </c>
      <c r="D3" s="1">
        <v>73288</v>
      </c>
      <c r="E3" s="1">
        <v>73386</v>
      </c>
      <c r="F3" s="1">
        <v>73313</v>
      </c>
      <c r="G3" s="1">
        <v>73127</v>
      </c>
      <c r="H3" s="1">
        <v>72996</v>
      </c>
      <c r="I3" s="1">
        <v>73187</v>
      </c>
      <c r="J3" s="1">
        <v>73420</v>
      </c>
      <c r="K3" s="1">
        <v>74161</v>
      </c>
      <c r="L3" s="1">
        <v>74786</v>
      </c>
      <c r="M3" s="1">
        <v>75246</v>
      </c>
      <c r="N3" s="1">
        <v>75794</v>
      </c>
      <c r="O3" s="1">
        <v>76441</v>
      </c>
      <c r="P3" s="1">
        <v>77002</v>
      </c>
      <c r="Q3" s="1">
        <v>78043</v>
      </c>
      <c r="R3" s="1">
        <v>79803</v>
      </c>
      <c r="S3" s="1">
        <v>81858</v>
      </c>
      <c r="T3" s="1">
        <v>83916</v>
      </c>
      <c r="U3" s="1">
        <v>86362</v>
      </c>
      <c r="V3" s="1">
        <v>88113</v>
      </c>
      <c r="W3" s="1">
        <v>89994</v>
      </c>
      <c r="X3" s="1">
        <v>92227</v>
      </c>
      <c r="Y3" s="1">
        <v>93398</v>
      </c>
      <c r="Z3" s="1">
        <v>94248</v>
      </c>
    </row>
    <row r="4" spans="1:27" x14ac:dyDescent="0.25">
      <c r="A4" t="s">
        <v>3</v>
      </c>
      <c r="B4">
        <v>51776</v>
      </c>
      <c r="C4">
        <v>52414</v>
      </c>
      <c r="D4" s="1">
        <v>52577</v>
      </c>
      <c r="E4" s="1">
        <v>52924</v>
      </c>
      <c r="F4" s="1">
        <v>53027</v>
      </c>
      <c r="G4" s="1">
        <v>52968</v>
      </c>
      <c r="H4" s="1">
        <v>53010</v>
      </c>
      <c r="I4" s="1">
        <v>53278</v>
      </c>
      <c r="J4" s="1">
        <v>53545</v>
      </c>
      <c r="K4" s="1">
        <v>54044</v>
      </c>
      <c r="L4" s="1">
        <v>54508</v>
      </c>
      <c r="M4" s="1">
        <v>54694</v>
      </c>
      <c r="N4" s="1">
        <v>55006</v>
      </c>
      <c r="O4" s="1">
        <v>55539</v>
      </c>
      <c r="P4" s="1">
        <v>56159</v>
      </c>
      <c r="Q4" s="1">
        <v>56564</v>
      </c>
      <c r="R4" s="1">
        <v>57503</v>
      </c>
      <c r="S4" s="1">
        <v>58470</v>
      </c>
      <c r="T4" s="1">
        <v>59556</v>
      </c>
      <c r="U4" s="1">
        <v>60450</v>
      </c>
      <c r="V4" s="1">
        <v>61300</v>
      </c>
      <c r="W4" s="1">
        <v>62072</v>
      </c>
      <c r="X4" s="1">
        <v>62874</v>
      </c>
      <c r="Y4" s="1">
        <v>63273</v>
      </c>
      <c r="Z4" s="1">
        <v>63342</v>
      </c>
    </row>
    <row r="5" spans="1:27" x14ac:dyDescent="0.25">
      <c r="A5" t="s">
        <v>4</v>
      </c>
      <c r="B5">
        <v>49677</v>
      </c>
      <c r="C5">
        <v>50034</v>
      </c>
      <c r="D5" s="1">
        <v>50085</v>
      </c>
      <c r="E5" s="1">
        <v>50169</v>
      </c>
      <c r="F5" s="1">
        <v>50162</v>
      </c>
      <c r="G5" s="1">
        <v>49814</v>
      </c>
      <c r="H5" s="1">
        <v>49556</v>
      </c>
      <c r="I5" s="1">
        <v>49544</v>
      </c>
      <c r="J5" s="1">
        <v>49580</v>
      </c>
      <c r="K5" s="1">
        <v>49569</v>
      </c>
      <c r="L5" s="1">
        <v>49615</v>
      </c>
      <c r="M5" s="1">
        <v>49811</v>
      </c>
      <c r="N5" s="1">
        <v>50037</v>
      </c>
      <c r="O5" s="1">
        <v>50263</v>
      </c>
      <c r="P5" s="1">
        <v>50763</v>
      </c>
      <c r="Q5" s="1">
        <v>51371</v>
      </c>
      <c r="R5" s="1">
        <v>52333</v>
      </c>
      <c r="S5" s="1">
        <v>53031</v>
      </c>
      <c r="T5" s="1">
        <v>53628</v>
      </c>
      <c r="U5" s="1">
        <v>54410</v>
      </c>
      <c r="V5" s="1">
        <v>54893</v>
      </c>
      <c r="W5" s="1">
        <v>55616</v>
      </c>
      <c r="X5" s="1">
        <v>56219</v>
      </c>
      <c r="Y5" s="1">
        <v>56513</v>
      </c>
      <c r="Z5" s="1">
        <v>56345</v>
      </c>
    </row>
    <row r="6" spans="1:27" x14ac:dyDescent="0.25">
      <c r="A6" t="s">
        <v>5</v>
      </c>
      <c r="B6">
        <v>45615</v>
      </c>
      <c r="C6">
        <v>46131</v>
      </c>
      <c r="D6" s="1">
        <v>46384</v>
      </c>
      <c r="E6" s="1">
        <v>46517</v>
      </c>
      <c r="F6" s="1">
        <v>46463</v>
      </c>
      <c r="G6" s="1">
        <v>46455</v>
      </c>
      <c r="H6" s="1">
        <v>46671</v>
      </c>
      <c r="I6" s="1">
        <v>46675</v>
      </c>
      <c r="J6" s="1">
        <v>46644</v>
      </c>
      <c r="K6" s="1">
        <v>46883</v>
      </c>
      <c r="L6" s="1">
        <v>47136</v>
      </c>
      <c r="M6" s="1">
        <v>47404</v>
      </c>
      <c r="N6" s="1">
        <v>47751</v>
      </c>
      <c r="O6" s="1">
        <v>48211</v>
      </c>
      <c r="P6" s="1">
        <v>48882</v>
      </c>
      <c r="Q6" s="1">
        <v>49387</v>
      </c>
      <c r="R6" s="1">
        <v>49974</v>
      </c>
      <c r="S6" s="1">
        <v>50686</v>
      </c>
      <c r="T6" s="1">
        <v>51655</v>
      </c>
      <c r="U6" s="1">
        <v>52503</v>
      </c>
      <c r="V6" s="1">
        <v>53267</v>
      </c>
      <c r="W6" s="1">
        <v>54126</v>
      </c>
      <c r="X6" s="1">
        <v>55079</v>
      </c>
      <c r="Y6" s="1">
        <v>55682</v>
      </c>
      <c r="Z6" s="1">
        <v>56277</v>
      </c>
    </row>
    <row r="7" spans="1:27" x14ac:dyDescent="0.25">
      <c r="A7" t="s">
        <v>6</v>
      </c>
      <c r="B7">
        <v>102906</v>
      </c>
      <c r="C7">
        <v>104507</v>
      </c>
      <c r="D7" s="1">
        <v>105515</v>
      </c>
      <c r="E7" s="1">
        <v>106208</v>
      </c>
      <c r="F7" s="1">
        <v>107084</v>
      </c>
      <c r="G7" s="1">
        <v>108273</v>
      </c>
      <c r="H7" s="1">
        <v>110307</v>
      </c>
      <c r="I7" s="1">
        <v>112303</v>
      </c>
      <c r="J7" s="1">
        <v>114465</v>
      </c>
      <c r="K7" s="1">
        <v>117600</v>
      </c>
      <c r="L7" s="1">
        <v>119882</v>
      </c>
      <c r="M7" s="1">
        <v>121931</v>
      </c>
      <c r="N7" s="1">
        <v>124289</v>
      </c>
      <c r="O7" s="1">
        <v>126729</v>
      </c>
      <c r="P7" s="1">
        <v>128950</v>
      </c>
      <c r="Q7" s="1">
        <v>131031</v>
      </c>
      <c r="R7" s="1">
        <v>133722</v>
      </c>
      <c r="S7" s="1">
        <v>136159</v>
      </c>
      <c r="T7" s="1">
        <v>139221</v>
      </c>
      <c r="U7" s="1">
        <v>142439</v>
      </c>
      <c r="V7" s="1">
        <v>145192</v>
      </c>
      <c r="W7" s="1">
        <v>147715</v>
      </c>
      <c r="X7" s="1">
        <v>151254</v>
      </c>
      <c r="Y7" s="1">
        <v>154017</v>
      </c>
      <c r="Z7" s="1">
        <v>155814</v>
      </c>
    </row>
    <row r="8" spans="1:27" x14ac:dyDescent="0.25">
      <c r="A8" t="s">
        <v>7</v>
      </c>
      <c r="B8">
        <v>39385</v>
      </c>
      <c r="C8">
        <v>39749</v>
      </c>
      <c r="D8" s="1">
        <v>39786</v>
      </c>
      <c r="E8" s="1">
        <v>39665</v>
      </c>
      <c r="F8" s="1">
        <v>39324</v>
      </c>
      <c r="G8" s="1">
        <v>39384</v>
      </c>
      <c r="H8" s="1">
        <v>39268</v>
      </c>
      <c r="I8" s="1">
        <v>39665</v>
      </c>
      <c r="J8" s="1">
        <v>40054</v>
      </c>
      <c r="K8" s="1">
        <v>40438</v>
      </c>
      <c r="L8" s="1">
        <v>40313</v>
      </c>
      <c r="M8" s="1">
        <v>40468</v>
      </c>
      <c r="N8" s="1">
        <v>40878</v>
      </c>
      <c r="O8" s="1">
        <v>41114</v>
      </c>
      <c r="P8" s="1">
        <v>41646</v>
      </c>
      <c r="Q8" s="1">
        <v>41782</v>
      </c>
      <c r="R8" s="1">
        <v>42490</v>
      </c>
      <c r="S8" s="1">
        <v>43616</v>
      </c>
      <c r="T8" s="1">
        <v>44283</v>
      </c>
      <c r="U8" s="1">
        <v>45021</v>
      </c>
      <c r="V8" s="1">
        <v>45289</v>
      </c>
      <c r="W8" s="1">
        <v>45946</v>
      </c>
      <c r="X8" s="1">
        <v>46403</v>
      </c>
      <c r="Y8" s="1">
        <v>46820</v>
      </c>
      <c r="Z8" s="1">
        <v>46725</v>
      </c>
    </row>
    <row r="9" spans="1:27" x14ac:dyDescent="0.25">
      <c r="A9" t="s">
        <v>8</v>
      </c>
      <c r="B9">
        <v>48645</v>
      </c>
      <c r="C9">
        <v>49197</v>
      </c>
      <c r="D9" s="1">
        <v>49702</v>
      </c>
      <c r="E9" s="1">
        <v>49702</v>
      </c>
      <c r="F9" s="1">
        <v>49940</v>
      </c>
      <c r="G9" s="1">
        <v>49994</v>
      </c>
      <c r="H9" s="1">
        <v>50129</v>
      </c>
      <c r="I9" s="1">
        <v>50268</v>
      </c>
      <c r="J9" s="1">
        <v>50672</v>
      </c>
      <c r="K9" s="1">
        <v>50946</v>
      </c>
      <c r="L9" s="1">
        <v>51013</v>
      </c>
      <c r="M9" s="1">
        <v>51388</v>
      </c>
      <c r="N9" s="1">
        <v>51709</v>
      </c>
      <c r="O9" s="1">
        <v>51920</v>
      </c>
      <c r="P9" s="1">
        <v>52653</v>
      </c>
      <c r="Q9" s="1">
        <v>53531</v>
      </c>
      <c r="R9" s="1">
        <v>54495</v>
      </c>
      <c r="S9" s="1">
        <v>55488</v>
      </c>
      <c r="T9" s="1">
        <v>56619</v>
      </c>
      <c r="U9" s="1">
        <v>57769</v>
      </c>
      <c r="V9" s="1">
        <v>58493</v>
      </c>
      <c r="W9" s="1">
        <v>59273</v>
      </c>
      <c r="X9" s="1">
        <v>59887</v>
      </c>
      <c r="Y9" s="1">
        <v>60155</v>
      </c>
      <c r="Z9" s="1">
        <v>60373</v>
      </c>
    </row>
    <row r="10" spans="1:27" x14ac:dyDescent="0.25">
      <c r="A10" t="s">
        <v>9</v>
      </c>
      <c r="B10">
        <v>190774</v>
      </c>
      <c r="C10">
        <v>193665</v>
      </c>
      <c r="D10" s="1">
        <v>196012</v>
      </c>
      <c r="E10" s="1">
        <v>197795</v>
      </c>
      <c r="F10" s="1">
        <v>199465</v>
      </c>
      <c r="G10" s="1">
        <v>200311</v>
      </c>
      <c r="H10" s="1">
        <v>201202</v>
      </c>
      <c r="I10" s="1">
        <v>201591</v>
      </c>
      <c r="J10" s="1">
        <v>202892</v>
      </c>
      <c r="K10" s="1">
        <v>204940</v>
      </c>
      <c r="L10" s="1">
        <v>207528</v>
      </c>
      <c r="M10" s="1">
        <v>210343</v>
      </c>
      <c r="N10" s="1">
        <v>212710</v>
      </c>
      <c r="O10" s="1">
        <v>215417</v>
      </c>
      <c r="P10" s="1">
        <v>218523</v>
      </c>
      <c r="Q10" s="1">
        <v>221589</v>
      </c>
      <c r="R10" s="1">
        <v>225002</v>
      </c>
      <c r="S10" s="1">
        <v>228695</v>
      </c>
      <c r="T10" s="1">
        <v>233328</v>
      </c>
      <c r="U10" s="1">
        <v>237817</v>
      </c>
      <c r="V10" s="1">
        <v>241263</v>
      </c>
      <c r="W10" s="1">
        <v>244464</v>
      </c>
      <c r="X10" s="1">
        <v>249785</v>
      </c>
      <c r="Y10" s="1">
        <v>253866</v>
      </c>
      <c r="Z10" s="1">
        <v>255365</v>
      </c>
    </row>
    <row r="11" spans="1:27" x14ac:dyDescent="0.25">
      <c r="A11" t="s">
        <v>10</v>
      </c>
      <c r="B11">
        <v>49483</v>
      </c>
      <c r="C11">
        <v>50014</v>
      </c>
      <c r="D11" s="1">
        <v>50254</v>
      </c>
      <c r="E11" s="1">
        <v>50380</v>
      </c>
      <c r="F11" s="1">
        <v>50380</v>
      </c>
      <c r="G11" s="1">
        <v>50239</v>
      </c>
      <c r="H11" s="1">
        <v>50273</v>
      </c>
      <c r="I11" s="1">
        <v>50408</v>
      </c>
      <c r="J11" s="1">
        <v>50552</v>
      </c>
      <c r="K11" s="1">
        <v>50914</v>
      </c>
      <c r="L11" s="1">
        <v>51207</v>
      </c>
      <c r="M11" s="1">
        <v>51624</v>
      </c>
      <c r="N11" s="1">
        <v>52013</v>
      </c>
      <c r="O11" s="1">
        <v>52612</v>
      </c>
      <c r="P11" s="1">
        <v>53153</v>
      </c>
      <c r="Q11" s="1">
        <v>53610</v>
      </c>
      <c r="R11" s="1">
        <v>54389</v>
      </c>
      <c r="S11" s="1">
        <v>55470</v>
      </c>
      <c r="T11" s="1">
        <v>56752</v>
      </c>
      <c r="U11" s="1">
        <v>57754</v>
      </c>
      <c r="V11" s="1">
        <v>58431</v>
      </c>
      <c r="W11" s="1">
        <v>59011</v>
      </c>
      <c r="X11" s="1">
        <v>59667</v>
      </c>
      <c r="Y11" s="1">
        <v>60409</v>
      </c>
      <c r="Z11" s="1">
        <v>60612</v>
      </c>
    </row>
    <row r="12" spans="1:27" x14ac:dyDescent="0.25">
      <c r="A12" t="s">
        <v>11</v>
      </c>
      <c r="B12">
        <v>52401</v>
      </c>
      <c r="C12">
        <v>52911</v>
      </c>
      <c r="D12" s="1">
        <v>53316</v>
      </c>
      <c r="E12" s="1">
        <v>53476</v>
      </c>
      <c r="F12" s="1">
        <v>53373</v>
      </c>
      <c r="G12" s="1">
        <v>53440</v>
      </c>
      <c r="H12" s="1">
        <v>53330</v>
      </c>
      <c r="I12" s="1">
        <v>53105</v>
      </c>
      <c r="J12" s="1">
        <v>53052</v>
      </c>
      <c r="K12" s="1">
        <v>53098</v>
      </c>
      <c r="L12" s="1">
        <v>53269</v>
      </c>
      <c r="M12" s="1">
        <v>53491</v>
      </c>
      <c r="N12" s="1">
        <v>54029</v>
      </c>
      <c r="O12" s="1">
        <v>54588</v>
      </c>
      <c r="P12" s="1">
        <v>55060</v>
      </c>
      <c r="Q12" s="1">
        <v>55536</v>
      </c>
      <c r="R12" s="1">
        <v>56425</v>
      </c>
      <c r="S12" s="1">
        <v>57359</v>
      </c>
      <c r="T12" s="1">
        <v>58320</v>
      </c>
      <c r="U12" s="1">
        <v>59281</v>
      </c>
      <c r="V12" s="1">
        <v>60325</v>
      </c>
      <c r="W12" s="1">
        <v>61195</v>
      </c>
      <c r="X12" s="1">
        <v>62375</v>
      </c>
      <c r="Y12" s="1">
        <v>63005</v>
      </c>
      <c r="Z12" s="1">
        <v>63705</v>
      </c>
    </row>
    <row r="13" spans="1:27" x14ac:dyDescent="0.25">
      <c r="A13" t="s">
        <v>12</v>
      </c>
      <c r="B13">
        <v>41683</v>
      </c>
      <c r="C13">
        <v>41961</v>
      </c>
      <c r="D13" s="1">
        <v>42191</v>
      </c>
      <c r="E13" s="1">
        <v>42345</v>
      </c>
      <c r="F13" s="1">
        <v>42667</v>
      </c>
      <c r="G13" s="1">
        <v>42898</v>
      </c>
      <c r="H13" s="1">
        <v>42868</v>
      </c>
      <c r="I13" s="1">
        <v>42956</v>
      </c>
      <c r="J13" s="1">
        <v>42930</v>
      </c>
      <c r="K13" s="1">
        <v>42995</v>
      </c>
      <c r="L13" s="1">
        <v>43206</v>
      </c>
      <c r="M13" s="1">
        <v>43589</v>
      </c>
      <c r="N13" s="1">
        <v>43894</v>
      </c>
      <c r="O13" s="1">
        <v>44205</v>
      </c>
      <c r="P13" s="1">
        <v>44730</v>
      </c>
      <c r="Q13" s="1">
        <v>45012</v>
      </c>
      <c r="R13" s="1">
        <v>45742</v>
      </c>
      <c r="S13" s="1">
        <v>46482</v>
      </c>
      <c r="T13" s="1">
        <v>47229</v>
      </c>
      <c r="U13" s="1">
        <v>48097</v>
      </c>
      <c r="V13" s="1">
        <v>49046</v>
      </c>
      <c r="W13" s="1">
        <v>49975</v>
      </c>
      <c r="X13" s="1">
        <v>50938</v>
      </c>
      <c r="Y13" s="1">
        <v>51461</v>
      </c>
      <c r="Z13" s="1">
        <v>51826</v>
      </c>
    </row>
    <row r="14" spans="1:27" x14ac:dyDescent="0.25">
      <c r="A14" t="s">
        <v>21</v>
      </c>
      <c r="B14">
        <v>164945</v>
      </c>
      <c r="C14">
        <v>165891</v>
      </c>
      <c r="D14">
        <v>166042</v>
      </c>
      <c r="E14">
        <v>166049</v>
      </c>
      <c r="F14">
        <v>165607</v>
      </c>
      <c r="G14">
        <v>164425</v>
      </c>
      <c r="H14">
        <v>163467</v>
      </c>
      <c r="I14">
        <v>163138</v>
      </c>
      <c r="J14">
        <v>162561</v>
      </c>
      <c r="K14">
        <v>162267</v>
      </c>
      <c r="L14">
        <v>162136</v>
      </c>
      <c r="M14">
        <v>161977</v>
      </c>
      <c r="N14">
        <v>162072</v>
      </c>
      <c r="O14">
        <v>162523</v>
      </c>
      <c r="P14">
        <v>163539</v>
      </c>
      <c r="Q14">
        <v>164494</v>
      </c>
      <c r="R14">
        <v>166686</v>
      </c>
      <c r="S14">
        <v>168543</v>
      </c>
      <c r="T14">
        <v>170438</v>
      </c>
      <c r="U14">
        <v>172209</v>
      </c>
      <c r="V14">
        <v>173947</v>
      </c>
      <c r="W14">
        <v>176089</v>
      </c>
      <c r="X14">
        <v>178060</v>
      </c>
      <c r="Y14">
        <v>178847</v>
      </c>
      <c r="Z14">
        <v>178521</v>
      </c>
    </row>
    <row r="15" spans="1:27" s="3" customFormat="1" x14ac:dyDescent="0.25">
      <c r="A15" t="s">
        <v>18</v>
      </c>
      <c r="B15" s="3">
        <v>3661170</v>
      </c>
      <c r="C15" s="3">
        <v>3686098</v>
      </c>
      <c r="D15" s="4">
        <v>3699311</v>
      </c>
      <c r="E15" s="4">
        <v>3700084</v>
      </c>
      <c r="F15" s="4">
        <v>3692264</v>
      </c>
      <c r="G15" s="4">
        <v>3678608</v>
      </c>
      <c r="H15" s="4">
        <v>3668351</v>
      </c>
      <c r="I15" s="4">
        <v>3661072</v>
      </c>
      <c r="J15" s="4">
        <v>3654373</v>
      </c>
      <c r="K15" s="4">
        <v>3659263</v>
      </c>
      <c r="L15" s="4">
        <v>3666676</v>
      </c>
      <c r="M15" s="4">
        <v>3678122</v>
      </c>
      <c r="N15" s="4">
        <v>3691344</v>
      </c>
      <c r="O15" s="4">
        <v>3707839</v>
      </c>
      <c r="P15" s="4">
        <v>3735956</v>
      </c>
      <c r="Q15" s="4">
        <v>3766667</v>
      </c>
      <c r="R15" s="4">
        <v>3813402</v>
      </c>
      <c r="S15" s="4">
        <v>3858952</v>
      </c>
      <c r="T15" s="4">
        <v>3911251</v>
      </c>
      <c r="U15" s="4">
        <v>3962707</v>
      </c>
      <c r="V15" s="4">
        <v>4010386</v>
      </c>
      <c r="W15" s="4">
        <v>4063147</v>
      </c>
      <c r="X15" s="4">
        <v>4115245</v>
      </c>
      <c r="Y15" s="4">
        <v>4138988</v>
      </c>
      <c r="Z15" s="4">
        <v>4146500</v>
      </c>
    </row>
    <row r="16" spans="1:27" x14ac:dyDescent="0.25">
      <c r="A16" t="s">
        <v>16</v>
      </c>
      <c r="B16" s="1">
        <f t="shared" ref="B16:Z16" si="0">SUM(B2:B13)</f>
        <v>1075994</v>
      </c>
      <c r="C16" s="1">
        <f t="shared" si="0"/>
        <v>1090837</v>
      </c>
      <c r="D16" s="1">
        <f t="shared" si="0"/>
        <v>1095067</v>
      </c>
      <c r="E16" s="1">
        <f t="shared" si="0"/>
        <v>1101828</v>
      </c>
      <c r="F16" s="1">
        <f t="shared" si="0"/>
        <v>1106593</v>
      </c>
      <c r="G16" s="1">
        <f t="shared" si="0"/>
        <v>1110178</v>
      </c>
      <c r="H16" s="1">
        <f t="shared" si="0"/>
        <v>1115443</v>
      </c>
      <c r="I16" s="1">
        <f t="shared" si="0"/>
        <v>1121097</v>
      </c>
      <c r="J16" s="1">
        <f t="shared" si="0"/>
        <v>1130159</v>
      </c>
      <c r="K16" s="1">
        <f t="shared" si="0"/>
        <v>1145279</v>
      </c>
      <c r="L16" s="1">
        <f t="shared" si="0"/>
        <v>1159010</v>
      </c>
      <c r="M16" s="1">
        <f t="shared" si="0"/>
        <v>1174596</v>
      </c>
      <c r="N16" s="1">
        <f t="shared" si="0"/>
        <v>1189741</v>
      </c>
      <c r="O16" s="1">
        <f t="shared" si="0"/>
        <v>1205274</v>
      </c>
      <c r="P16" s="1">
        <f t="shared" si="0"/>
        <v>1221693</v>
      </c>
      <c r="Q16" s="1">
        <f t="shared" si="0"/>
        <v>1236251</v>
      </c>
      <c r="R16" s="1">
        <f t="shared" si="0"/>
        <v>1256212</v>
      </c>
      <c r="S16" s="1">
        <f t="shared" si="0"/>
        <v>1277813</v>
      </c>
      <c r="T16" s="1">
        <f t="shared" si="0"/>
        <v>1301686</v>
      </c>
      <c r="U16" s="1">
        <f t="shared" si="0"/>
        <v>1326112</v>
      </c>
      <c r="V16" s="1">
        <f t="shared" si="0"/>
        <v>1342998</v>
      </c>
      <c r="W16" s="1">
        <f t="shared" si="0"/>
        <v>1358983</v>
      </c>
      <c r="X16" s="1">
        <f t="shared" si="0"/>
        <v>1380577</v>
      </c>
      <c r="Y16" s="1">
        <f t="shared" si="0"/>
        <v>1394543</v>
      </c>
      <c r="Z16" s="1">
        <f t="shared" si="0"/>
        <v>1401583</v>
      </c>
    </row>
    <row r="17" spans="1:26" x14ac:dyDescent="0.25">
      <c r="A17" t="s">
        <v>17</v>
      </c>
      <c r="B17" s="1">
        <f t="shared" ref="B17:Z17" si="1">SUM(B2+B7+B10)</f>
        <v>619613</v>
      </c>
      <c r="C17" s="1">
        <f t="shared" si="1"/>
        <v>629784</v>
      </c>
      <c r="D17" s="1">
        <f t="shared" si="1"/>
        <v>637484</v>
      </c>
      <c r="E17" s="1">
        <f t="shared" si="1"/>
        <v>643264</v>
      </c>
      <c r="F17" s="1">
        <f t="shared" si="1"/>
        <v>647944</v>
      </c>
      <c r="G17" s="1">
        <f t="shared" si="1"/>
        <v>651859</v>
      </c>
      <c r="H17" s="1">
        <f t="shared" si="1"/>
        <v>657342</v>
      </c>
      <c r="I17" s="1">
        <f t="shared" si="1"/>
        <v>662011</v>
      </c>
      <c r="J17" s="1">
        <f t="shared" si="1"/>
        <v>669710</v>
      </c>
      <c r="K17" s="1">
        <f t="shared" si="1"/>
        <v>682231</v>
      </c>
      <c r="L17" s="1">
        <f t="shared" si="1"/>
        <v>693957</v>
      </c>
      <c r="M17" s="1">
        <f t="shared" si="1"/>
        <v>706881</v>
      </c>
      <c r="N17" s="1">
        <f t="shared" si="1"/>
        <v>718630</v>
      </c>
      <c r="O17" s="1">
        <f t="shared" si="1"/>
        <v>730381</v>
      </c>
      <c r="P17" s="1">
        <f t="shared" si="1"/>
        <v>741645</v>
      </c>
      <c r="Q17" s="1">
        <f t="shared" si="1"/>
        <v>751415</v>
      </c>
      <c r="R17" s="1">
        <f t="shared" si="1"/>
        <v>763058</v>
      </c>
      <c r="S17" s="1">
        <f t="shared" si="1"/>
        <v>775353</v>
      </c>
      <c r="T17" s="1">
        <f t="shared" si="1"/>
        <v>789728</v>
      </c>
      <c r="U17" s="1">
        <f t="shared" si="1"/>
        <v>804465</v>
      </c>
      <c r="V17" s="1">
        <f t="shared" si="1"/>
        <v>813841</v>
      </c>
      <c r="W17" s="1">
        <f t="shared" si="1"/>
        <v>821775</v>
      </c>
      <c r="X17" s="1">
        <f t="shared" si="1"/>
        <v>834908</v>
      </c>
      <c r="Y17" s="1">
        <f t="shared" si="1"/>
        <v>843827</v>
      </c>
      <c r="Z17" s="1">
        <f t="shared" si="1"/>
        <v>848130</v>
      </c>
    </row>
    <row r="18" spans="1:26" x14ac:dyDescent="0.25">
      <c r="A18" t="s">
        <v>13</v>
      </c>
      <c r="B18" s="1">
        <f t="shared" ref="B18:Z18" si="2">SUM(B2+B3+B7+B10)</f>
        <v>697329</v>
      </c>
      <c r="C18" s="1">
        <f t="shared" si="2"/>
        <v>708426</v>
      </c>
      <c r="D18" s="1">
        <f t="shared" si="2"/>
        <v>710772</v>
      </c>
      <c r="E18" s="1">
        <f t="shared" si="2"/>
        <v>716650</v>
      </c>
      <c r="F18" s="1">
        <f t="shared" si="2"/>
        <v>721257</v>
      </c>
      <c r="G18" s="1">
        <f t="shared" si="2"/>
        <v>724986</v>
      </c>
      <c r="H18" s="1">
        <f t="shared" si="2"/>
        <v>730338</v>
      </c>
      <c r="I18" s="1">
        <f t="shared" si="2"/>
        <v>735198</v>
      </c>
      <c r="J18" s="1">
        <f t="shared" si="2"/>
        <v>743130</v>
      </c>
      <c r="K18" s="1">
        <f t="shared" si="2"/>
        <v>756392</v>
      </c>
      <c r="L18" s="1">
        <f t="shared" si="2"/>
        <v>768743</v>
      </c>
      <c r="M18" s="1">
        <f t="shared" si="2"/>
        <v>782127</v>
      </c>
      <c r="N18" s="1">
        <f t="shared" si="2"/>
        <v>794424</v>
      </c>
      <c r="O18" s="1">
        <f t="shared" si="2"/>
        <v>806822</v>
      </c>
      <c r="P18" s="1">
        <f t="shared" si="2"/>
        <v>818647</v>
      </c>
      <c r="Q18" s="1">
        <f t="shared" si="2"/>
        <v>829458</v>
      </c>
      <c r="R18" s="1">
        <f t="shared" si="2"/>
        <v>842861</v>
      </c>
      <c r="S18" s="1">
        <f t="shared" si="2"/>
        <v>857211</v>
      </c>
      <c r="T18" s="1">
        <f t="shared" si="2"/>
        <v>873644</v>
      </c>
      <c r="U18" s="1">
        <f t="shared" si="2"/>
        <v>890827</v>
      </c>
      <c r="V18" s="1">
        <f t="shared" si="2"/>
        <v>901954</v>
      </c>
      <c r="W18" s="1">
        <f t="shared" si="2"/>
        <v>911769</v>
      </c>
      <c r="X18" s="1">
        <f t="shared" si="2"/>
        <v>927135</v>
      </c>
      <c r="Y18" s="1">
        <f t="shared" si="2"/>
        <v>937225</v>
      </c>
      <c r="Z18" s="1">
        <f t="shared" si="2"/>
        <v>942378</v>
      </c>
    </row>
    <row r="19" spans="1:26" x14ac:dyDescent="0.25">
      <c r="A19" t="s">
        <v>14</v>
      </c>
      <c r="B19" s="1">
        <f t="shared" ref="B19:Z19" si="3">+B4+B5+B6+B8+B9+B11+B12+B13</f>
        <v>378665</v>
      </c>
      <c r="C19" s="1">
        <f t="shared" si="3"/>
        <v>382411</v>
      </c>
      <c r="D19" s="1">
        <f t="shared" si="3"/>
        <v>384295</v>
      </c>
      <c r="E19" s="1">
        <f t="shared" si="3"/>
        <v>385178</v>
      </c>
      <c r="F19" s="1">
        <f t="shared" si="3"/>
        <v>385336</v>
      </c>
      <c r="G19" s="1">
        <f t="shared" si="3"/>
        <v>385192</v>
      </c>
      <c r="H19" s="1">
        <f t="shared" si="3"/>
        <v>385105</v>
      </c>
      <c r="I19" s="1">
        <f t="shared" si="3"/>
        <v>385899</v>
      </c>
      <c r="J19" s="1">
        <f t="shared" si="3"/>
        <v>387029</v>
      </c>
      <c r="K19" s="1">
        <f t="shared" si="3"/>
        <v>388887</v>
      </c>
      <c r="L19" s="1">
        <f t="shared" si="3"/>
        <v>390267</v>
      </c>
      <c r="M19" s="1">
        <f t="shared" si="3"/>
        <v>392469</v>
      </c>
      <c r="N19" s="1">
        <f t="shared" si="3"/>
        <v>395317</v>
      </c>
      <c r="O19" s="1">
        <f t="shared" si="3"/>
        <v>398452</v>
      </c>
      <c r="P19" s="1">
        <f t="shared" si="3"/>
        <v>403046</v>
      </c>
      <c r="Q19" s="1">
        <f t="shared" si="3"/>
        <v>406793</v>
      </c>
      <c r="R19" s="1">
        <f t="shared" si="3"/>
        <v>413351</v>
      </c>
      <c r="S19" s="1">
        <f t="shared" si="3"/>
        <v>420602</v>
      </c>
      <c r="T19" s="1">
        <f t="shared" si="3"/>
        <v>428042</v>
      </c>
      <c r="U19" s="1">
        <f t="shared" si="3"/>
        <v>435285</v>
      </c>
      <c r="V19" s="1">
        <f t="shared" si="3"/>
        <v>441044</v>
      </c>
      <c r="W19" s="1">
        <f t="shared" si="3"/>
        <v>447214</v>
      </c>
      <c r="X19" s="1">
        <f t="shared" si="3"/>
        <v>453442</v>
      </c>
      <c r="Y19" s="1">
        <f t="shared" si="3"/>
        <v>457318</v>
      </c>
      <c r="Z19" s="1">
        <f t="shared" si="3"/>
        <v>459205</v>
      </c>
    </row>
    <row r="20" spans="1:26" x14ac:dyDescent="0.25">
      <c r="A20" t="s">
        <v>20</v>
      </c>
      <c r="B20" s="1">
        <f t="shared" ref="B20:Z20" si="4">+B6+B8+B9+B11+B12+B13</f>
        <v>277212</v>
      </c>
      <c r="C20" s="1">
        <f t="shared" si="4"/>
        <v>279963</v>
      </c>
      <c r="D20" s="1">
        <f t="shared" si="4"/>
        <v>281633</v>
      </c>
      <c r="E20" s="1">
        <f t="shared" si="4"/>
        <v>282085</v>
      </c>
      <c r="F20" s="1">
        <f t="shared" si="4"/>
        <v>282147</v>
      </c>
      <c r="G20" s="1">
        <f t="shared" si="4"/>
        <v>282410</v>
      </c>
      <c r="H20" s="1">
        <f t="shared" si="4"/>
        <v>282539</v>
      </c>
      <c r="I20" s="1">
        <f t="shared" si="4"/>
        <v>283077</v>
      </c>
      <c r="J20" s="1">
        <f t="shared" si="4"/>
        <v>283904</v>
      </c>
      <c r="K20" s="1">
        <f t="shared" si="4"/>
        <v>285274</v>
      </c>
      <c r="L20" s="1">
        <f t="shared" si="4"/>
        <v>286144</v>
      </c>
      <c r="M20" s="1">
        <f t="shared" si="4"/>
        <v>287964</v>
      </c>
      <c r="N20" s="1">
        <f t="shared" si="4"/>
        <v>290274</v>
      </c>
      <c r="O20" s="1">
        <f t="shared" si="4"/>
        <v>292650</v>
      </c>
      <c r="P20" s="1">
        <f t="shared" si="4"/>
        <v>296124</v>
      </c>
      <c r="Q20" s="1">
        <f t="shared" si="4"/>
        <v>298858</v>
      </c>
      <c r="R20" s="1">
        <f t="shared" si="4"/>
        <v>303515</v>
      </c>
      <c r="S20" s="1">
        <f t="shared" si="4"/>
        <v>309101</v>
      </c>
      <c r="T20" s="1">
        <f t="shared" si="4"/>
        <v>314858</v>
      </c>
      <c r="U20" s="1">
        <f t="shared" si="4"/>
        <v>320425</v>
      </c>
      <c r="V20" s="1">
        <f t="shared" si="4"/>
        <v>324851</v>
      </c>
      <c r="W20" s="1">
        <f t="shared" si="4"/>
        <v>329526</v>
      </c>
      <c r="X20" s="1">
        <f t="shared" si="4"/>
        <v>334349</v>
      </c>
      <c r="Y20" s="1">
        <f t="shared" si="4"/>
        <v>337532</v>
      </c>
      <c r="Z20" s="1">
        <f t="shared" si="4"/>
        <v>339518</v>
      </c>
    </row>
    <row r="21" spans="1:26" x14ac:dyDescent="0.25">
      <c r="A21" t="s">
        <v>34</v>
      </c>
      <c r="B21" s="1">
        <f t="shared" ref="B21:Z21" si="5">+B20+B5</f>
        <v>326889</v>
      </c>
      <c r="C21" s="1">
        <f t="shared" si="5"/>
        <v>329997</v>
      </c>
      <c r="D21" s="1">
        <f t="shared" si="5"/>
        <v>331718</v>
      </c>
      <c r="E21" s="1">
        <f t="shared" si="5"/>
        <v>332254</v>
      </c>
      <c r="F21" s="1">
        <f t="shared" si="5"/>
        <v>332309</v>
      </c>
      <c r="G21" s="1">
        <f t="shared" si="5"/>
        <v>332224</v>
      </c>
      <c r="H21" s="1">
        <f t="shared" si="5"/>
        <v>332095</v>
      </c>
      <c r="I21" s="1">
        <f t="shared" si="5"/>
        <v>332621</v>
      </c>
      <c r="J21" s="1">
        <f t="shared" si="5"/>
        <v>333484</v>
      </c>
      <c r="K21" s="1">
        <f t="shared" si="5"/>
        <v>334843</v>
      </c>
      <c r="L21" s="1">
        <f t="shared" si="5"/>
        <v>335759</v>
      </c>
      <c r="M21" s="1">
        <f t="shared" si="5"/>
        <v>337775</v>
      </c>
      <c r="N21" s="1">
        <f t="shared" si="5"/>
        <v>340311</v>
      </c>
      <c r="O21" s="1">
        <f t="shared" si="5"/>
        <v>342913</v>
      </c>
      <c r="P21" s="1">
        <f t="shared" si="5"/>
        <v>346887</v>
      </c>
      <c r="Q21" s="1">
        <f t="shared" si="5"/>
        <v>350229</v>
      </c>
      <c r="R21" s="1">
        <f t="shared" si="5"/>
        <v>355848</v>
      </c>
      <c r="S21" s="1">
        <f t="shared" si="5"/>
        <v>362132</v>
      </c>
      <c r="T21" s="1">
        <f t="shared" si="5"/>
        <v>368486</v>
      </c>
      <c r="U21" s="1">
        <f t="shared" si="5"/>
        <v>374835</v>
      </c>
      <c r="V21" s="1">
        <f t="shared" si="5"/>
        <v>379744</v>
      </c>
      <c r="W21" s="1">
        <f t="shared" si="5"/>
        <v>385142</v>
      </c>
      <c r="X21" s="1">
        <f t="shared" si="5"/>
        <v>390568</v>
      </c>
      <c r="Y21" s="1">
        <f t="shared" si="5"/>
        <v>394045</v>
      </c>
      <c r="Z21" s="1">
        <f t="shared" si="5"/>
        <v>395863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101453</v>
      </c>
      <c r="C23" s="1">
        <f t="shared" si="6"/>
        <v>102448</v>
      </c>
      <c r="D23" s="1">
        <f t="shared" si="6"/>
        <v>102662</v>
      </c>
      <c r="E23" s="1">
        <f t="shared" si="6"/>
        <v>103093</v>
      </c>
      <c r="F23" s="1">
        <f t="shared" si="6"/>
        <v>103189</v>
      </c>
      <c r="G23" s="1">
        <f t="shared" si="6"/>
        <v>102782</v>
      </c>
      <c r="H23" s="1">
        <f t="shared" si="6"/>
        <v>102566</v>
      </c>
      <c r="I23" s="1">
        <f t="shared" si="6"/>
        <v>102822</v>
      </c>
      <c r="J23" s="1">
        <f t="shared" si="6"/>
        <v>103125</v>
      </c>
      <c r="K23" s="1">
        <f t="shared" si="6"/>
        <v>103613</v>
      </c>
      <c r="L23" s="1">
        <f t="shared" si="6"/>
        <v>104123</v>
      </c>
      <c r="M23" s="1">
        <f t="shared" si="6"/>
        <v>104505</v>
      </c>
      <c r="N23" s="1">
        <f t="shared" si="6"/>
        <v>105043</v>
      </c>
      <c r="O23" s="1">
        <f t="shared" si="6"/>
        <v>105802</v>
      </c>
      <c r="P23" s="1">
        <f t="shared" si="6"/>
        <v>106922</v>
      </c>
      <c r="Q23" s="1">
        <f t="shared" si="6"/>
        <v>107935</v>
      </c>
      <c r="R23" s="1">
        <f t="shared" si="6"/>
        <v>109836</v>
      </c>
      <c r="S23" s="1">
        <f t="shared" si="6"/>
        <v>111501</v>
      </c>
      <c r="T23" s="1">
        <f t="shared" si="6"/>
        <v>113184</v>
      </c>
      <c r="U23" s="1">
        <f t="shared" si="6"/>
        <v>114860</v>
      </c>
      <c r="V23" s="1">
        <f t="shared" si="6"/>
        <v>116193</v>
      </c>
      <c r="W23" s="1">
        <f t="shared" si="6"/>
        <v>117688</v>
      </c>
      <c r="X23" s="1">
        <f t="shared" si="6"/>
        <v>119093</v>
      </c>
      <c r="Y23" s="1">
        <f t="shared" si="6"/>
        <v>119786</v>
      </c>
      <c r="Z23" s="1">
        <f t="shared" si="6"/>
        <v>119687</v>
      </c>
    </row>
    <row r="24" spans="1:26" x14ac:dyDescent="0.25">
      <c r="A24" t="s">
        <v>35</v>
      </c>
      <c r="B24" s="1">
        <f t="shared" ref="B24:Z24" si="7">SUM(B14-B4)</f>
        <v>113169</v>
      </c>
      <c r="C24" s="1">
        <f t="shared" si="7"/>
        <v>113477</v>
      </c>
      <c r="D24" s="1">
        <f t="shared" si="7"/>
        <v>113465</v>
      </c>
      <c r="E24" s="1">
        <f t="shared" si="7"/>
        <v>113125</v>
      </c>
      <c r="F24" s="1">
        <f t="shared" si="7"/>
        <v>112580</v>
      </c>
      <c r="G24" s="1">
        <f t="shared" si="7"/>
        <v>111457</v>
      </c>
      <c r="H24" s="1">
        <f t="shared" si="7"/>
        <v>110457</v>
      </c>
      <c r="I24" s="1">
        <f t="shared" si="7"/>
        <v>109860</v>
      </c>
      <c r="J24" s="1">
        <f t="shared" si="7"/>
        <v>109016</v>
      </c>
      <c r="K24" s="1">
        <f t="shared" si="7"/>
        <v>108223</v>
      </c>
      <c r="L24" s="1">
        <f t="shared" si="7"/>
        <v>107628</v>
      </c>
      <c r="M24" s="1">
        <f t="shared" si="7"/>
        <v>107283</v>
      </c>
      <c r="N24" s="1">
        <f t="shared" si="7"/>
        <v>107066</v>
      </c>
      <c r="O24" s="1">
        <f t="shared" si="7"/>
        <v>106984</v>
      </c>
      <c r="P24" s="1">
        <f t="shared" si="7"/>
        <v>107380</v>
      </c>
      <c r="Q24" s="1">
        <f t="shared" si="7"/>
        <v>107930</v>
      </c>
      <c r="R24" s="1">
        <f t="shared" si="7"/>
        <v>109183</v>
      </c>
      <c r="S24" s="1">
        <f t="shared" si="7"/>
        <v>110073</v>
      </c>
      <c r="T24" s="1">
        <f t="shared" si="7"/>
        <v>110882</v>
      </c>
      <c r="U24" s="1">
        <f t="shared" si="7"/>
        <v>111759</v>
      </c>
      <c r="V24" s="1">
        <f t="shared" si="7"/>
        <v>112647</v>
      </c>
      <c r="W24" s="1">
        <f t="shared" si="7"/>
        <v>114017</v>
      </c>
      <c r="X24" s="1">
        <f t="shared" si="7"/>
        <v>115186</v>
      </c>
      <c r="Y24" s="1">
        <f t="shared" si="7"/>
        <v>115574</v>
      </c>
      <c r="Z24" s="1">
        <f t="shared" si="7"/>
        <v>115179</v>
      </c>
    </row>
    <row r="25" spans="1:26" x14ac:dyDescent="0.25">
      <c r="A25" t="s">
        <v>36</v>
      </c>
      <c r="B25" s="1">
        <f t="shared" ref="B25:Z25" si="8">SUM(B14-B5)</f>
        <v>115268</v>
      </c>
      <c r="C25" s="1">
        <f t="shared" si="8"/>
        <v>115857</v>
      </c>
      <c r="D25" s="1">
        <f t="shared" si="8"/>
        <v>115957</v>
      </c>
      <c r="E25" s="1">
        <f t="shared" si="8"/>
        <v>115880</v>
      </c>
      <c r="F25" s="1">
        <f t="shared" si="8"/>
        <v>115445</v>
      </c>
      <c r="G25" s="1">
        <f t="shared" si="8"/>
        <v>114611</v>
      </c>
      <c r="H25" s="1">
        <f t="shared" si="8"/>
        <v>113911</v>
      </c>
      <c r="I25" s="1">
        <f t="shared" si="8"/>
        <v>113594</v>
      </c>
      <c r="J25" s="1">
        <f t="shared" si="8"/>
        <v>112981</v>
      </c>
      <c r="K25" s="1">
        <f t="shared" si="8"/>
        <v>112698</v>
      </c>
      <c r="L25" s="1">
        <f t="shared" si="8"/>
        <v>112521</v>
      </c>
      <c r="M25" s="1">
        <f t="shared" si="8"/>
        <v>112166</v>
      </c>
      <c r="N25" s="1">
        <f t="shared" si="8"/>
        <v>112035</v>
      </c>
      <c r="O25" s="1">
        <f t="shared" si="8"/>
        <v>112260</v>
      </c>
      <c r="P25" s="1">
        <f t="shared" si="8"/>
        <v>112776</v>
      </c>
      <c r="Q25" s="1">
        <f t="shared" si="8"/>
        <v>113123</v>
      </c>
      <c r="R25" s="1">
        <f t="shared" si="8"/>
        <v>114353</v>
      </c>
      <c r="S25" s="1">
        <f t="shared" si="8"/>
        <v>115512</v>
      </c>
      <c r="T25" s="1">
        <f t="shared" si="8"/>
        <v>116810</v>
      </c>
      <c r="U25" s="1">
        <f t="shared" si="8"/>
        <v>117799</v>
      </c>
      <c r="V25" s="1">
        <f t="shared" si="8"/>
        <v>119054</v>
      </c>
      <c r="W25" s="1">
        <f t="shared" si="8"/>
        <v>120473</v>
      </c>
      <c r="X25" s="1">
        <f t="shared" si="8"/>
        <v>121841</v>
      </c>
      <c r="Y25" s="1">
        <f t="shared" si="8"/>
        <v>122334</v>
      </c>
      <c r="Z25" s="1">
        <f t="shared" si="8"/>
        <v>122176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B307-1CC1-4948-92E0-59306CFBFE43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151536</v>
      </c>
      <c r="C2">
        <v>153059</v>
      </c>
      <c r="D2" s="1">
        <v>154779</v>
      </c>
      <c r="E2" s="1">
        <v>156722</v>
      </c>
      <c r="F2" s="1">
        <v>158811</v>
      </c>
      <c r="G2" s="1">
        <v>161056</v>
      </c>
      <c r="H2" s="1">
        <v>164560</v>
      </c>
      <c r="I2" s="1">
        <v>167732</v>
      </c>
      <c r="J2" s="1">
        <v>171557</v>
      </c>
      <c r="K2" s="1">
        <v>176126</v>
      </c>
      <c r="L2" s="1">
        <v>180689</v>
      </c>
      <c r="M2" s="1">
        <v>184688</v>
      </c>
      <c r="N2" s="1">
        <v>188112</v>
      </c>
      <c r="O2" s="1">
        <v>192204</v>
      </c>
      <c r="P2" s="1">
        <v>195342</v>
      </c>
      <c r="Q2" s="1">
        <v>198516</v>
      </c>
      <c r="R2" s="1">
        <v>201920</v>
      </c>
      <c r="S2" s="1">
        <v>205917</v>
      </c>
      <c r="T2" s="1">
        <v>209404</v>
      </c>
      <c r="U2" s="1">
        <v>212014</v>
      </c>
      <c r="V2" s="1">
        <v>211731</v>
      </c>
      <c r="W2" s="1">
        <v>211339</v>
      </c>
      <c r="X2" s="1">
        <v>210175</v>
      </c>
      <c r="Y2" s="1">
        <v>209351</v>
      </c>
      <c r="Z2" s="1">
        <v>208676</v>
      </c>
    </row>
    <row r="3" spans="1:27" x14ac:dyDescent="0.25">
      <c r="A3" t="s">
        <v>2</v>
      </c>
      <c r="B3">
        <v>46664</v>
      </c>
      <c r="C3">
        <v>46723</v>
      </c>
      <c r="D3" s="1">
        <v>42868</v>
      </c>
      <c r="E3" s="1">
        <v>42952</v>
      </c>
      <c r="F3" s="1">
        <v>43235</v>
      </c>
      <c r="G3" s="1">
        <v>43147</v>
      </c>
      <c r="H3" s="1">
        <v>43326</v>
      </c>
      <c r="I3" s="1">
        <v>43655</v>
      </c>
      <c r="J3" s="1">
        <v>44259</v>
      </c>
      <c r="K3" s="1">
        <v>44663</v>
      </c>
      <c r="L3" s="1">
        <v>44822</v>
      </c>
      <c r="M3" s="1">
        <v>44813</v>
      </c>
      <c r="N3" s="1">
        <v>44882</v>
      </c>
      <c r="O3" s="1">
        <v>45125</v>
      </c>
      <c r="P3" s="1">
        <v>45546</v>
      </c>
      <c r="Q3" s="1">
        <v>46481</v>
      </c>
      <c r="R3" s="1">
        <v>47727</v>
      </c>
      <c r="S3" s="1">
        <v>49454</v>
      </c>
      <c r="T3" s="1">
        <v>50890</v>
      </c>
      <c r="U3" s="1">
        <v>52233</v>
      </c>
      <c r="V3" s="1">
        <v>52777</v>
      </c>
      <c r="W3" s="1">
        <v>53470</v>
      </c>
      <c r="X3" s="1">
        <v>54028</v>
      </c>
      <c r="Y3" s="1">
        <v>54181</v>
      </c>
      <c r="Z3" s="1">
        <v>54163</v>
      </c>
    </row>
    <row r="4" spans="1:27" x14ac:dyDescent="0.25">
      <c r="A4" t="s">
        <v>3</v>
      </c>
      <c r="B4">
        <v>31149</v>
      </c>
      <c r="C4">
        <v>31157</v>
      </c>
      <c r="D4" s="1">
        <v>31467</v>
      </c>
      <c r="E4" s="1">
        <v>31770</v>
      </c>
      <c r="F4" s="1">
        <v>32003</v>
      </c>
      <c r="G4" s="1">
        <v>32114</v>
      </c>
      <c r="H4" s="1">
        <v>32337</v>
      </c>
      <c r="I4" s="1">
        <v>32749</v>
      </c>
      <c r="J4" s="1">
        <v>33074</v>
      </c>
      <c r="K4" s="1">
        <v>33556</v>
      </c>
      <c r="L4" s="1">
        <v>33765</v>
      </c>
      <c r="M4" s="1">
        <v>33658</v>
      </c>
      <c r="N4" s="1">
        <v>33692</v>
      </c>
      <c r="O4" s="1">
        <v>33952</v>
      </c>
      <c r="P4" s="1">
        <v>34282</v>
      </c>
      <c r="Q4" s="1">
        <v>34626</v>
      </c>
      <c r="R4" s="1">
        <v>35314</v>
      </c>
      <c r="S4" s="1">
        <v>36169</v>
      </c>
      <c r="T4" s="1">
        <v>36901</v>
      </c>
      <c r="U4" s="1">
        <v>37335</v>
      </c>
      <c r="V4" s="1">
        <v>37678</v>
      </c>
      <c r="W4" s="1">
        <v>37975</v>
      </c>
      <c r="X4" s="1">
        <v>37979</v>
      </c>
      <c r="Y4" s="1">
        <v>37601</v>
      </c>
      <c r="Z4" s="1">
        <v>37179</v>
      </c>
    </row>
    <row r="5" spans="1:27" x14ac:dyDescent="0.25">
      <c r="A5" t="s">
        <v>4</v>
      </c>
      <c r="B5">
        <v>29235</v>
      </c>
      <c r="C5">
        <v>29242</v>
      </c>
      <c r="D5" s="1">
        <v>29263</v>
      </c>
      <c r="E5" s="1">
        <v>29466</v>
      </c>
      <c r="F5" s="1">
        <v>29644</v>
      </c>
      <c r="G5" s="1">
        <v>29671</v>
      </c>
      <c r="H5" s="1">
        <v>29879</v>
      </c>
      <c r="I5" s="1">
        <v>30144</v>
      </c>
      <c r="J5" s="1">
        <v>30462</v>
      </c>
      <c r="K5" s="1">
        <v>30713</v>
      </c>
      <c r="L5" s="1">
        <v>30477</v>
      </c>
      <c r="M5" s="1">
        <v>30276</v>
      </c>
      <c r="N5" s="1">
        <v>30596</v>
      </c>
      <c r="O5" s="1">
        <v>31121</v>
      </c>
      <c r="P5" s="1">
        <v>31389</v>
      </c>
      <c r="Q5" s="1">
        <v>31950</v>
      </c>
      <c r="R5" s="1">
        <v>32776</v>
      </c>
      <c r="S5" s="1">
        <v>33265</v>
      </c>
      <c r="T5" s="1">
        <v>33563</v>
      </c>
      <c r="U5" s="1">
        <v>34007</v>
      </c>
      <c r="V5" s="1">
        <v>34046</v>
      </c>
      <c r="W5" s="1">
        <v>34427</v>
      </c>
      <c r="X5" s="1">
        <v>34434</v>
      </c>
      <c r="Y5" s="1">
        <v>34039</v>
      </c>
      <c r="Z5" s="1">
        <v>33649</v>
      </c>
    </row>
    <row r="6" spans="1:27" x14ac:dyDescent="0.25">
      <c r="A6" t="s">
        <v>5</v>
      </c>
      <c r="B6">
        <v>29080</v>
      </c>
      <c r="C6">
        <v>29193</v>
      </c>
      <c r="D6" s="1">
        <v>29223</v>
      </c>
      <c r="E6" s="1">
        <v>29315</v>
      </c>
      <c r="F6" s="1">
        <v>29325</v>
      </c>
      <c r="G6" s="1">
        <v>29329</v>
      </c>
      <c r="H6" s="1">
        <v>29587</v>
      </c>
      <c r="I6" s="1">
        <v>29918</v>
      </c>
      <c r="J6" s="1">
        <v>30016</v>
      </c>
      <c r="K6" s="1">
        <v>30168</v>
      </c>
      <c r="L6" s="1">
        <v>30081</v>
      </c>
      <c r="M6" s="1">
        <v>30040</v>
      </c>
      <c r="N6" s="1">
        <v>30195</v>
      </c>
      <c r="O6" s="1">
        <v>30328</v>
      </c>
      <c r="P6" s="1">
        <v>30589</v>
      </c>
      <c r="Q6" s="1">
        <v>30976</v>
      </c>
      <c r="R6" s="1">
        <v>31468</v>
      </c>
      <c r="S6" s="1">
        <v>32209</v>
      </c>
      <c r="T6" s="1">
        <v>32661</v>
      </c>
      <c r="U6" s="1">
        <v>33087</v>
      </c>
      <c r="V6" s="1">
        <v>33403</v>
      </c>
      <c r="W6" s="1">
        <v>33712</v>
      </c>
      <c r="X6" s="1">
        <v>33993</v>
      </c>
      <c r="Y6" s="1">
        <v>34105</v>
      </c>
      <c r="Z6" s="1">
        <v>34182</v>
      </c>
    </row>
    <row r="7" spans="1:27" x14ac:dyDescent="0.25">
      <c r="A7" t="s">
        <v>6</v>
      </c>
      <c r="B7">
        <v>56594</v>
      </c>
      <c r="C7">
        <v>57046</v>
      </c>
      <c r="D7" s="1">
        <v>57570</v>
      </c>
      <c r="E7" s="1">
        <v>57645</v>
      </c>
      <c r="F7" s="1">
        <v>57855</v>
      </c>
      <c r="G7" s="1">
        <v>58001</v>
      </c>
      <c r="H7" s="1">
        <v>59061</v>
      </c>
      <c r="I7" s="1">
        <v>59989</v>
      </c>
      <c r="J7" s="1">
        <v>61620</v>
      </c>
      <c r="K7" s="1">
        <v>63277</v>
      </c>
      <c r="L7" s="1">
        <v>64614</v>
      </c>
      <c r="M7" s="1">
        <v>65812</v>
      </c>
      <c r="N7" s="1">
        <v>67208</v>
      </c>
      <c r="O7" s="1">
        <v>69088</v>
      </c>
      <c r="P7" s="1">
        <v>70721</v>
      </c>
      <c r="Q7" s="1">
        <v>72358</v>
      </c>
      <c r="R7" s="1">
        <v>74479</v>
      </c>
      <c r="S7" s="1">
        <v>76479</v>
      </c>
      <c r="T7" s="1">
        <v>78643</v>
      </c>
      <c r="U7" s="1">
        <v>79999</v>
      </c>
      <c r="V7" s="1">
        <v>80948</v>
      </c>
      <c r="W7" s="1">
        <v>81841</v>
      </c>
      <c r="X7" s="1">
        <v>82745</v>
      </c>
      <c r="Y7" s="1">
        <v>83037</v>
      </c>
      <c r="Z7" s="1">
        <v>83263</v>
      </c>
    </row>
    <row r="8" spans="1:27" x14ac:dyDescent="0.25">
      <c r="A8" t="s">
        <v>7</v>
      </c>
      <c r="B8">
        <v>22360</v>
      </c>
      <c r="C8">
        <v>22289</v>
      </c>
      <c r="D8" s="1">
        <v>22382</v>
      </c>
      <c r="E8" s="1">
        <v>22409</v>
      </c>
      <c r="F8" s="1">
        <v>22476</v>
      </c>
      <c r="G8" s="1">
        <v>22528</v>
      </c>
      <c r="H8" s="1">
        <v>22785</v>
      </c>
      <c r="I8" s="1">
        <v>23173</v>
      </c>
      <c r="J8" s="1">
        <v>23450</v>
      </c>
      <c r="K8" s="1">
        <v>23637</v>
      </c>
      <c r="L8" s="1">
        <v>23786</v>
      </c>
      <c r="M8" s="1">
        <v>23873</v>
      </c>
      <c r="N8" s="1">
        <v>24199</v>
      </c>
      <c r="O8" s="1">
        <v>24489</v>
      </c>
      <c r="P8" s="1">
        <v>24903</v>
      </c>
      <c r="Q8" s="1">
        <v>25310</v>
      </c>
      <c r="R8" s="1">
        <v>25897</v>
      </c>
      <c r="S8" s="1">
        <v>26725</v>
      </c>
      <c r="T8" s="1">
        <v>27387</v>
      </c>
      <c r="U8" s="1">
        <v>27749</v>
      </c>
      <c r="V8" s="1">
        <v>27856</v>
      </c>
      <c r="W8" s="1">
        <v>28012</v>
      </c>
      <c r="X8" s="1">
        <v>27851</v>
      </c>
      <c r="Y8" s="1">
        <v>27858</v>
      </c>
      <c r="Z8" s="1">
        <v>27570</v>
      </c>
    </row>
    <row r="9" spans="1:27" x14ac:dyDescent="0.25">
      <c r="A9" t="s">
        <v>8</v>
      </c>
      <c r="B9">
        <v>26706</v>
      </c>
      <c r="C9">
        <v>26934</v>
      </c>
      <c r="D9" s="1">
        <v>27137</v>
      </c>
      <c r="E9" s="1">
        <v>27385</v>
      </c>
      <c r="F9" s="1">
        <v>27652</v>
      </c>
      <c r="G9" s="1">
        <v>27807</v>
      </c>
      <c r="H9" s="1">
        <v>28152</v>
      </c>
      <c r="I9" s="1">
        <v>28593</v>
      </c>
      <c r="J9" s="1">
        <v>28953</v>
      </c>
      <c r="K9" s="1">
        <v>29269</v>
      </c>
      <c r="L9" s="1">
        <v>29349</v>
      </c>
      <c r="M9" s="1">
        <v>29382</v>
      </c>
      <c r="N9" s="1">
        <v>29546</v>
      </c>
      <c r="O9" s="1">
        <v>29773</v>
      </c>
      <c r="P9" s="1">
        <v>30420</v>
      </c>
      <c r="Q9" s="1">
        <v>31273</v>
      </c>
      <c r="R9" s="1">
        <v>32093</v>
      </c>
      <c r="S9" s="1">
        <v>33244</v>
      </c>
      <c r="T9" s="1">
        <v>34004</v>
      </c>
      <c r="U9" s="1">
        <v>34768</v>
      </c>
      <c r="V9" s="1">
        <v>35204</v>
      </c>
      <c r="W9" s="1">
        <v>35452</v>
      </c>
      <c r="X9" s="1">
        <v>35595</v>
      </c>
      <c r="Y9" s="1">
        <v>35475</v>
      </c>
      <c r="Z9" s="1">
        <v>35522</v>
      </c>
    </row>
    <row r="10" spans="1:27" x14ac:dyDescent="0.25">
      <c r="A10" t="s">
        <v>9</v>
      </c>
      <c r="B10">
        <v>100306</v>
      </c>
      <c r="C10">
        <v>101123</v>
      </c>
      <c r="D10" s="1">
        <v>101649</v>
      </c>
      <c r="E10" s="1">
        <v>102251</v>
      </c>
      <c r="F10" s="1">
        <v>102993</v>
      </c>
      <c r="G10" s="1">
        <v>103359</v>
      </c>
      <c r="H10" s="1">
        <v>104537</v>
      </c>
      <c r="I10" s="1">
        <v>105498</v>
      </c>
      <c r="J10" s="1">
        <v>106790</v>
      </c>
      <c r="K10" s="1">
        <v>108307</v>
      </c>
      <c r="L10" s="1">
        <v>109414</v>
      </c>
      <c r="M10" s="1">
        <v>110213</v>
      </c>
      <c r="N10" s="1">
        <v>111729</v>
      </c>
      <c r="O10" s="1">
        <v>113730</v>
      </c>
      <c r="P10" s="1">
        <v>115600</v>
      </c>
      <c r="Q10" s="1">
        <v>117628</v>
      </c>
      <c r="R10" s="1">
        <v>120254</v>
      </c>
      <c r="S10" s="1">
        <v>122440</v>
      </c>
      <c r="T10" s="1">
        <v>124759</v>
      </c>
      <c r="U10" s="1">
        <v>126207</v>
      </c>
      <c r="V10" s="1">
        <v>126840</v>
      </c>
      <c r="W10" s="1">
        <v>127633</v>
      </c>
      <c r="X10" s="1">
        <v>128545</v>
      </c>
      <c r="Y10" s="1">
        <v>128782</v>
      </c>
      <c r="Z10" s="1">
        <v>128136</v>
      </c>
    </row>
    <row r="11" spans="1:27" x14ac:dyDescent="0.25">
      <c r="A11" t="s">
        <v>10</v>
      </c>
      <c r="B11">
        <v>29969</v>
      </c>
      <c r="C11">
        <v>30080</v>
      </c>
      <c r="D11" s="1">
        <v>30186</v>
      </c>
      <c r="E11" s="1">
        <v>30238</v>
      </c>
      <c r="F11" s="1">
        <v>30349</v>
      </c>
      <c r="G11" s="1">
        <v>30407</v>
      </c>
      <c r="H11" s="1">
        <v>30623</v>
      </c>
      <c r="I11" s="1">
        <v>31004</v>
      </c>
      <c r="J11" s="1">
        <v>31542</v>
      </c>
      <c r="K11" s="1">
        <v>31854</v>
      </c>
      <c r="L11" s="1">
        <v>31908</v>
      </c>
      <c r="M11" s="1">
        <v>32205</v>
      </c>
      <c r="N11" s="1">
        <v>32558</v>
      </c>
      <c r="O11" s="1">
        <v>32975</v>
      </c>
      <c r="P11" s="1">
        <v>33476</v>
      </c>
      <c r="Q11" s="1">
        <v>33903</v>
      </c>
      <c r="R11" s="1">
        <v>34458</v>
      </c>
      <c r="S11" s="1">
        <v>35408</v>
      </c>
      <c r="T11" s="1">
        <v>36341</v>
      </c>
      <c r="U11" s="1">
        <v>36900</v>
      </c>
      <c r="V11" s="1">
        <v>36971</v>
      </c>
      <c r="W11" s="1">
        <v>37089</v>
      </c>
      <c r="X11" s="1">
        <v>37051</v>
      </c>
      <c r="Y11" s="1">
        <v>36939</v>
      </c>
      <c r="Z11" s="1">
        <v>36828</v>
      </c>
    </row>
    <row r="12" spans="1:27" x14ac:dyDescent="0.25">
      <c r="A12" t="s">
        <v>11</v>
      </c>
      <c r="B12">
        <v>29880</v>
      </c>
      <c r="C12">
        <v>30263</v>
      </c>
      <c r="D12" s="1">
        <v>30611</v>
      </c>
      <c r="E12" s="1">
        <v>31085</v>
      </c>
      <c r="F12" s="1">
        <v>31394</v>
      </c>
      <c r="G12" s="1">
        <v>31573</v>
      </c>
      <c r="H12" s="1">
        <v>31795</v>
      </c>
      <c r="I12" s="1">
        <v>31974</v>
      </c>
      <c r="J12" s="1">
        <v>32036</v>
      </c>
      <c r="K12" s="1">
        <v>32225</v>
      </c>
      <c r="L12" s="1">
        <v>32174</v>
      </c>
      <c r="M12" s="1">
        <v>32115</v>
      </c>
      <c r="N12" s="1">
        <v>32211</v>
      </c>
      <c r="O12" s="1">
        <v>32383</v>
      </c>
      <c r="P12" s="1">
        <v>32673</v>
      </c>
      <c r="Q12" s="1">
        <v>33152</v>
      </c>
      <c r="R12" s="1">
        <v>33928</v>
      </c>
      <c r="S12" s="1">
        <v>35009</v>
      </c>
      <c r="T12" s="1">
        <v>35832</v>
      </c>
      <c r="U12" s="1">
        <v>36344</v>
      </c>
      <c r="V12" s="1">
        <v>36849</v>
      </c>
      <c r="W12" s="1">
        <v>37155</v>
      </c>
      <c r="X12" s="1">
        <v>37547</v>
      </c>
      <c r="Y12" s="1">
        <v>37436</v>
      </c>
      <c r="Z12" s="1">
        <v>37391</v>
      </c>
    </row>
    <row r="13" spans="1:27" x14ac:dyDescent="0.25">
      <c r="A13" t="s">
        <v>12</v>
      </c>
      <c r="B13">
        <v>25561</v>
      </c>
      <c r="C13">
        <v>25510</v>
      </c>
      <c r="D13" s="1">
        <v>25495</v>
      </c>
      <c r="E13" s="1">
        <v>25593</v>
      </c>
      <c r="F13" s="1">
        <v>25672</v>
      </c>
      <c r="G13" s="1">
        <v>25676</v>
      </c>
      <c r="H13" s="1">
        <v>25669</v>
      </c>
      <c r="I13" s="1">
        <v>25724</v>
      </c>
      <c r="J13" s="1">
        <v>25891</v>
      </c>
      <c r="K13" s="1">
        <v>26052</v>
      </c>
      <c r="L13" s="1">
        <v>26160</v>
      </c>
      <c r="M13" s="1">
        <v>25989</v>
      </c>
      <c r="N13" s="1">
        <v>25847</v>
      </c>
      <c r="O13" s="1">
        <v>25920</v>
      </c>
      <c r="P13" s="1">
        <v>25998</v>
      </c>
      <c r="Q13" s="1">
        <v>26305</v>
      </c>
      <c r="R13" s="1">
        <v>26935</v>
      </c>
      <c r="S13" s="1">
        <v>27636</v>
      </c>
      <c r="T13" s="1">
        <v>28347</v>
      </c>
      <c r="U13" s="1">
        <v>28839</v>
      </c>
      <c r="V13" s="1">
        <v>29199</v>
      </c>
      <c r="W13" s="1">
        <v>29300</v>
      </c>
      <c r="X13" s="1">
        <v>29322</v>
      </c>
      <c r="Y13" s="1">
        <v>29231</v>
      </c>
      <c r="Z13" s="1">
        <v>29190</v>
      </c>
    </row>
    <row r="14" spans="1:27" x14ac:dyDescent="0.25">
      <c r="A14" t="s">
        <v>21</v>
      </c>
      <c r="B14">
        <v>99457</v>
      </c>
      <c r="C14">
        <v>99180</v>
      </c>
      <c r="D14">
        <v>99205</v>
      </c>
      <c r="E14">
        <v>99515</v>
      </c>
      <c r="F14">
        <v>99758</v>
      </c>
      <c r="G14">
        <v>99393</v>
      </c>
      <c r="H14">
        <v>99442</v>
      </c>
      <c r="I14">
        <v>99704</v>
      </c>
      <c r="J14">
        <v>99702</v>
      </c>
      <c r="K14">
        <v>99993</v>
      </c>
      <c r="L14">
        <v>99380</v>
      </c>
      <c r="M14">
        <v>98467</v>
      </c>
      <c r="N14">
        <v>98264</v>
      </c>
      <c r="O14">
        <v>98893</v>
      </c>
      <c r="P14">
        <v>99496</v>
      </c>
      <c r="Q14">
        <v>100530</v>
      </c>
      <c r="R14">
        <v>102705</v>
      </c>
      <c r="S14">
        <v>104668</v>
      </c>
      <c r="T14">
        <v>106172</v>
      </c>
      <c r="U14">
        <v>107118</v>
      </c>
      <c r="V14">
        <v>107322</v>
      </c>
      <c r="W14">
        <v>108191</v>
      </c>
      <c r="X14">
        <v>108198</v>
      </c>
      <c r="Y14">
        <v>107185</v>
      </c>
      <c r="Z14">
        <v>106090</v>
      </c>
    </row>
    <row r="15" spans="1:27" s="3" customFormat="1" x14ac:dyDescent="0.25">
      <c r="A15" t="s">
        <v>18</v>
      </c>
      <c r="B15" s="3">
        <v>2139378</v>
      </c>
      <c r="C15" s="3">
        <v>2139336</v>
      </c>
      <c r="D15" s="4">
        <v>2144151</v>
      </c>
      <c r="E15" s="4">
        <v>2152290</v>
      </c>
      <c r="F15" s="4">
        <v>2158278</v>
      </c>
      <c r="G15" s="4">
        <v>2159156</v>
      </c>
      <c r="H15" s="4">
        <v>2169309</v>
      </c>
      <c r="I15" s="4">
        <v>2178761</v>
      </c>
      <c r="J15" s="4">
        <v>2183810</v>
      </c>
      <c r="K15" s="4">
        <v>2187975</v>
      </c>
      <c r="L15" s="4">
        <v>2183564</v>
      </c>
      <c r="M15" s="4">
        <v>2176646</v>
      </c>
      <c r="N15" s="4">
        <v>2176486</v>
      </c>
      <c r="O15" s="4">
        <v>2189728</v>
      </c>
      <c r="P15" s="4">
        <v>2209269</v>
      </c>
      <c r="Q15" s="4">
        <v>2239615</v>
      </c>
      <c r="R15" s="4">
        <v>2290606</v>
      </c>
      <c r="S15" s="4">
        <v>2339515</v>
      </c>
      <c r="T15" s="4">
        <v>2379242</v>
      </c>
      <c r="U15" s="4">
        <v>2403730</v>
      </c>
      <c r="V15" s="4">
        <v>2414374</v>
      </c>
      <c r="W15" s="4">
        <v>2430074</v>
      </c>
      <c r="X15" s="4">
        <v>2431940</v>
      </c>
      <c r="Y15" s="4">
        <v>2416259</v>
      </c>
      <c r="Z15" s="4">
        <v>2401499</v>
      </c>
    </row>
    <row r="16" spans="1:27" x14ac:dyDescent="0.25">
      <c r="A16" t="s">
        <v>16</v>
      </c>
      <c r="B16" s="1">
        <f t="shared" ref="B16:Z16" si="0">SUM(B2:B13)</f>
        <v>579040</v>
      </c>
      <c r="C16" s="1">
        <f t="shared" si="0"/>
        <v>582619</v>
      </c>
      <c r="D16" s="1">
        <f t="shared" si="0"/>
        <v>582630</v>
      </c>
      <c r="E16" s="1">
        <f t="shared" si="0"/>
        <v>586831</v>
      </c>
      <c r="F16" s="1">
        <f t="shared" si="0"/>
        <v>591409</v>
      </c>
      <c r="G16" s="1">
        <f t="shared" si="0"/>
        <v>594668</v>
      </c>
      <c r="H16" s="1">
        <f t="shared" si="0"/>
        <v>602311</v>
      </c>
      <c r="I16" s="1">
        <f t="shared" si="0"/>
        <v>610153</v>
      </c>
      <c r="J16" s="1">
        <f t="shared" si="0"/>
        <v>619650</v>
      </c>
      <c r="K16" s="1">
        <f t="shared" si="0"/>
        <v>629847</v>
      </c>
      <c r="L16" s="1">
        <f t="shared" si="0"/>
        <v>637239</v>
      </c>
      <c r="M16" s="1">
        <f t="shared" si="0"/>
        <v>643064</v>
      </c>
      <c r="N16" s="1">
        <f t="shared" si="0"/>
        <v>650775</v>
      </c>
      <c r="O16" s="1">
        <f t="shared" si="0"/>
        <v>661088</v>
      </c>
      <c r="P16" s="1">
        <f t="shared" si="0"/>
        <v>670939</v>
      </c>
      <c r="Q16" s="1">
        <f t="shared" si="0"/>
        <v>682478</v>
      </c>
      <c r="R16" s="1">
        <f t="shared" si="0"/>
        <v>697249</v>
      </c>
      <c r="S16" s="1">
        <f t="shared" si="0"/>
        <v>713955</v>
      </c>
      <c r="T16" s="1">
        <f t="shared" si="0"/>
        <v>728732</v>
      </c>
      <c r="U16" s="1">
        <f t="shared" si="0"/>
        <v>739482</v>
      </c>
      <c r="V16" s="1">
        <f t="shared" si="0"/>
        <v>743502</v>
      </c>
      <c r="W16" s="1">
        <f t="shared" si="0"/>
        <v>747405</v>
      </c>
      <c r="X16" s="1">
        <f t="shared" si="0"/>
        <v>749265</v>
      </c>
      <c r="Y16" s="1">
        <f t="shared" si="0"/>
        <v>748035</v>
      </c>
      <c r="Z16" s="1">
        <f t="shared" si="0"/>
        <v>745749</v>
      </c>
    </row>
    <row r="17" spans="1:26" x14ac:dyDescent="0.25">
      <c r="A17" t="s">
        <v>17</v>
      </c>
      <c r="B17" s="1">
        <f t="shared" ref="B17:Z17" si="1">SUM(B2+B7+B10)</f>
        <v>308436</v>
      </c>
      <c r="C17" s="1">
        <f t="shared" si="1"/>
        <v>311228</v>
      </c>
      <c r="D17" s="1">
        <f t="shared" si="1"/>
        <v>313998</v>
      </c>
      <c r="E17" s="1">
        <f t="shared" si="1"/>
        <v>316618</v>
      </c>
      <c r="F17" s="1">
        <f t="shared" si="1"/>
        <v>319659</v>
      </c>
      <c r="G17" s="1">
        <f t="shared" si="1"/>
        <v>322416</v>
      </c>
      <c r="H17" s="1">
        <f t="shared" si="1"/>
        <v>328158</v>
      </c>
      <c r="I17" s="1">
        <f t="shared" si="1"/>
        <v>333219</v>
      </c>
      <c r="J17" s="1">
        <f t="shared" si="1"/>
        <v>339967</v>
      </c>
      <c r="K17" s="1">
        <f t="shared" si="1"/>
        <v>347710</v>
      </c>
      <c r="L17" s="1">
        <f t="shared" si="1"/>
        <v>354717</v>
      </c>
      <c r="M17" s="1">
        <f t="shared" si="1"/>
        <v>360713</v>
      </c>
      <c r="N17" s="1">
        <f t="shared" si="1"/>
        <v>367049</v>
      </c>
      <c r="O17" s="1">
        <f t="shared" si="1"/>
        <v>375022</v>
      </c>
      <c r="P17" s="1">
        <f t="shared" si="1"/>
        <v>381663</v>
      </c>
      <c r="Q17" s="1">
        <f t="shared" si="1"/>
        <v>388502</v>
      </c>
      <c r="R17" s="1">
        <f t="shared" si="1"/>
        <v>396653</v>
      </c>
      <c r="S17" s="1">
        <f t="shared" si="1"/>
        <v>404836</v>
      </c>
      <c r="T17" s="1">
        <f t="shared" si="1"/>
        <v>412806</v>
      </c>
      <c r="U17" s="1">
        <f t="shared" si="1"/>
        <v>418220</v>
      </c>
      <c r="V17" s="1">
        <f t="shared" si="1"/>
        <v>419519</v>
      </c>
      <c r="W17" s="1">
        <f t="shared" si="1"/>
        <v>420813</v>
      </c>
      <c r="X17" s="1">
        <f t="shared" si="1"/>
        <v>421465</v>
      </c>
      <c r="Y17" s="1">
        <f t="shared" si="1"/>
        <v>421170</v>
      </c>
      <c r="Z17" s="1">
        <f t="shared" si="1"/>
        <v>420075</v>
      </c>
    </row>
    <row r="18" spans="1:26" x14ac:dyDescent="0.25">
      <c r="A18" t="s">
        <v>13</v>
      </c>
      <c r="B18" s="1">
        <f t="shared" ref="B18:Z18" si="2">SUM(B2+B3+B7+B10)</f>
        <v>355100</v>
      </c>
      <c r="C18" s="1">
        <f t="shared" si="2"/>
        <v>357951</v>
      </c>
      <c r="D18" s="1">
        <f t="shared" si="2"/>
        <v>356866</v>
      </c>
      <c r="E18" s="1">
        <f t="shared" si="2"/>
        <v>359570</v>
      </c>
      <c r="F18" s="1">
        <f t="shared" si="2"/>
        <v>362894</v>
      </c>
      <c r="G18" s="1">
        <f t="shared" si="2"/>
        <v>365563</v>
      </c>
      <c r="H18" s="1">
        <f t="shared" si="2"/>
        <v>371484</v>
      </c>
      <c r="I18" s="1">
        <f t="shared" si="2"/>
        <v>376874</v>
      </c>
      <c r="J18" s="1">
        <f t="shared" si="2"/>
        <v>384226</v>
      </c>
      <c r="K18" s="1">
        <f t="shared" si="2"/>
        <v>392373</v>
      </c>
      <c r="L18" s="1">
        <f t="shared" si="2"/>
        <v>399539</v>
      </c>
      <c r="M18" s="1">
        <f t="shared" si="2"/>
        <v>405526</v>
      </c>
      <c r="N18" s="1">
        <f t="shared" si="2"/>
        <v>411931</v>
      </c>
      <c r="O18" s="1">
        <f t="shared" si="2"/>
        <v>420147</v>
      </c>
      <c r="P18" s="1">
        <f t="shared" si="2"/>
        <v>427209</v>
      </c>
      <c r="Q18" s="1">
        <f t="shared" si="2"/>
        <v>434983</v>
      </c>
      <c r="R18" s="1">
        <f t="shared" si="2"/>
        <v>444380</v>
      </c>
      <c r="S18" s="1">
        <f t="shared" si="2"/>
        <v>454290</v>
      </c>
      <c r="T18" s="1">
        <f t="shared" si="2"/>
        <v>463696</v>
      </c>
      <c r="U18" s="1">
        <f t="shared" si="2"/>
        <v>470453</v>
      </c>
      <c r="V18" s="1">
        <f t="shared" si="2"/>
        <v>472296</v>
      </c>
      <c r="W18" s="1">
        <f t="shared" si="2"/>
        <v>474283</v>
      </c>
      <c r="X18" s="1">
        <f t="shared" si="2"/>
        <v>475493</v>
      </c>
      <c r="Y18" s="1">
        <f t="shared" si="2"/>
        <v>475351</v>
      </c>
      <c r="Z18" s="1">
        <f t="shared" si="2"/>
        <v>474238</v>
      </c>
    </row>
    <row r="19" spans="1:26" x14ac:dyDescent="0.25">
      <c r="A19" t="s">
        <v>14</v>
      </c>
      <c r="B19" s="1">
        <f t="shared" ref="B19:Z19" si="3">+B4+B5+B6+B8+B9+B11+B12+B13</f>
        <v>223940</v>
      </c>
      <c r="C19" s="1">
        <f t="shared" si="3"/>
        <v>224668</v>
      </c>
      <c r="D19" s="1">
        <f t="shared" si="3"/>
        <v>225764</v>
      </c>
      <c r="E19" s="1">
        <f t="shared" si="3"/>
        <v>227261</v>
      </c>
      <c r="F19" s="1">
        <f t="shared" si="3"/>
        <v>228515</v>
      </c>
      <c r="G19" s="1">
        <f t="shared" si="3"/>
        <v>229105</v>
      </c>
      <c r="H19" s="1">
        <f t="shared" si="3"/>
        <v>230827</v>
      </c>
      <c r="I19" s="1">
        <f t="shared" si="3"/>
        <v>233279</v>
      </c>
      <c r="J19" s="1">
        <f t="shared" si="3"/>
        <v>235424</v>
      </c>
      <c r="K19" s="1">
        <f t="shared" si="3"/>
        <v>237474</v>
      </c>
      <c r="L19" s="1">
        <f t="shared" si="3"/>
        <v>237700</v>
      </c>
      <c r="M19" s="1">
        <f t="shared" si="3"/>
        <v>237538</v>
      </c>
      <c r="N19" s="1">
        <f t="shared" si="3"/>
        <v>238844</v>
      </c>
      <c r="O19" s="1">
        <f t="shared" si="3"/>
        <v>240941</v>
      </c>
      <c r="P19" s="1">
        <f t="shared" si="3"/>
        <v>243730</v>
      </c>
      <c r="Q19" s="1">
        <f t="shared" si="3"/>
        <v>247495</v>
      </c>
      <c r="R19" s="1">
        <f t="shared" si="3"/>
        <v>252869</v>
      </c>
      <c r="S19" s="1">
        <f t="shared" si="3"/>
        <v>259665</v>
      </c>
      <c r="T19" s="1">
        <f t="shared" si="3"/>
        <v>265036</v>
      </c>
      <c r="U19" s="1">
        <f t="shared" si="3"/>
        <v>269029</v>
      </c>
      <c r="V19" s="1">
        <f t="shared" si="3"/>
        <v>271206</v>
      </c>
      <c r="W19" s="1">
        <f t="shared" si="3"/>
        <v>273122</v>
      </c>
      <c r="X19" s="1">
        <f t="shared" si="3"/>
        <v>273772</v>
      </c>
      <c r="Y19" s="1">
        <f t="shared" si="3"/>
        <v>272684</v>
      </c>
      <c r="Z19" s="1">
        <f t="shared" si="3"/>
        <v>271511</v>
      </c>
    </row>
    <row r="20" spans="1:26" x14ac:dyDescent="0.25">
      <c r="A20" t="s">
        <v>20</v>
      </c>
      <c r="B20" s="1">
        <f t="shared" ref="B20:Z20" si="4">+B6+B8+B9+B11+B12+B13</f>
        <v>163556</v>
      </c>
      <c r="C20" s="1">
        <f t="shared" si="4"/>
        <v>164269</v>
      </c>
      <c r="D20" s="1">
        <f t="shared" si="4"/>
        <v>165034</v>
      </c>
      <c r="E20" s="1">
        <f t="shared" si="4"/>
        <v>166025</v>
      </c>
      <c r="F20" s="1">
        <f t="shared" si="4"/>
        <v>166868</v>
      </c>
      <c r="G20" s="1">
        <f t="shared" si="4"/>
        <v>167320</v>
      </c>
      <c r="H20" s="1">
        <f t="shared" si="4"/>
        <v>168611</v>
      </c>
      <c r="I20" s="1">
        <f t="shared" si="4"/>
        <v>170386</v>
      </c>
      <c r="J20" s="1">
        <f t="shared" si="4"/>
        <v>171888</v>
      </c>
      <c r="K20" s="1">
        <f t="shared" si="4"/>
        <v>173205</v>
      </c>
      <c r="L20" s="1">
        <f t="shared" si="4"/>
        <v>173458</v>
      </c>
      <c r="M20" s="1">
        <f t="shared" si="4"/>
        <v>173604</v>
      </c>
      <c r="N20" s="1">
        <f t="shared" si="4"/>
        <v>174556</v>
      </c>
      <c r="O20" s="1">
        <f t="shared" si="4"/>
        <v>175868</v>
      </c>
      <c r="P20" s="1">
        <f t="shared" si="4"/>
        <v>178059</v>
      </c>
      <c r="Q20" s="1">
        <f t="shared" si="4"/>
        <v>180919</v>
      </c>
      <c r="R20" s="1">
        <f t="shared" si="4"/>
        <v>184779</v>
      </c>
      <c r="S20" s="1">
        <f t="shared" si="4"/>
        <v>190231</v>
      </c>
      <c r="T20" s="1">
        <f t="shared" si="4"/>
        <v>194572</v>
      </c>
      <c r="U20" s="1">
        <f t="shared" si="4"/>
        <v>197687</v>
      </c>
      <c r="V20" s="1">
        <f t="shared" si="4"/>
        <v>199482</v>
      </c>
      <c r="W20" s="1">
        <f t="shared" si="4"/>
        <v>200720</v>
      </c>
      <c r="X20" s="1">
        <f t="shared" si="4"/>
        <v>201359</v>
      </c>
      <c r="Y20" s="1">
        <f t="shared" si="4"/>
        <v>201044</v>
      </c>
      <c r="Z20" s="1">
        <f t="shared" si="4"/>
        <v>200683</v>
      </c>
    </row>
    <row r="21" spans="1:26" x14ac:dyDescent="0.25">
      <c r="A21" t="s">
        <v>34</v>
      </c>
      <c r="B21" s="1">
        <f t="shared" ref="B21:Z21" si="5">+B20+B5</f>
        <v>192791</v>
      </c>
      <c r="C21" s="1">
        <f t="shared" si="5"/>
        <v>193511</v>
      </c>
      <c r="D21" s="1">
        <f t="shared" si="5"/>
        <v>194297</v>
      </c>
      <c r="E21" s="1">
        <f t="shared" si="5"/>
        <v>195491</v>
      </c>
      <c r="F21" s="1">
        <f t="shared" si="5"/>
        <v>196512</v>
      </c>
      <c r="G21" s="1">
        <f t="shared" si="5"/>
        <v>196991</v>
      </c>
      <c r="H21" s="1">
        <f t="shared" si="5"/>
        <v>198490</v>
      </c>
      <c r="I21" s="1">
        <f t="shared" si="5"/>
        <v>200530</v>
      </c>
      <c r="J21" s="1">
        <f t="shared" si="5"/>
        <v>202350</v>
      </c>
      <c r="K21" s="1">
        <f t="shared" si="5"/>
        <v>203918</v>
      </c>
      <c r="L21" s="1">
        <f t="shared" si="5"/>
        <v>203935</v>
      </c>
      <c r="M21" s="1">
        <f t="shared" si="5"/>
        <v>203880</v>
      </c>
      <c r="N21" s="1">
        <f t="shared" si="5"/>
        <v>205152</v>
      </c>
      <c r="O21" s="1">
        <f t="shared" si="5"/>
        <v>206989</v>
      </c>
      <c r="P21" s="1">
        <f t="shared" si="5"/>
        <v>209448</v>
      </c>
      <c r="Q21" s="1">
        <f t="shared" si="5"/>
        <v>212869</v>
      </c>
      <c r="R21" s="1">
        <f t="shared" si="5"/>
        <v>217555</v>
      </c>
      <c r="S21" s="1">
        <f t="shared" si="5"/>
        <v>223496</v>
      </c>
      <c r="T21" s="1">
        <f t="shared" si="5"/>
        <v>228135</v>
      </c>
      <c r="U21" s="1">
        <f t="shared" si="5"/>
        <v>231694</v>
      </c>
      <c r="V21" s="1">
        <f t="shared" si="5"/>
        <v>233528</v>
      </c>
      <c r="W21" s="1">
        <f t="shared" si="5"/>
        <v>235147</v>
      </c>
      <c r="X21" s="1">
        <f t="shared" si="5"/>
        <v>235793</v>
      </c>
      <c r="Y21" s="1">
        <f t="shared" si="5"/>
        <v>235083</v>
      </c>
      <c r="Z21" s="1">
        <f t="shared" si="5"/>
        <v>234332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60384</v>
      </c>
      <c r="C23" s="1">
        <f t="shared" si="6"/>
        <v>60399</v>
      </c>
      <c r="D23" s="1">
        <f t="shared" si="6"/>
        <v>60730</v>
      </c>
      <c r="E23" s="1">
        <f t="shared" si="6"/>
        <v>61236</v>
      </c>
      <c r="F23" s="1">
        <f t="shared" si="6"/>
        <v>61647</v>
      </c>
      <c r="G23" s="1">
        <f t="shared" si="6"/>
        <v>61785</v>
      </c>
      <c r="H23" s="1">
        <f t="shared" si="6"/>
        <v>62216</v>
      </c>
      <c r="I23" s="1">
        <f t="shared" si="6"/>
        <v>62893</v>
      </c>
      <c r="J23" s="1">
        <f t="shared" si="6"/>
        <v>63536</v>
      </c>
      <c r="K23" s="1">
        <f t="shared" si="6"/>
        <v>64269</v>
      </c>
      <c r="L23" s="1">
        <f t="shared" si="6"/>
        <v>64242</v>
      </c>
      <c r="M23" s="1">
        <f t="shared" si="6"/>
        <v>63934</v>
      </c>
      <c r="N23" s="1">
        <f t="shared" si="6"/>
        <v>64288</v>
      </c>
      <c r="O23" s="1">
        <f t="shared" si="6"/>
        <v>65073</v>
      </c>
      <c r="P23" s="1">
        <f t="shared" si="6"/>
        <v>65671</v>
      </c>
      <c r="Q23" s="1">
        <f t="shared" si="6"/>
        <v>66576</v>
      </c>
      <c r="R23" s="1">
        <f t="shared" si="6"/>
        <v>68090</v>
      </c>
      <c r="S23" s="1">
        <f t="shared" si="6"/>
        <v>69434</v>
      </c>
      <c r="T23" s="1">
        <f t="shared" si="6"/>
        <v>70464</v>
      </c>
      <c r="U23" s="1">
        <f t="shared" si="6"/>
        <v>71342</v>
      </c>
      <c r="V23" s="1">
        <f t="shared" si="6"/>
        <v>71724</v>
      </c>
      <c r="W23" s="1">
        <f t="shared" si="6"/>
        <v>72402</v>
      </c>
      <c r="X23" s="1">
        <f t="shared" si="6"/>
        <v>72413</v>
      </c>
      <c r="Y23" s="1">
        <f t="shared" si="6"/>
        <v>71640</v>
      </c>
      <c r="Z23" s="1">
        <f t="shared" si="6"/>
        <v>70828</v>
      </c>
    </row>
    <row r="24" spans="1:26" x14ac:dyDescent="0.25">
      <c r="A24" t="s">
        <v>35</v>
      </c>
      <c r="B24" s="1">
        <f t="shared" ref="B24:Z24" si="7">SUM(B14-B4)</f>
        <v>68308</v>
      </c>
      <c r="C24" s="1">
        <f t="shared" si="7"/>
        <v>68023</v>
      </c>
      <c r="D24" s="1">
        <f t="shared" si="7"/>
        <v>67738</v>
      </c>
      <c r="E24" s="1">
        <f t="shared" si="7"/>
        <v>67745</v>
      </c>
      <c r="F24" s="1">
        <f t="shared" si="7"/>
        <v>67755</v>
      </c>
      <c r="G24" s="1">
        <f t="shared" si="7"/>
        <v>67279</v>
      </c>
      <c r="H24" s="1">
        <f t="shared" si="7"/>
        <v>67105</v>
      </c>
      <c r="I24" s="1">
        <f t="shared" si="7"/>
        <v>66955</v>
      </c>
      <c r="J24" s="1">
        <f t="shared" si="7"/>
        <v>66628</v>
      </c>
      <c r="K24" s="1">
        <f t="shared" si="7"/>
        <v>66437</v>
      </c>
      <c r="L24" s="1">
        <f t="shared" si="7"/>
        <v>65615</v>
      </c>
      <c r="M24" s="1">
        <f t="shared" si="7"/>
        <v>64809</v>
      </c>
      <c r="N24" s="1">
        <f t="shared" si="7"/>
        <v>64572</v>
      </c>
      <c r="O24" s="1">
        <f t="shared" si="7"/>
        <v>64941</v>
      </c>
      <c r="P24" s="1">
        <f t="shared" si="7"/>
        <v>65214</v>
      </c>
      <c r="Q24" s="1">
        <f t="shared" si="7"/>
        <v>65904</v>
      </c>
      <c r="R24" s="1">
        <f t="shared" si="7"/>
        <v>67391</v>
      </c>
      <c r="S24" s="1">
        <f t="shared" si="7"/>
        <v>68499</v>
      </c>
      <c r="T24" s="1">
        <f t="shared" si="7"/>
        <v>69271</v>
      </c>
      <c r="U24" s="1">
        <f t="shared" si="7"/>
        <v>69783</v>
      </c>
      <c r="V24" s="1">
        <f t="shared" si="7"/>
        <v>69644</v>
      </c>
      <c r="W24" s="1">
        <f t="shared" si="7"/>
        <v>70216</v>
      </c>
      <c r="X24" s="1">
        <f t="shared" si="7"/>
        <v>70219</v>
      </c>
      <c r="Y24" s="1">
        <f t="shared" si="7"/>
        <v>69584</v>
      </c>
      <c r="Z24" s="1">
        <f t="shared" si="7"/>
        <v>68911</v>
      </c>
    </row>
    <row r="25" spans="1:26" x14ac:dyDescent="0.25">
      <c r="A25" t="s">
        <v>36</v>
      </c>
      <c r="B25" s="1">
        <f t="shared" ref="B25:Z25" si="8">SUM(B14-B5)</f>
        <v>70222</v>
      </c>
      <c r="C25" s="1">
        <f t="shared" si="8"/>
        <v>69938</v>
      </c>
      <c r="D25" s="1">
        <f t="shared" si="8"/>
        <v>69942</v>
      </c>
      <c r="E25" s="1">
        <f t="shared" si="8"/>
        <v>70049</v>
      </c>
      <c r="F25" s="1">
        <f t="shared" si="8"/>
        <v>70114</v>
      </c>
      <c r="G25" s="1">
        <f t="shared" si="8"/>
        <v>69722</v>
      </c>
      <c r="H25" s="1">
        <f t="shared" si="8"/>
        <v>69563</v>
      </c>
      <c r="I25" s="1">
        <f t="shared" si="8"/>
        <v>69560</v>
      </c>
      <c r="J25" s="1">
        <f t="shared" si="8"/>
        <v>69240</v>
      </c>
      <c r="K25" s="1">
        <f t="shared" si="8"/>
        <v>69280</v>
      </c>
      <c r="L25" s="1">
        <f t="shared" si="8"/>
        <v>68903</v>
      </c>
      <c r="M25" s="1">
        <f t="shared" si="8"/>
        <v>68191</v>
      </c>
      <c r="N25" s="1">
        <f t="shared" si="8"/>
        <v>67668</v>
      </c>
      <c r="O25" s="1">
        <f t="shared" si="8"/>
        <v>67772</v>
      </c>
      <c r="P25" s="1">
        <f t="shared" si="8"/>
        <v>68107</v>
      </c>
      <c r="Q25" s="1">
        <f t="shared" si="8"/>
        <v>68580</v>
      </c>
      <c r="R25" s="1">
        <f t="shared" si="8"/>
        <v>69929</v>
      </c>
      <c r="S25" s="1">
        <f t="shared" si="8"/>
        <v>71403</v>
      </c>
      <c r="T25" s="1">
        <f t="shared" si="8"/>
        <v>72609</v>
      </c>
      <c r="U25" s="1">
        <f t="shared" si="8"/>
        <v>73111</v>
      </c>
      <c r="V25" s="1">
        <f t="shared" si="8"/>
        <v>73276</v>
      </c>
      <c r="W25" s="1">
        <f t="shared" si="8"/>
        <v>73764</v>
      </c>
      <c r="X25" s="1">
        <f t="shared" si="8"/>
        <v>73764</v>
      </c>
      <c r="Y25" s="1">
        <f t="shared" si="8"/>
        <v>73146</v>
      </c>
      <c r="Z25" s="1">
        <f t="shared" si="8"/>
        <v>72441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6D71-ECF8-4678-BFF1-084566374C96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530731</v>
      </c>
      <c r="C2">
        <v>531912</v>
      </c>
      <c r="D2" s="1">
        <v>523027</v>
      </c>
      <c r="E2" s="1">
        <v>507695</v>
      </c>
      <c r="F2" s="1">
        <v>516428</v>
      </c>
      <c r="G2" s="1">
        <v>524549</v>
      </c>
      <c r="H2" s="1">
        <v>537449</v>
      </c>
      <c r="I2" s="1">
        <v>559509</v>
      </c>
      <c r="J2" s="1">
        <v>570377</v>
      </c>
      <c r="K2" s="1">
        <v>568447</v>
      </c>
      <c r="L2" s="1">
        <v>589796</v>
      </c>
      <c r="M2" s="1">
        <v>606173</v>
      </c>
      <c r="N2" s="1">
        <v>622447</v>
      </c>
      <c r="O2" s="1">
        <v>635673</v>
      </c>
      <c r="P2" s="1">
        <v>644738</v>
      </c>
      <c r="Q2" s="1">
        <v>661291</v>
      </c>
      <c r="R2" s="1">
        <v>675539</v>
      </c>
      <c r="S2" s="1">
        <v>688679</v>
      </c>
      <c r="T2" s="1">
        <v>695879</v>
      </c>
      <c r="U2" s="1">
        <v>708729</v>
      </c>
      <c r="V2" s="1">
        <v>686069</v>
      </c>
      <c r="W2" s="1">
        <v>713275</v>
      </c>
      <c r="X2" s="1">
        <v>748543</v>
      </c>
      <c r="Y2" s="1">
        <v>750458</v>
      </c>
      <c r="Z2" s="1">
        <v>747413</v>
      </c>
      <c r="AA2" s="5">
        <f>+Z2</f>
        <v>747413</v>
      </c>
    </row>
    <row r="3" spans="1:27" x14ac:dyDescent="0.25">
      <c r="A3" t="s">
        <v>2</v>
      </c>
      <c r="B3">
        <v>82343</v>
      </c>
      <c r="C3">
        <v>84887</v>
      </c>
      <c r="D3" s="1">
        <v>83856</v>
      </c>
      <c r="E3" s="1">
        <v>83536</v>
      </c>
      <c r="F3" s="1">
        <v>84256</v>
      </c>
      <c r="G3" s="1">
        <v>85270</v>
      </c>
      <c r="H3" s="1">
        <v>87806</v>
      </c>
      <c r="I3" s="1">
        <v>90333</v>
      </c>
      <c r="J3" s="1">
        <v>88888</v>
      </c>
      <c r="K3" s="1">
        <v>87990</v>
      </c>
      <c r="L3" s="1">
        <v>91222</v>
      </c>
      <c r="M3" s="1">
        <v>93712</v>
      </c>
      <c r="N3" s="1">
        <v>96523</v>
      </c>
      <c r="O3" s="1">
        <v>98270</v>
      </c>
      <c r="P3" s="1">
        <v>99339</v>
      </c>
      <c r="Q3" s="1">
        <v>101736</v>
      </c>
      <c r="R3" s="1">
        <v>104643</v>
      </c>
      <c r="S3" s="1">
        <v>106717</v>
      </c>
      <c r="T3" s="1">
        <v>108419</v>
      </c>
      <c r="U3" s="1">
        <v>112950</v>
      </c>
      <c r="V3" s="1">
        <v>111575</v>
      </c>
      <c r="W3" s="1">
        <v>114647</v>
      </c>
      <c r="X3" s="1">
        <v>117515</v>
      </c>
      <c r="Y3" s="1">
        <v>118469</v>
      </c>
      <c r="Z3" s="1">
        <v>119128</v>
      </c>
      <c r="AA3" s="5">
        <f t="shared" ref="AA3:AA25" si="0">+Z3</f>
        <v>119128</v>
      </c>
    </row>
    <row r="4" spans="1:27" x14ac:dyDescent="0.25">
      <c r="A4" t="s">
        <v>3</v>
      </c>
      <c r="B4">
        <v>66202</v>
      </c>
      <c r="C4">
        <v>66985</v>
      </c>
      <c r="D4" s="1">
        <v>68479</v>
      </c>
      <c r="E4" s="1">
        <v>67609</v>
      </c>
      <c r="F4" s="1">
        <v>67828</v>
      </c>
      <c r="G4" s="1">
        <v>67902</v>
      </c>
      <c r="H4" s="1">
        <v>69574</v>
      </c>
      <c r="I4" s="1">
        <v>71279</v>
      </c>
      <c r="J4" s="1">
        <v>72012</v>
      </c>
      <c r="K4" s="1">
        <v>71089</v>
      </c>
      <c r="L4" s="1">
        <v>72732</v>
      </c>
      <c r="M4" s="1">
        <v>74328</v>
      </c>
      <c r="N4" s="1">
        <v>75732</v>
      </c>
      <c r="O4" s="1">
        <v>77169</v>
      </c>
      <c r="P4" s="1">
        <v>79028</v>
      </c>
      <c r="Q4" s="1">
        <v>80872</v>
      </c>
      <c r="R4" s="1">
        <v>83013</v>
      </c>
      <c r="S4" s="1">
        <v>84548</v>
      </c>
      <c r="T4" s="1">
        <v>86366</v>
      </c>
      <c r="U4" s="1">
        <v>90156</v>
      </c>
      <c r="V4" s="1">
        <v>89511</v>
      </c>
      <c r="W4" s="1">
        <v>91558</v>
      </c>
      <c r="X4" s="1">
        <v>94125</v>
      </c>
      <c r="Y4" s="1">
        <v>95692</v>
      </c>
      <c r="Z4" s="1">
        <v>95007</v>
      </c>
      <c r="AA4" s="5">
        <f t="shared" si="0"/>
        <v>95007</v>
      </c>
    </row>
    <row r="5" spans="1:27" x14ac:dyDescent="0.25">
      <c r="A5" t="s">
        <v>4</v>
      </c>
      <c r="B5">
        <v>54363</v>
      </c>
      <c r="C5">
        <v>55626</v>
      </c>
      <c r="D5" s="1">
        <v>56207</v>
      </c>
      <c r="E5" s="1">
        <v>54738</v>
      </c>
      <c r="F5" s="1">
        <v>55514</v>
      </c>
      <c r="G5" s="1">
        <v>54722</v>
      </c>
      <c r="H5" s="1">
        <v>56203</v>
      </c>
      <c r="I5" s="1">
        <v>57958</v>
      </c>
      <c r="J5" s="1">
        <v>58190</v>
      </c>
      <c r="K5" s="1">
        <v>56601</v>
      </c>
      <c r="L5" s="1">
        <v>58686</v>
      </c>
      <c r="M5" s="1">
        <v>60004</v>
      </c>
      <c r="N5" s="1">
        <v>60557</v>
      </c>
      <c r="O5" s="1">
        <v>61418</v>
      </c>
      <c r="P5" s="1">
        <v>61384</v>
      </c>
      <c r="Q5" s="1">
        <v>62979</v>
      </c>
      <c r="R5" s="1">
        <v>65034</v>
      </c>
      <c r="S5" s="1">
        <v>66625</v>
      </c>
      <c r="T5" s="1">
        <v>67746</v>
      </c>
      <c r="U5" s="1">
        <v>68991</v>
      </c>
      <c r="V5" s="1">
        <v>68299</v>
      </c>
      <c r="W5" s="1">
        <v>70047</v>
      </c>
      <c r="X5" s="1">
        <v>71441</v>
      </c>
      <c r="Y5" s="1">
        <v>71415</v>
      </c>
      <c r="Z5" s="1">
        <v>71253</v>
      </c>
      <c r="AA5" s="5">
        <f t="shared" si="0"/>
        <v>71253</v>
      </c>
    </row>
    <row r="6" spans="1:27" x14ac:dyDescent="0.25">
      <c r="A6" t="s">
        <v>5</v>
      </c>
      <c r="B6">
        <v>57746</v>
      </c>
      <c r="C6">
        <v>58167</v>
      </c>
      <c r="D6" s="1">
        <v>59778</v>
      </c>
      <c r="E6" s="1">
        <v>59526</v>
      </c>
      <c r="F6" s="1">
        <v>60690</v>
      </c>
      <c r="G6" s="1">
        <v>61234</v>
      </c>
      <c r="H6" s="1">
        <v>62931</v>
      </c>
      <c r="I6" s="1">
        <v>64971</v>
      </c>
      <c r="J6" s="1">
        <v>65165</v>
      </c>
      <c r="K6" s="1">
        <v>63569</v>
      </c>
      <c r="L6" s="1">
        <v>65931</v>
      </c>
      <c r="M6" s="1">
        <v>67621</v>
      </c>
      <c r="N6" s="1">
        <v>68294</v>
      </c>
      <c r="O6" s="1">
        <v>68426</v>
      </c>
      <c r="P6" s="1">
        <v>69255</v>
      </c>
      <c r="Q6" s="1">
        <v>70624</v>
      </c>
      <c r="R6" s="1">
        <v>73151</v>
      </c>
      <c r="S6" s="1">
        <v>75517</v>
      </c>
      <c r="T6" s="1">
        <v>77160</v>
      </c>
      <c r="U6" s="1">
        <v>78267</v>
      </c>
      <c r="V6" s="1">
        <v>77348</v>
      </c>
      <c r="W6" s="1">
        <v>79429</v>
      </c>
      <c r="X6" s="1">
        <v>82522</v>
      </c>
      <c r="Y6" s="1">
        <v>82275</v>
      </c>
      <c r="Z6" s="1">
        <v>81992</v>
      </c>
      <c r="AA6" s="5">
        <f t="shared" si="0"/>
        <v>81992</v>
      </c>
    </row>
    <row r="7" spans="1:27" x14ac:dyDescent="0.25">
      <c r="A7" t="s">
        <v>6</v>
      </c>
      <c r="B7">
        <v>131289</v>
      </c>
      <c r="C7">
        <v>134577</v>
      </c>
      <c r="D7" s="1">
        <v>135053</v>
      </c>
      <c r="E7" s="1">
        <v>132031</v>
      </c>
      <c r="F7" s="1">
        <v>134211</v>
      </c>
      <c r="G7" s="1">
        <v>137199</v>
      </c>
      <c r="H7" s="1">
        <v>142732</v>
      </c>
      <c r="I7" s="1">
        <v>148998</v>
      </c>
      <c r="J7" s="1">
        <v>151137</v>
      </c>
      <c r="K7" s="1">
        <v>148931</v>
      </c>
      <c r="L7" s="1">
        <v>154446</v>
      </c>
      <c r="M7" s="1">
        <v>158261</v>
      </c>
      <c r="N7" s="1">
        <v>161172</v>
      </c>
      <c r="O7" s="1">
        <v>162941</v>
      </c>
      <c r="P7" s="1">
        <v>165265</v>
      </c>
      <c r="Q7" s="1">
        <v>170218</v>
      </c>
      <c r="R7" s="1">
        <v>176030</v>
      </c>
      <c r="S7" s="1">
        <v>181598</v>
      </c>
      <c r="T7" s="1">
        <v>185285</v>
      </c>
      <c r="U7" s="1">
        <v>191766</v>
      </c>
      <c r="V7" s="1">
        <v>190382</v>
      </c>
      <c r="W7" s="1">
        <v>198812</v>
      </c>
      <c r="X7" s="1">
        <v>209678</v>
      </c>
      <c r="Y7" s="1">
        <v>211730</v>
      </c>
      <c r="Z7" s="1">
        <v>210649</v>
      </c>
      <c r="AA7" s="5">
        <f t="shared" si="0"/>
        <v>210649</v>
      </c>
    </row>
    <row r="8" spans="1:27" x14ac:dyDescent="0.25">
      <c r="A8" t="s">
        <v>7</v>
      </c>
      <c r="B8">
        <v>55269</v>
      </c>
      <c r="C8">
        <v>56353</v>
      </c>
      <c r="D8" s="1">
        <v>57583</v>
      </c>
      <c r="E8" s="1">
        <v>57389</v>
      </c>
      <c r="F8" s="1">
        <v>59027</v>
      </c>
      <c r="G8" s="1">
        <v>59458</v>
      </c>
      <c r="H8" s="1">
        <v>62222</v>
      </c>
      <c r="I8" s="1">
        <v>64603</v>
      </c>
      <c r="J8" s="1">
        <v>65591</v>
      </c>
      <c r="K8" s="1">
        <v>64721</v>
      </c>
      <c r="L8" s="1">
        <v>66154</v>
      </c>
      <c r="M8" s="1">
        <v>66753</v>
      </c>
      <c r="N8" s="1">
        <v>67330</v>
      </c>
      <c r="O8" s="1">
        <v>68249</v>
      </c>
      <c r="P8" s="1">
        <v>69231</v>
      </c>
      <c r="Q8" s="1">
        <v>68948</v>
      </c>
      <c r="R8" s="1">
        <v>69810</v>
      </c>
      <c r="S8" s="1">
        <v>69845</v>
      </c>
      <c r="T8" s="1">
        <v>72256</v>
      </c>
      <c r="U8" s="1">
        <v>75350</v>
      </c>
      <c r="V8" s="1">
        <v>74289</v>
      </c>
      <c r="W8" s="1">
        <v>75792</v>
      </c>
      <c r="X8" s="1">
        <v>77958</v>
      </c>
      <c r="Y8" s="1">
        <v>79350</v>
      </c>
      <c r="Z8" s="1">
        <v>79375</v>
      </c>
      <c r="AA8" s="5">
        <f t="shared" si="0"/>
        <v>79375</v>
      </c>
    </row>
    <row r="9" spans="1:27" x14ac:dyDescent="0.25">
      <c r="A9" t="s">
        <v>8</v>
      </c>
      <c r="B9">
        <v>55876</v>
      </c>
      <c r="C9">
        <v>56204</v>
      </c>
      <c r="D9" s="1">
        <v>57742</v>
      </c>
      <c r="E9" s="1">
        <v>57117</v>
      </c>
      <c r="F9" s="1">
        <v>58886</v>
      </c>
      <c r="G9" s="1">
        <v>59745</v>
      </c>
      <c r="H9" s="1">
        <v>61957</v>
      </c>
      <c r="I9" s="1">
        <v>64154</v>
      </c>
      <c r="J9" s="1">
        <v>63908</v>
      </c>
      <c r="K9" s="1">
        <v>61986</v>
      </c>
      <c r="L9" s="1">
        <v>63343</v>
      </c>
      <c r="M9" s="1">
        <v>64909</v>
      </c>
      <c r="N9" s="1">
        <v>66163</v>
      </c>
      <c r="O9" s="1">
        <v>67044</v>
      </c>
      <c r="P9" s="1">
        <v>67916</v>
      </c>
      <c r="Q9" s="1">
        <v>69001</v>
      </c>
      <c r="R9" s="1">
        <v>70923</v>
      </c>
      <c r="S9" s="1">
        <v>72238</v>
      </c>
      <c r="T9" s="1">
        <v>73606</v>
      </c>
      <c r="U9" s="1">
        <v>75032</v>
      </c>
      <c r="V9" s="1">
        <v>75247</v>
      </c>
      <c r="W9" s="1">
        <v>76782</v>
      </c>
      <c r="X9" s="1">
        <v>78146</v>
      </c>
      <c r="Y9" s="1">
        <v>78034</v>
      </c>
      <c r="Z9" s="1">
        <v>77912</v>
      </c>
      <c r="AA9" s="5">
        <f t="shared" si="0"/>
        <v>77912</v>
      </c>
    </row>
    <row r="10" spans="1:27" x14ac:dyDescent="0.25">
      <c r="A10" t="s">
        <v>9</v>
      </c>
      <c r="B10">
        <v>264846</v>
      </c>
      <c r="C10">
        <v>269254</v>
      </c>
      <c r="D10" s="1">
        <v>274522</v>
      </c>
      <c r="E10" s="1">
        <v>273121</v>
      </c>
      <c r="F10" s="1">
        <v>280233</v>
      </c>
      <c r="G10" s="1">
        <v>283451</v>
      </c>
      <c r="H10" s="1">
        <v>292014</v>
      </c>
      <c r="I10" s="1">
        <v>301731</v>
      </c>
      <c r="J10" s="1">
        <v>304578</v>
      </c>
      <c r="K10" s="1">
        <v>293807</v>
      </c>
      <c r="L10" s="1">
        <v>300886</v>
      </c>
      <c r="M10" s="1">
        <v>308919</v>
      </c>
      <c r="N10" s="1">
        <v>315894</v>
      </c>
      <c r="O10" s="1">
        <v>320259</v>
      </c>
      <c r="P10" s="1">
        <v>323044</v>
      </c>
      <c r="Q10" s="1">
        <v>333496</v>
      </c>
      <c r="R10" s="1">
        <v>344374</v>
      </c>
      <c r="S10" s="1">
        <v>353938</v>
      </c>
      <c r="T10" s="1">
        <v>362084</v>
      </c>
      <c r="U10" s="1">
        <v>368996</v>
      </c>
      <c r="V10" s="1">
        <v>358123</v>
      </c>
      <c r="W10" s="1">
        <v>372252</v>
      </c>
      <c r="X10" s="1">
        <v>388268</v>
      </c>
      <c r="Y10" s="1">
        <v>395410</v>
      </c>
      <c r="Z10" s="1">
        <v>391822</v>
      </c>
      <c r="AA10" s="5">
        <f t="shared" si="0"/>
        <v>391822</v>
      </c>
    </row>
    <row r="11" spans="1:27" x14ac:dyDescent="0.25">
      <c r="A11" t="s">
        <v>10</v>
      </c>
      <c r="B11">
        <v>59241</v>
      </c>
      <c r="C11">
        <v>61018</v>
      </c>
      <c r="D11" s="1">
        <v>62483</v>
      </c>
      <c r="E11" s="1">
        <v>62057</v>
      </c>
      <c r="F11" s="1">
        <v>63537</v>
      </c>
      <c r="G11" s="1">
        <v>64290</v>
      </c>
      <c r="H11" s="1">
        <v>65924</v>
      </c>
      <c r="I11" s="1">
        <v>67958</v>
      </c>
      <c r="J11" s="1">
        <v>68641</v>
      </c>
      <c r="K11" s="1">
        <v>66576</v>
      </c>
      <c r="L11" s="1">
        <v>68772</v>
      </c>
      <c r="M11" s="1">
        <v>70484</v>
      </c>
      <c r="N11" s="1">
        <v>71447</v>
      </c>
      <c r="O11" s="1">
        <v>71925</v>
      </c>
      <c r="P11" s="1">
        <v>72593</v>
      </c>
      <c r="Q11" s="1">
        <v>74162</v>
      </c>
      <c r="R11" s="1">
        <v>75816</v>
      </c>
      <c r="S11" s="1">
        <v>78334</v>
      </c>
      <c r="T11" s="1">
        <v>80318</v>
      </c>
      <c r="U11" s="1">
        <v>83071</v>
      </c>
      <c r="V11" s="1">
        <v>82822</v>
      </c>
      <c r="W11" s="1">
        <v>85327</v>
      </c>
      <c r="X11" s="1">
        <v>87876</v>
      </c>
      <c r="Y11" s="1">
        <v>88867</v>
      </c>
      <c r="Z11" s="1">
        <v>88483</v>
      </c>
      <c r="AA11" s="5">
        <f t="shared" si="0"/>
        <v>88483</v>
      </c>
    </row>
    <row r="12" spans="1:27" x14ac:dyDescent="0.25">
      <c r="A12" t="s">
        <v>11</v>
      </c>
      <c r="B12">
        <v>60673</v>
      </c>
      <c r="C12">
        <v>60856</v>
      </c>
      <c r="D12" s="1">
        <v>61993</v>
      </c>
      <c r="E12" s="1">
        <v>60646</v>
      </c>
      <c r="F12" s="1">
        <v>61838</v>
      </c>
      <c r="G12" s="1">
        <v>61602</v>
      </c>
      <c r="H12" s="1">
        <v>62824</v>
      </c>
      <c r="I12" s="1">
        <v>64334</v>
      </c>
      <c r="J12" s="1">
        <v>64888</v>
      </c>
      <c r="K12" s="1">
        <v>63557</v>
      </c>
      <c r="L12" s="1">
        <v>65684</v>
      </c>
      <c r="M12" s="1">
        <v>67788</v>
      </c>
      <c r="N12" s="1">
        <v>69006</v>
      </c>
      <c r="O12" s="1">
        <v>70473</v>
      </c>
      <c r="P12" s="1">
        <v>70387</v>
      </c>
      <c r="Q12" s="1">
        <v>71227</v>
      </c>
      <c r="R12" s="1">
        <v>71801</v>
      </c>
      <c r="S12" s="1">
        <v>73062</v>
      </c>
      <c r="T12" s="1">
        <v>74573</v>
      </c>
      <c r="U12" s="1">
        <v>76083</v>
      </c>
      <c r="V12" s="1">
        <v>75421</v>
      </c>
      <c r="W12" s="1">
        <v>77877</v>
      </c>
      <c r="X12" s="1">
        <v>80614</v>
      </c>
      <c r="Y12" s="1">
        <v>81206</v>
      </c>
      <c r="Z12" s="1">
        <v>81912</v>
      </c>
      <c r="AA12" s="5">
        <f t="shared" si="0"/>
        <v>81912</v>
      </c>
    </row>
    <row r="13" spans="1:27" x14ac:dyDescent="0.25">
      <c r="A13" t="s">
        <v>12</v>
      </c>
      <c r="B13">
        <v>51576</v>
      </c>
      <c r="C13">
        <v>51855</v>
      </c>
      <c r="D13" s="1">
        <v>53458</v>
      </c>
      <c r="E13" s="1">
        <v>53410</v>
      </c>
      <c r="F13" s="1">
        <v>55324</v>
      </c>
      <c r="G13" s="1">
        <v>55196</v>
      </c>
      <c r="H13" s="1">
        <v>56766</v>
      </c>
      <c r="I13" s="1">
        <v>57938</v>
      </c>
      <c r="J13" s="1">
        <v>58193</v>
      </c>
      <c r="K13" s="1">
        <v>56402</v>
      </c>
      <c r="L13" s="1">
        <v>58412</v>
      </c>
      <c r="M13" s="1">
        <v>59820</v>
      </c>
      <c r="N13" s="1">
        <v>61196</v>
      </c>
      <c r="O13" s="1">
        <v>62306</v>
      </c>
      <c r="P13" s="1">
        <v>62861</v>
      </c>
      <c r="Q13" s="1">
        <v>63944</v>
      </c>
      <c r="R13" s="1">
        <v>65278</v>
      </c>
      <c r="S13" s="1">
        <v>66393</v>
      </c>
      <c r="T13" s="1">
        <v>67687</v>
      </c>
      <c r="U13" s="1">
        <v>69531</v>
      </c>
      <c r="V13" s="1">
        <v>68365</v>
      </c>
      <c r="W13" s="1">
        <v>70125</v>
      </c>
      <c r="X13" s="1">
        <v>72546</v>
      </c>
      <c r="Y13" s="1">
        <v>73453</v>
      </c>
      <c r="Z13" s="1">
        <v>73352</v>
      </c>
      <c r="AA13" s="5">
        <f t="shared" si="0"/>
        <v>73352</v>
      </c>
    </row>
    <row r="14" spans="1:27" x14ac:dyDescent="0.25">
      <c r="A14" t="s">
        <v>21</v>
      </c>
      <c r="B14">
        <v>179521</v>
      </c>
      <c r="C14">
        <v>180796</v>
      </c>
      <c r="D14">
        <v>184007</v>
      </c>
      <c r="E14">
        <v>180807</v>
      </c>
      <c r="F14">
        <v>182676</v>
      </c>
      <c r="G14">
        <v>181515</v>
      </c>
      <c r="H14">
        <v>185904</v>
      </c>
      <c r="I14">
        <v>189896</v>
      </c>
      <c r="J14">
        <v>190180</v>
      </c>
      <c r="K14">
        <v>185227</v>
      </c>
      <c r="L14">
        <v>189338</v>
      </c>
      <c r="M14">
        <v>193588</v>
      </c>
      <c r="N14">
        <v>195897</v>
      </c>
      <c r="O14">
        <v>198520</v>
      </c>
      <c r="P14">
        <v>200181</v>
      </c>
      <c r="Q14">
        <v>203888</v>
      </c>
      <c r="R14">
        <v>209067</v>
      </c>
      <c r="S14">
        <v>212808</v>
      </c>
      <c r="T14">
        <v>215778</v>
      </c>
      <c r="U14">
        <v>221239</v>
      </c>
      <c r="V14">
        <v>218961</v>
      </c>
      <c r="W14">
        <v>223899</v>
      </c>
      <c r="X14">
        <v>228650</v>
      </c>
      <c r="Y14">
        <v>230240</v>
      </c>
      <c r="Z14">
        <v>229341</v>
      </c>
      <c r="AA14" s="5">
        <f t="shared" si="0"/>
        <v>229341</v>
      </c>
    </row>
    <row r="15" spans="1:27" x14ac:dyDescent="0.25">
      <c r="A15" t="s">
        <v>18</v>
      </c>
      <c r="B15" s="3">
        <v>4051870</v>
      </c>
      <c r="C15" s="3">
        <v>4091079</v>
      </c>
      <c r="D15" s="4">
        <v>4135698</v>
      </c>
      <c r="E15" s="4">
        <v>4083383</v>
      </c>
      <c r="F15" s="4">
        <v>4162497</v>
      </c>
      <c r="G15" s="4">
        <v>4175064</v>
      </c>
      <c r="H15" s="4">
        <v>4280768</v>
      </c>
      <c r="I15" s="4">
        <v>4390559</v>
      </c>
      <c r="J15" s="4">
        <v>4406789</v>
      </c>
      <c r="K15" s="4">
        <v>4280743</v>
      </c>
      <c r="L15" s="4">
        <v>4392720</v>
      </c>
      <c r="M15" s="4">
        <v>4505600</v>
      </c>
      <c r="N15" s="4">
        <v>4567500</v>
      </c>
      <c r="O15" s="4">
        <v>4610204</v>
      </c>
      <c r="P15" s="4">
        <v>4647314</v>
      </c>
      <c r="Q15" s="4">
        <v>4725345</v>
      </c>
      <c r="R15" s="4">
        <v>4828325</v>
      </c>
      <c r="S15" s="4">
        <v>4914893</v>
      </c>
      <c r="T15" s="4">
        <v>4971919</v>
      </c>
      <c r="U15" s="4">
        <v>5054893</v>
      </c>
      <c r="V15" s="4">
        <v>4976744</v>
      </c>
      <c r="W15" s="4">
        <v>5104179</v>
      </c>
      <c r="X15" s="4">
        <v>5251816</v>
      </c>
      <c r="Y15" s="4">
        <v>5284131</v>
      </c>
      <c r="Z15" s="4">
        <v>5260642</v>
      </c>
      <c r="AA15" s="5">
        <f t="shared" si="0"/>
        <v>5260642</v>
      </c>
    </row>
    <row r="16" spans="1:27" x14ac:dyDescent="0.25">
      <c r="A16" t="s">
        <v>16</v>
      </c>
      <c r="B16" s="1">
        <f t="shared" ref="B16:Z16" si="1">SUM(B2:B13)</f>
        <v>1470155</v>
      </c>
      <c r="C16" s="1">
        <f t="shared" si="1"/>
        <v>1487694</v>
      </c>
      <c r="D16" s="1">
        <f t="shared" si="1"/>
        <v>1494181</v>
      </c>
      <c r="E16" s="1">
        <f t="shared" si="1"/>
        <v>1468875</v>
      </c>
      <c r="F16" s="1">
        <f t="shared" si="1"/>
        <v>1497772</v>
      </c>
      <c r="G16" s="1">
        <f t="shared" si="1"/>
        <v>1514618</v>
      </c>
      <c r="H16" s="1">
        <f t="shared" si="1"/>
        <v>1558402</v>
      </c>
      <c r="I16" s="1">
        <f t="shared" si="1"/>
        <v>1613766</v>
      </c>
      <c r="J16" s="1">
        <f t="shared" si="1"/>
        <v>1631568</v>
      </c>
      <c r="K16" s="1">
        <f t="shared" si="1"/>
        <v>1603676</v>
      </c>
      <c r="L16" s="1">
        <f t="shared" si="1"/>
        <v>1656064</v>
      </c>
      <c r="M16" s="1">
        <f t="shared" si="1"/>
        <v>1698772</v>
      </c>
      <c r="N16" s="1">
        <f t="shared" si="1"/>
        <v>1735761</v>
      </c>
      <c r="O16" s="1">
        <f t="shared" si="1"/>
        <v>1764153</v>
      </c>
      <c r="P16" s="1">
        <f t="shared" si="1"/>
        <v>1785041</v>
      </c>
      <c r="Q16" s="1">
        <f t="shared" si="1"/>
        <v>1828498</v>
      </c>
      <c r="R16" s="1">
        <f t="shared" si="1"/>
        <v>1875412</v>
      </c>
      <c r="S16" s="1">
        <f t="shared" si="1"/>
        <v>1917494</v>
      </c>
      <c r="T16" s="1">
        <f t="shared" si="1"/>
        <v>1951379</v>
      </c>
      <c r="U16" s="1">
        <f t="shared" si="1"/>
        <v>1998922</v>
      </c>
      <c r="V16" s="1">
        <f t="shared" si="1"/>
        <v>1957451</v>
      </c>
      <c r="W16" s="1">
        <f t="shared" si="1"/>
        <v>2025923</v>
      </c>
      <c r="X16" s="1">
        <f t="shared" si="1"/>
        <v>2109232</v>
      </c>
      <c r="Y16" s="1">
        <f t="shared" si="1"/>
        <v>2126359</v>
      </c>
      <c r="Z16" s="1">
        <f t="shared" si="1"/>
        <v>2118298</v>
      </c>
      <c r="AA16" s="5">
        <f t="shared" si="0"/>
        <v>2118298</v>
      </c>
    </row>
    <row r="17" spans="1:27" x14ac:dyDescent="0.25">
      <c r="A17" t="s">
        <v>17</v>
      </c>
      <c r="B17" s="1">
        <f t="shared" ref="B17:Z17" si="2">SUM(B2+B7+B10)</f>
        <v>926866</v>
      </c>
      <c r="C17" s="1">
        <f t="shared" si="2"/>
        <v>935743</v>
      </c>
      <c r="D17" s="1">
        <f t="shared" si="2"/>
        <v>932602</v>
      </c>
      <c r="E17" s="1">
        <f t="shared" si="2"/>
        <v>912847</v>
      </c>
      <c r="F17" s="1">
        <f t="shared" si="2"/>
        <v>930872</v>
      </c>
      <c r="G17" s="1">
        <f t="shared" si="2"/>
        <v>945199</v>
      </c>
      <c r="H17" s="1">
        <f t="shared" si="2"/>
        <v>972195</v>
      </c>
      <c r="I17" s="1">
        <f t="shared" si="2"/>
        <v>1010238</v>
      </c>
      <c r="J17" s="1">
        <f t="shared" si="2"/>
        <v>1026092</v>
      </c>
      <c r="K17" s="1">
        <f t="shared" si="2"/>
        <v>1011185</v>
      </c>
      <c r="L17" s="1">
        <f t="shared" si="2"/>
        <v>1045128</v>
      </c>
      <c r="M17" s="1">
        <f t="shared" si="2"/>
        <v>1073353</v>
      </c>
      <c r="N17" s="1">
        <f t="shared" si="2"/>
        <v>1099513</v>
      </c>
      <c r="O17" s="1">
        <f t="shared" si="2"/>
        <v>1118873</v>
      </c>
      <c r="P17" s="1">
        <f t="shared" si="2"/>
        <v>1133047</v>
      </c>
      <c r="Q17" s="1">
        <f t="shared" si="2"/>
        <v>1165005</v>
      </c>
      <c r="R17" s="1">
        <f t="shared" si="2"/>
        <v>1195943</v>
      </c>
      <c r="S17" s="1">
        <f t="shared" si="2"/>
        <v>1224215</v>
      </c>
      <c r="T17" s="1">
        <f t="shared" si="2"/>
        <v>1243248</v>
      </c>
      <c r="U17" s="1">
        <f t="shared" si="2"/>
        <v>1269491</v>
      </c>
      <c r="V17" s="1">
        <f t="shared" si="2"/>
        <v>1234574</v>
      </c>
      <c r="W17" s="1">
        <f t="shared" si="2"/>
        <v>1284339</v>
      </c>
      <c r="X17" s="1">
        <f t="shared" si="2"/>
        <v>1346489</v>
      </c>
      <c r="Y17" s="1">
        <f t="shared" si="2"/>
        <v>1357598</v>
      </c>
      <c r="Z17" s="1">
        <f t="shared" si="2"/>
        <v>1349884</v>
      </c>
      <c r="AA17" s="5">
        <f t="shared" si="0"/>
        <v>1349884</v>
      </c>
    </row>
    <row r="18" spans="1:27" x14ac:dyDescent="0.25">
      <c r="A18" t="s">
        <v>13</v>
      </c>
      <c r="B18" s="1">
        <f t="shared" ref="B18:Z18" si="3">SUM(B2+B3+B7+B10)</f>
        <v>1009209</v>
      </c>
      <c r="C18" s="1">
        <f t="shared" si="3"/>
        <v>1020630</v>
      </c>
      <c r="D18" s="1">
        <f t="shared" si="3"/>
        <v>1016458</v>
      </c>
      <c r="E18" s="1">
        <f t="shared" si="3"/>
        <v>996383</v>
      </c>
      <c r="F18" s="1">
        <f t="shared" si="3"/>
        <v>1015128</v>
      </c>
      <c r="G18" s="1">
        <f t="shared" si="3"/>
        <v>1030469</v>
      </c>
      <c r="H18" s="1">
        <f t="shared" si="3"/>
        <v>1060001</v>
      </c>
      <c r="I18" s="1">
        <f t="shared" si="3"/>
        <v>1100571</v>
      </c>
      <c r="J18" s="1">
        <f t="shared" si="3"/>
        <v>1114980</v>
      </c>
      <c r="K18" s="1">
        <f t="shared" si="3"/>
        <v>1099175</v>
      </c>
      <c r="L18" s="1">
        <f t="shared" si="3"/>
        <v>1136350</v>
      </c>
      <c r="M18" s="1">
        <f t="shared" si="3"/>
        <v>1167065</v>
      </c>
      <c r="N18" s="1">
        <f t="shared" si="3"/>
        <v>1196036</v>
      </c>
      <c r="O18" s="1">
        <f t="shared" si="3"/>
        <v>1217143</v>
      </c>
      <c r="P18" s="1">
        <f t="shared" si="3"/>
        <v>1232386</v>
      </c>
      <c r="Q18" s="1">
        <f t="shared" si="3"/>
        <v>1266741</v>
      </c>
      <c r="R18" s="1">
        <f t="shared" si="3"/>
        <v>1300586</v>
      </c>
      <c r="S18" s="1">
        <f t="shared" si="3"/>
        <v>1330932</v>
      </c>
      <c r="T18" s="1">
        <f t="shared" si="3"/>
        <v>1351667</v>
      </c>
      <c r="U18" s="1">
        <f t="shared" si="3"/>
        <v>1382441</v>
      </c>
      <c r="V18" s="1">
        <f t="shared" si="3"/>
        <v>1346149</v>
      </c>
      <c r="W18" s="1">
        <f t="shared" si="3"/>
        <v>1398986</v>
      </c>
      <c r="X18" s="1">
        <f t="shared" si="3"/>
        <v>1464004</v>
      </c>
      <c r="Y18" s="1">
        <f t="shared" si="3"/>
        <v>1476067</v>
      </c>
      <c r="Z18" s="1">
        <f t="shared" si="3"/>
        <v>1469012</v>
      </c>
      <c r="AA18" s="5">
        <f t="shared" si="0"/>
        <v>1469012</v>
      </c>
    </row>
    <row r="19" spans="1:27" x14ac:dyDescent="0.25">
      <c r="A19" t="s">
        <v>14</v>
      </c>
      <c r="B19" s="1">
        <f t="shared" ref="B19:Z19" si="4">+B4+B5+B6+B8+B9+B11+B12+B13</f>
        <v>460946</v>
      </c>
      <c r="C19" s="1">
        <f t="shared" si="4"/>
        <v>467064</v>
      </c>
      <c r="D19" s="1">
        <f t="shared" si="4"/>
        <v>477723</v>
      </c>
      <c r="E19" s="1">
        <f t="shared" si="4"/>
        <v>472492</v>
      </c>
      <c r="F19" s="1">
        <f t="shared" si="4"/>
        <v>482644</v>
      </c>
      <c r="G19" s="1">
        <f t="shared" si="4"/>
        <v>484149</v>
      </c>
      <c r="H19" s="1">
        <f t="shared" si="4"/>
        <v>498401</v>
      </c>
      <c r="I19" s="1">
        <f t="shared" si="4"/>
        <v>513195</v>
      </c>
      <c r="J19" s="1">
        <f t="shared" si="4"/>
        <v>516588</v>
      </c>
      <c r="K19" s="1">
        <f t="shared" si="4"/>
        <v>504501</v>
      </c>
      <c r="L19" s="1">
        <f t="shared" si="4"/>
        <v>519714</v>
      </c>
      <c r="M19" s="1">
        <f t="shared" si="4"/>
        <v>531707</v>
      </c>
      <c r="N19" s="1">
        <f t="shared" si="4"/>
        <v>539725</v>
      </c>
      <c r="O19" s="1">
        <f t="shared" si="4"/>
        <v>547010</v>
      </c>
      <c r="P19" s="1">
        <f t="shared" si="4"/>
        <v>552655</v>
      </c>
      <c r="Q19" s="1">
        <f t="shared" si="4"/>
        <v>561757</v>
      </c>
      <c r="R19" s="1">
        <f t="shared" si="4"/>
        <v>574826</v>
      </c>
      <c r="S19" s="1">
        <f t="shared" si="4"/>
        <v>586562</v>
      </c>
      <c r="T19" s="1">
        <f t="shared" si="4"/>
        <v>599712</v>
      </c>
      <c r="U19" s="1">
        <f t="shared" si="4"/>
        <v>616481</v>
      </c>
      <c r="V19" s="1">
        <f t="shared" si="4"/>
        <v>611302</v>
      </c>
      <c r="W19" s="1">
        <f t="shared" si="4"/>
        <v>626937</v>
      </c>
      <c r="X19" s="1">
        <f t="shared" si="4"/>
        <v>645228</v>
      </c>
      <c r="Y19" s="1">
        <f t="shared" si="4"/>
        <v>650292</v>
      </c>
      <c r="Z19" s="1">
        <f t="shared" si="4"/>
        <v>649286</v>
      </c>
      <c r="AA19" s="5">
        <f t="shared" si="0"/>
        <v>649286</v>
      </c>
    </row>
    <row r="20" spans="1:27" x14ac:dyDescent="0.25">
      <c r="A20" t="s">
        <v>20</v>
      </c>
      <c r="B20" s="1">
        <f t="shared" ref="B20:Z20" si="5">+B6+B8+B9+B11+B12+B13</f>
        <v>340381</v>
      </c>
      <c r="C20" s="1">
        <f t="shared" si="5"/>
        <v>344453</v>
      </c>
      <c r="D20" s="1">
        <f t="shared" si="5"/>
        <v>353037</v>
      </c>
      <c r="E20" s="1">
        <f t="shared" si="5"/>
        <v>350145</v>
      </c>
      <c r="F20" s="1">
        <f t="shared" si="5"/>
        <v>359302</v>
      </c>
      <c r="G20" s="1">
        <f t="shared" si="5"/>
        <v>361525</v>
      </c>
      <c r="H20" s="1">
        <f t="shared" si="5"/>
        <v>372624</v>
      </c>
      <c r="I20" s="1">
        <f t="shared" si="5"/>
        <v>383958</v>
      </c>
      <c r="J20" s="1">
        <f t="shared" si="5"/>
        <v>386386</v>
      </c>
      <c r="K20" s="1">
        <f t="shared" si="5"/>
        <v>376811</v>
      </c>
      <c r="L20" s="1">
        <f t="shared" si="5"/>
        <v>388296</v>
      </c>
      <c r="M20" s="1">
        <f t="shared" si="5"/>
        <v>397375</v>
      </c>
      <c r="N20" s="1">
        <f t="shared" si="5"/>
        <v>403436</v>
      </c>
      <c r="O20" s="1">
        <f t="shared" si="5"/>
        <v>408423</v>
      </c>
      <c r="P20" s="1">
        <f t="shared" si="5"/>
        <v>412243</v>
      </c>
      <c r="Q20" s="1">
        <f t="shared" si="5"/>
        <v>417906</v>
      </c>
      <c r="R20" s="1">
        <f t="shared" si="5"/>
        <v>426779</v>
      </c>
      <c r="S20" s="1">
        <f t="shared" si="5"/>
        <v>435389</v>
      </c>
      <c r="T20" s="1">
        <f t="shared" si="5"/>
        <v>445600</v>
      </c>
      <c r="U20" s="1">
        <f t="shared" si="5"/>
        <v>457334</v>
      </c>
      <c r="V20" s="1">
        <f t="shared" si="5"/>
        <v>453492</v>
      </c>
      <c r="W20" s="1">
        <f t="shared" si="5"/>
        <v>465332</v>
      </c>
      <c r="X20" s="1">
        <f t="shared" si="5"/>
        <v>479662</v>
      </c>
      <c r="Y20" s="1">
        <f t="shared" si="5"/>
        <v>483185</v>
      </c>
      <c r="Z20" s="1">
        <f t="shared" si="5"/>
        <v>483026</v>
      </c>
      <c r="AA20" s="5">
        <f t="shared" si="0"/>
        <v>483026</v>
      </c>
    </row>
    <row r="21" spans="1:27" x14ac:dyDescent="0.25">
      <c r="A21" t="s">
        <v>34</v>
      </c>
      <c r="B21" s="1">
        <f t="shared" ref="B21:Z21" si="6">+B20+B5</f>
        <v>394744</v>
      </c>
      <c r="C21" s="1">
        <f t="shared" si="6"/>
        <v>400079</v>
      </c>
      <c r="D21" s="1">
        <f t="shared" si="6"/>
        <v>409244</v>
      </c>
      <c r="E21" s="1">
        <f t="shared" si="6"/>
        <v>404883</v>
      </c>
      <c r="F21" s="1">
        <f t="shared" si="6"/>
        <v>414816</v>
      </c>
      <c r="G21" s="1">
        <f t="shared" si="6"/>
        <v>416247</v>
      </c>
      <c r="H21" s="1">
        <f t="shared" si="6"/>
        <v>428827</v>
      </c>
      <c r="I21" s="1">
        <f t="shared" si="6"/>
        <v>441916</v>
      </c>
      <c r="J21" s="1">
        <f t="shared" si="6"/>
        <v>444576</v>
      </c>
      <c r="K21" s="1">
        <f t="shared" si="6"/>
        <v>433412</v>
      </c>
      <c r="L21" s="1">
        <f t="shared" si="6"/>
        <v>446982</v>
      </c>
      <c r="M21" s="1">
        <f t="shared" si="6"/>
        <v>457379</v>
      </c>
      <c r="N21" s="1">
        <f t="shared" si="6"/>
        <v>463993</v>
      </c>
      <c r="O21" s="1">
        <f t="shared" si="6"/>
        <v>469841</v>
      </c>
      <c r="P21" s="1">
        <f t="shared" si="6"/>
        <v>473627</v>
      </c>
      <c r="Q21" s="1">
        <f t="shared" si="6"/>
        <v>480885</v>
      </c>
      <c r="R21" s="1">
        <f t="shared" si="6"/>
        <v>491813</v>
      </c>
      <c r="S21" s="1">
        <f t="shared" si="6"/>
        <v>502014</v>
      </c>
      <c r="T21" s="1">
        <f t="shared" si="6"/>
        <v>513346</v>
      </c>
      <c r="U21" s="1">
        <f t="shared" si="6"/>
        <v>526325</v>
      </c>
      <c r="V21" s="1">
        <f t="shared" si="6"/>
        <v>521791</v>
      </c>
      <c r="W21" s="1">
        <f t="shared" si="6"/>
        <v>535379</v>
      </c>
      <c r="X21" s="1">
        <f t="shared" si="6"/>
        <v>551103</v>
      </c>
      <c r="Y21" s="1">
        <f t="shared" si="6"/>
        <v>554600</v>
      </c>
      <c r="Z21" s="1">
        <f t="shared" si="6"/>
        <v>554279</v>
      </c>
      <c r="AA21" s="5">
        <f t="shared" si="0"/>
        <v>554279</v>
      </c>
    </row>
    <row r="22" spans="1:27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</row>
    <row r="23" spans="1:27" x14ac:dyDescent="0.25">
      <c r="A23" t="s">
        <v>15</v>
      </c>
      <c r="B23" s="1">
        <f t="shared" ref="B23:Z23" si="7">+B4+B5</f>
        <v>120565</v>
      </c>
      <c r="C23" s="1">
        <f t="shared" si="7"/>
        <v>122611</v>
      </c>
      <c r="D23" s="1">
        <f t="shared" si="7"/>
        <v>124686</v>
      </c>
      <c r="E23" s="1">
        <f t="shared" si="7"/>
        <v>122347</v>
      </c>
      <c r="F23" s="1">
        <f t="shared" si="7"/>
        <v>123342</v>
      </c>
      <c r="G23" s="1">
        <f t="shared" si="7"/>
        <v>122624</v>
      </c>
      <c r="H23" s="1">
        <f t="shared" si="7"/>
        <v>125777</v>
      </c>
      <c r="I23" s="1">
        <f t="shared" si="7"/>
        <v>129237</v>
      </c>
      <c r="J23" s="1">
        <f t="shared" si="7"/>
        <v>130202</v>
      </c>
      <c r="K23" s="1">
        <f t="shared" si="7"/>
        <v>127690</v>
      </c>
      <c r="L23" s="1">
        <f t="shared" si="7"/>
        <v>131418</v>
      </c>
      <c r="M23" s="1">
        <f t="shared" si="7"/>
        <v>134332</v>
      </c>
      <c r="N23" s="1">
        <f t="shared" si="7"/>
        <v>136289</v>
      </c>
      <c r="O23" s="1">
        <f t="shared" si="7"/>
        <v>138587</v>
      </c>
      <c r="P23" s="1">
        <f t="shared" si="7"/>
        <v>140412</v>
      </c>
      <c r="Q23" s="1">
        <f t="shared" si="7"/>
        <v>143851</v>
      </c>
      <c r="R23" s="1">
        <f t="shared" si="7"/>
        <v>148047</v>
      </c>
      <c r="S23" s="1">
        <f t="shared" si="7"/>
        <v>151173</v>
      </c>
      <c r="T23" s="1">
        <f t="shared" si="7"/>
        <v>154112</v>
      </c>
      <c r="U23" s="1">
        <f t="shared" si="7"/>
        <v>159147</v>
      </c>
      <c r="V23" s="1">
        <f t="shared" si="7"/>
        <v>157810</v>
      </c>
      <c r="W23" s="1">
        <f t="shared" si="7"/>
        <v>161605</v>
      </c>
      <c r="X23" s="1">
        <f t="shared" si="7"/>
        <v>165566</v>
      </c>
      <c r="Y23" s="1">
        <f t="shared" si="7"/>
        <v>167107</v>
      </c>
      <c r="Z23" s="1">
        <f t="shared" si="7"/>
        <v>166260</v>
      </c>
      <c r="AA23" s="5">
        <f t="shared" si="0"/>
        <v>166260</v>
      </c>
    </row>
    <row r="24" spans="1:27" x14ac:dyDescent="0.25">
      <c r="A24" t="s">
        <v>35</v>
      </c>
      <c r="B24" s="1">
        <f t="shared" ref="B24:Z24" si="8">SUM(B14-B4)</f>
        <v>113319</v>
      </c>
      <c r="C24" s="1">
        <f t="shared" si="8"/>
        <v>113811</v>
      </c>
      <c r="D24" s="1">
        <f t="shared" si="8"/>
        <v>115528</v>
      </c>
      <c r="E24" s="1">
        <f t="shared" si="8"/>
        <v>113198</v>
      </c>
      <c r="F24" s="1">
        <f t="shared" si="8"/>
        <v>114848</v>
      </c>
      <c r="G24" s="1">
        <f t="shared" si="8"/>
        <v>113613</v>
      </c>
      <c r="H24" s="1">
        <f t="shared" si="8"/>
        <v>116330</v>
      </c>
      <c r="I24" s="1">
        <f t="shared" si="8"/>
        <v>118617</v>
      </c>
      <c r="J24" s="1">
        <f t="shared" si="8"/>
        <v>118168</v>
      </c>
      <c r="K24" s="1">
        <f t="shared" si="8"/>
        <v>114138</v>
      </c>
      <c r="L24" s="1">
        <f t="shared" si="8"/>
        <v>116606</v>
      </c>
      <c r="M24" s="1">
        <f t="shared" si="8"/>
        <v>119260</v>
      </c>
      <c r="N24" s="1">
        <f t="shared" si="8"/>
        <v>120165</v>
      </c>
      <c r="O24" s="1">
        <f t="shared" si="8"/>
        <v>121351</v>
      </c>
      <c r="P24" s="1">
        <f t="shared" si="8"/>
        <v>121153</v>
      </c>
      <c r="Q24" s="1">
        <f t="shared" si="8"/>
        <v>123016</v>
      </c>
      <c r="R24" s="1">
        <f t="shared" si="8"/>
        <v>126054</v>
      </c>
      <c r="S24" s="1">
        <f t="shared" si="8"/>
        <v>128260</v>
      </c>
      <c r="T24" s="1">
        <f t="shared" si="8"/>
        <v>129412</v>
      </c>
      <c r="U24" s="1">
        <f t="shared" si="8"/>
        <v>131083</v>
      </c>
      <c r="V24" s="1">
        <f t="shared" si="8"/>
        <v>129450</v>
      </c>
      <c r="W24" s="1">
        <f t="shared" si="8"/>
        <v>132341</v>
      </c>
      <c r="X24" s="1">
        <f t="shared" si="8"/>
        <v>134525</v>
      </c>
      <c r="Y24" s="1">
        <f t="shared" si="8"/>
        <v>134548</v>
      </c>
      <c r="Z24" s="1">
        <f t="shared" si="8"/>
        <v>134334</v>
      </c>
      <c r="AA24" s="5">
        <f t="shared" si="0"/>
        <v>134334</v>
      </c>
    </row>
    <row r="25" spans="1:27" x14ac:dyDescent="0.25">
      <c r="A25" t="s">
        <v>36</v>
      </c>
      <c r="B25" s="1">
        <f t="shared" ref="B25:Z25" si="9">SUM(B14-B5)</f>
        <v>125158</v>
      </c>
      <c r="C25" s="1">
        <f t="shared" si="9"/>
        <v>125170</v>
      </c>
      <c r="D25" s="1">
        <f t="shared" si="9"/>
        <v>127800</v>
      </c>
      <c r="E25" s="1">
        <f t="shared" si="9"/>
        <v>126069</v>
      </c>
      <c r="F25" s="1">
        <f t="shared" si="9"/>
        <v>127162</v>
      </c>
      <c r="G25" s="1">
        <f t="shared" si="9"/>
        <v>126793</v>
      </c>
      <c r="H25" s="1">
        <f t="shared" si="9"/>
        <v>129701</v>
      </c>
      <c r="I25" s="1">
        <f t="shared" si="9"/>
        <v>131938</v>
      </c>
      <c r="J25" s="1">
        <f t="shared" si="9"/>
        <v>131990</v>
      </c>
      <c r="K25" s="1">
        <f t="shared" si="9"/>
        <v>128626</v>
      </c>
      <c r="L25" s="1">
        <f t="shared" si="9"/>
        <v>130652</v>
      </c>
      <c r="M25" s="1">
        <f t="shared" si="9"/>
        <v>133584</v>
      </c>
      <c r="N25" s="1">
        <f t="shared" si="9"/>
        <v>135340</v>
      </c>
      <c r="O25" s="1">
        <f t="shared" si="9"/>
        <v>137102</v>
      </c>
      <c r="P25" s="1">
        <f t="shared" si="9"/>
        <v>138797</v>
      </c>
      <c r="Q25" s="1">
        <f t="shared" si="9"/>
        <v>140909</v>
      </c>
      <c r="R25" s="1">
        <f t="shared" si="9"/>
        <v>144033</v>
      </c>
      <c r="S25" s="1">
        <f t="shared" si="9"/>
        <v>146183</v>
      </c>
      <c r="T25" s="1">
        <f t="shared" si="9"/>
        <v>148032</v>
      </c>
      <c r="U25" s="1">
        <f t="shared" si="9"/>
        <v>152248</v>
      </c>
      <c r="V25" s="1">
        <f t="shared" si="9"/>
        <v>150662</v>
      </c>
      <c r="W25" s="1">
        <f t="shared" si="9"/>
        <v>153852</v>
      </c>
      <c r="X25" s="1">
        <f t="shared" si="9"/>
        <v>157209</v>
      </c>
      <c r="Y25" s="1">
        <f t="shared" si="9"/>
        <v>158825</v>
      </c>
      <c r="Z25" s="1">
        <f t="shared" si="9"/>
        <v>158088</v>
      </c>
      <c r="AA25" s="5">
        <f t="shared" si="0"/>
        <v>158088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611-6C5E-4BC0-9D8E-F2A3F8C95D83}">
  <dimension ref="A1:AI25"/>
  <sheetViews>
    <sheetView workbookViewId="0"/>
  </sheetViews>
  <sheetFormatPr defaultRowHeight="15" x14ac:dyDescent="0.25"/>
  <cols>
    <col min="1" max="1" width="17.5703125" customWidth="1"/>
  </cols>
  <sheetData>
    <row r="1" spans="1:35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35" x14ac:dyDescent="0.25">
      <c r="A2" t="s">
        <v>1</v>
      </c>
      <c r="D2" s="1"/>
      <c r="E2" s="1"/>
      <c r="F2" s="1"/>
      <c r="G2" s="1"/>
      <c r="H2" s="1"/>
      <c r="I2" s="1"/>
      <c r="J2" s="1">
        <v>104581.8</v>
      </c>
      <c r="K2" s="1">
        <v>103487</v>
      </c>
      <c r="L2" s="1">
        <v>107120</v>
      </c>
      <c r="M2" s="1">
        <v>112235.6</v>
      </c>
      <c r="N2" s="1">
        <v>114771.20000000001</v>
      </c>
      <c r="O2" s="1">
        <v>118602</v>
      </c>
      <c r="P2" s="1">
        <v>121782.6</v>
      </c>
      <c r="Q2" s="1">
        <v>124734.8</v>
      </c>
      <c r="R2" s="1">
        <v>135826.4</v>
      </c>
      <c r="S2" s="1">
        <v>140953.4</v>
      </c>
      <c r="T2" s="1">
        <v>144311</v>
      </c>
      <c r="U2" s="1">
        <v>148499</v>
      </c>
      <c r="V2" s="1">
        <v>147620</v>
      </c>
      <c r="W2" s="1">
        <v>156448</v>
      </c>
      <c r="X2" s="1">
        <v>164287.4</v>
      </c>
      <c r="Y2" s="1">
        <v>163986</v>
      </c>
      <c r="Z2" s="1">
        <v>161755.79999999999</v>
      </c>
      <c r="AA2" s="5">
        <f>+Z2</f>
        <v>161755.79999999999</v>
      </c>
      <c r="AG2" s="1"/>
      <c r="AH2" s="1"/>
      <c r="AI2" s="1"/>
    </row>
    <row r="3" spans="1:35" x14ac:dyDescent="0.25">
      <c r="A3" t="s">
        <v>2</v>
      </c>
      <c r="D3" s="1"/>
      <c r="E3" s="1"/>
      <c r="F3" s="1"/>
      <c r="G3" s="1"/>
      <c r="H3" s="1"/>
      <c r="I3" s="1"/>
      <c r="J3" s="1">
        <v>9567.4000000000015</v>
      </c>
      <c r="K3" s="1">
        <v>9602.2000000000007</v>
      </c>
      <c r="L3" s="1">
        <v>8095.6</v>
      </c>
      <c r="M3" s="1">
        <v>8458.7999999999993</v>
      </c>
      <c r="N3" s="1">
        <v>8467.6</v>
      </c>
      <c r="O3" s="1">
        <v>8612.7999999999993</v>
      </c>
      <c r="P3" s="1">
        <v>8889</v>
      </c>
      <c r="Q3" s="1">
        <v>9249.4000000000015</v>
      </c>
      <c r="R3" s="1">
        <v>9552</v>
      </c>
      <c r="S3" s="1">
        <v>10004.6</v>
      </c>
      <c r="T3" s="1">
        <v>10218</v>
      </c>
      <c r="U3" s="1">
        <v>10468.400000000001</v>
      </c>
      <c r="V3" s="1">
        <v>10487.400000000001</v>
      </c>
      <c r="W3" s="1">
        <v>10723.6</v>
      </c>
      <c r="X3" s="1">
        <v>11415.2</v>
      </c>
      <c r="Y3" s="1">
        <v>11522.6</v>
      </c>
      <c r="Z3" s="1">
        <v>11549.8</v>
      </c>
      <c r="AA3" s="5">
        <f t="shared" ref="AA3:AA25" si="0">+Z3</f>
        <v>11549.8</v>
      </c>
      <c r="AG3" s="1"/>
      <c r="AH3" s="1"/>
      <c r="AI3" s="1"/>
    </row>
    <row r="4" spans="1:35" x14ac:dyDescent="0.25">
      <c r="A4" t="s">
        <v>3</v>
      </c>
      <c r="D4" s="1"/>
      <c r="E4" s="1"/>
      <c r="F4" s="1"/>
      <c r="G4" s="1"/>
      <c r="H4" s="1"/>
      <c r="I4" s="1"/>
      <c r="J4" s="1">
        <v>7619</v>
      </c>
      <c r="K4" s="1">
        <v>7402</v>
      </c>
      <c r="L4" s="1">
        <v>7523.6</v>
      </c>
      <c r="M4" s="1">
        <v>7731.6</v>
      </c>
      <c r="N4" s="1">
        <v>7998.6</v>
      </c>
      <c r="O4" s="1">
        <v>8242.6</v>
      </c>
      <c r="P4" s="1">
        <v>8603.6</v>
      </c>
      <c r="Q4" s="1">
        <v>8726.2000000000007</v>
      </c>
      <c r="R4" s="1">
        <v>10355.200000000001</v>
      </c>
      <c r="S4" s="1">
        <v>10153</v>
      </c>
      <c r="T4" s="1">
        <v>10519.8</v>
      </c>
      <c r="U4" s="1">
        <v>10802.8</v>
      </c>
      <c r="V4" s="1">
        <v>10829.400000000001</v>
      </c>
      <c r="W4" s="1">
        <v>12650</v>
      </c>
      <c r="X4" s="1">
        <v>13310.8</v>
      </c>
      <c r="Y4" s="1">
        <v>13791.6</v>
      </c>
      <c r="Z4" s="1">
        <v>13509.6</v>
      </c>
      <c r="AA4" s="5">
        <f t="shared" si="0"/>
        <v>13509.6</v>
      </c>
      <c r="AG4" s="1"/>
      <c r="AH4" s="1"/>
      <c r="AI4" s="1"/>
    </row>
    <row r="5" spans="1:35" x14ac:dyDescent="0.25">
      <c r="A5" t="s">
        <v>4</v>
      </c>
      <c r="D5" s="1"/>
      <c r="E5" s="1"/>
      <c r="F5" s="1"/>
      <c r="G5" s="1"/>
      <c r="H5" s="1"/>
      <c r="I5" s="1"/>
      <c r="J5" s="1">
        <v>4159</v>
      </c>
      <c r="K5" s="1">
        <v>4163.2000000000007</v>
      </c>
      <c r="L5" s="1">
        <v>4270.2000000000007</v>
      </c>
      <c r="M5" s="1">
        <v>4539.3999999999996</v>
      </c>
      <c r="N5" s="1">
        <v>4789.2000000000007</v>
      </c>
      <c r="O5" s="1">
        <v>4797.8</v>
      </c>
      <c r="P5" s="1">
        <v>4868.6000000000004</v>
      </c>
      <c r="Q5" s="1">
        <v>4833.8</v>
      </c>
      <c r="R5" s="1">
        <v>4966.3999999999996</v>
      </c>
      <c r="S5" s="1">
        <v>5107.8</v>
      </c>
      <c r="T5" s="1">
        <v>5582.2000000000007</v>
      </c>
      <c r="U5" s="1">
        <v>5504.2000000000007</v>
      </c>
      <c r="V5" s="1">
        <v>5398.6</v>
      </c>
      <c r="W5" s="1">
        <v>5631.6</v>
      </c>
      <c r="X5" s="1">
        <v>5686.8</v>
      </c>
      <c r="Y5" s="1">
        <v>5577.2000000000007</v>
      </c>
      <c r="Z5" s="1">
        <v>5657.2000000000007</v>
      </c>
      <c r="AA5" s="5">
        <f t="shared" si="0"/>
        <v>5657.2000000000007</v>
      </c>
      <c r="AG5" s="1"/>
      <c r="AH5" s="1"/>
      <c r="AI5" s="1"/>
    </row>
    <row r="6" spans="1:35" x14ac:dyDescent="0.25">
      <c r="A6" t="s">
        <v>5</v>
      </c>
      <c r="D6" s="1"/>
      <c r="E6" s="1"/>
      <c r="F6" s="1"/>
      <c r="G6" s="1"/>
      <c r="H6" s="1"/>
      <c r="I6" s="1"/>
      <c r="J6" s="1">
        <v>4186</v>
      </c>
      <c r="K6" s="1">
        <v>4159.3999999999996</v>
      </c>
      <c r="L6" s="1">
        <v>4373.8</v>
      </c>
      <c r="M6" s="1">
        <v>4550.2000000000007</v>
      </c>
      <c r="N6" s="1">
        <v>4628.2000000000007</v>
      </c>
      <c r="O6" s="1">
        <v>4712.2000000000007</v>
      </c>
      <c r="P6" s="1">
        <v>4773.6000000000004</v>
      </c>
      <c r="Q6" s="1">
        <v>4943.8</v>
      </c>
      <c r="R6" s="1">
        <v>5304.4</v>
      </c>
      <c r="S6" s="1">
        <v>5547.2000000000007</v>
      </c>
      <c r="T6" s="1">
        <v>5765.2000000000007</v>
      </c>
      <c r="U6" s="1">
        <v>5857.6</v>
      </c>
      <c r="V6" s="1">
        <v>5679</v>
      </c>
      <c r="W6" s="1">
        <v>5953.2000000000007</v>
      </c>
      <c r="X6" s="1">
        <v>6315</v>
      </c>
      <c r="Y6" s="1">
        <v>6058.2000000000007</v>
      </c>
      <c r="Z6" s="1">
        <v>6106.8</v>
      </c>
      <c r="AA6" s="5">
        <f t="shared" si="0"/>
        <v>6106.8</v>
      </c>
      <c r="AG6" s="1"/>
      <c r="AH6" s="1"/>
      <c r="AI6" s="1"/>
    </row>
    <row r="7" spans="1:35" x14ac:dyDescent="0.25">
      <c r="A7" t="s">
        <v>6</v>
      </c>
      <c r="D7" s="1"/>
      <c r="E7" s="1"/>
      <c r="F7" s="1"/>
      <c r="G7" s="1"/>
      <c r="H7" s="1"/>
      <c r="I7" s="1"/>
      <c r="J7" s="1">
        <v>18746.400000000001</v>
      </c>
      <c r="K7" s="1">
        <v>18334.800000000003</v>
      </c>
      <c r="L7" s="1">
        <v>18837.599999999999</v>
      </c>
      <c r="M7" s="1">
        <v>19616</v>
      </c>
      <c r="N7" s="1">
        <v>20096.2</v>
      </c>
      <c r="O7" s="1">
        <v>19817</v>
      </c>
      <c r="P7" s="1">
        <v>19853.599999999999</v>
      </c>
      <c r="Q7" s="1">
        <v>20647.599999999999</v>
      </c>
      <c r="R7" s="1">
        <v>22113.599999999999</v>
      </c>
      <c r="S7" s="1">
        <v>23190</v>
      </c>
      <c r="T7" s="1">
        <v>24307.4</v>
      </c>
      <c r="U7" s="1">
        <v>25976.2</v>
      </c>
      <c r="V7" s="1">
        <v>26383</v>
      </c>
      <c r="W7" s="1">
        <v>28315</v>
      </c>
      <c r="X7" s="1">
        <v>30420.6</v>
      </c>
      <c r="Y7" s="1">
        <v>30498.6</v>
      </c>
      <c r="Z7" s="1">
        <v>31154.400000000001</v>
      </c>
      <c r="AA7" s="5">
        <f t="shared" si="0"/>
        <v>31154.400000000001</v>
      </c>
      <c r="AG7" s="1"/>
      <c r="AH7" s="1"/>
      <c r="AI7" s="1"/>
    </row>
    <row r="8" spans="1:35" x14ac:dyDescent="0.25">
      <c r="A8" t="s">
        <v>7</v>
      </c>
      <c r="D8" s="1"/>
      <c r="E8" s="1"/>
      <c r="F8" s="1"/>
      <c r="G8" s="1"/>
      <c r="H8" s="1"/>
      <c r="I8" s="1"/>
      <c r="J8" s="1">
        <v>7593</v>
      </c>
      <c r="K8" s="1">
        <v>8393.7999999999993</v>
      </c>
      <c r="L8" s="1">
        <v>8894.7999999999993</v>
      </c>
      <c r="M8" s="1">
        <v>7275.6</v>
      </c>
      <c r="N8" s="1">
        <v>7212.8</v>
      </c>
      <c r="O8" s="1">
        <v>7241.2</v>
      </c>
      <c r="P8" s="1">
        <v>7593.2</v>
      </c>
      <c r="Q8" s="1">
        <v>7688</v>
      </c>
      <c r="R8" s="1">
        <v>7545.6</v>
      </c>
      <c r="S8" s="1">
        <v>7868.8</v>
      </c>
      <c r="T8" s="1">
        <v>8343.4</v>
      </c>
      <c r="U8" s="1">
        <v>8683.7999999999993</v>
      </c>
      <c r="V8" s="1">
        <v>8826</v>
      </c>
      <c r="W8" s="1">
        <v>9531.2000000000007</v>
      </c>
      <c r="X8" s="1">
        <v>9758</v>
      </c>
      <c r="Y8" s="1">
        <v>9749.6</v>
      </c>
      <c r="Z8" s="1">
        <v>9608.6</v>
      </c>
      <c r="AA8" s="5">
        <f t="shared" si="0"/>
        <v>9608.6</v>
      </c>
      <c r="AG8" s="1"/>
      <c r="AH8" s="1"/>
      <c r="AI8" s="1"/>
    </row>
    <row r="9" spans="1:35" x14ac:dyDescent="0.25">
      <c r="A9" t="s">
        <v>8</v>
      </c>
      <c r="D9" s="1"/>
      <c r="E9" s="1"/>
      <c r="F9" s="1"/>
      <c r="G9" s="1"/>
      <c r="H9" s="1"/>
      <c r="I9" s="1"/>
      <c r="J9" s="1">
        <v>4968.3999999999996</v>
      </c>
      <c r="K9" s="1">
        <v>4860</v>
      </c>
      <c r="L9" s="1">
        <v>4945.3999999999996</v>
      </c>
      <c r="M9" s="1">
        <v>5855</v>
      </c>
      <c r="N9" s="1">
        <v>6104.4</v>
      </c>
      <c r="O9" s="1">
        <v>6107.4</v>
      </c>
      <c r="P9" s="1">
        <v>5993.8</v>
      </c>
      <c r="Q9" s="1">
        <v>5938.4</v>
      </c>
      <c r="R9" s="1">
        <v>5830.6</v>
      </c>
      <c r="S9" s="1">
        <v>6031.2000000000007</v>
      </c>
      <c r="T9" s="1">
        <v>6242</v>
      </c>
      <c r="U9" s="1">
        <v>6438</v>
      </c>
      <c r="V9" s="1">
        <v>6563.2</v>
      </c>
      <c r="W9" s="1">
        <v>6991</v>
      </c>
      <c r="X9" s="1">
        <v>7336</v>
      </c>
      <c r="Y9" s="1">
        <v>7459.4000000000005</v>
      </c>
      <c r="Z9" s="1">
        <v>7309.2</v>
      </c>
      <c r="AA9" s="5">
        <f t="shared" si="0"/>
        <v>7309.2</v>
      </c>
      <c r="AG9" s="1"/>
      <c r="AH9" s="1"/>
      <c r="AI9" s="1"/>
    </row>
    <row r="10" spans="1:35" x14ac:dyDescent="0.25">
      <c r="A10" t="s">
        <v>9</v>
      </c>
      <c r="D10" s="1"/>
      <c r="E10" s="1"/>
      <c r="F10" s="1"/>
      <c r="G10" s="1"/>
      <c r="H10" s="1"/>
      <c r="I10" s="1"/>
      <c r="J10" s="1">
        <v>35570</v>
      </c>
      <c r="K10" s="1">
        <v>33733.4</v>
      </c>
      <c r="L10" s="1">
        <v>34197.199999999997</v>
      </c>
      <c r="M10" s="1">
        <v>35948</v>
      </c>
      <c r="N10" s="1">
        <v>37409</v>
      </c>
      <c r="O10" s="1">
        <v>37891</v>
      </c>
      <c r="P10" s="1">
        <v>38598.400000000001</v>
      </c>
      <c r="Q10" s="1">
        <v>40318.800000000003</v>
      </c>
      <c r="R10" s="1">
        <v>43670.2</v>
      </c>
      <c r="S10" s="1">
        <v>45589.600000000006</v>
      </c>
      <c r="T10" s="1">
        <v>48106.600000000006</v>
      </c>
      <c r="U10" s="1">
        <v>50644</v>
      </c>
      <c r="V10" s="1">
        <v>48983.199999999997</v>
      </c>
      <c r="W10" s="1">
        <v>52741.8</v>
      </c>
      <c r="X10" s="1">
        <v>56405.4</v>
      </c>
      <c r="Y10" s="1">
        <v>57111.199999999997</v>
      </c>
      <c r="Z10" s="1">
        <v>56529.4</v>
      </c>
      <c r="AA10" s="5">
        <f t="shared" si="0"/>
        <v>56529.4</v>
      </c>
      <c r="AG10" s="1"/>
      <c r="AH10" s="1"/>
      <c r="AI10" s="1"/>
    </row>
    <row r="11" spans="1:35" x14ac:dyDescent="0.25">
      <c r="A11" t="s">
        <v>10</v>
      </c>
      <c r="D11" s="1"/>
      <c r="E11" s="1"/>
      <c r="F11" s="1"/>
      <c r="G11" s="1"/>
      <c r="H11" s="1"/>
      <c r="I11" s="1"/>
      <c r="J11" s="1">
        <v>4860.6000000000004</v>
      </c>
      <c r="K11" s="1">
        <v>4554.2000000000007</v>
      </c>
      <c r="L11" s="1">
        <v>4775.8</v>
      </c>
      <c r="M11" s="1">
        <v>5003.3999999999996</v>
      </c>
      <c r="N11" s="1">
        <v>5145.3999999999996</v>
      </c>
      <c r="O11" s="1">
        <v>4999.3999999999996</v>
      </c>
      <c r="P11" s="1">
        <v>5220.6000000000004</v>
      </c>
      <c r="Q11" s="1">
        <v>5380</v>
      </c>
      <c r="R11" s="1">
        <v>5500.6</v>
      </c>
      <c r="S11" s="1">
        <v>5810.2000000000007</v>
      </c>
      <c r="T11" s="1">
        <v>6160</v>
      </c>
      <c r="U11" s="1">
        <v>6294.6</v>
      </c>
      <c r="V11" s="1">
        <v>6182</v>
      </c>
      <c r="W11" s="1">
        <v>6518.4</v>
      </c>
      <c r="X11" s="1">
        <v>6891.4</v>
      </c>
      <c r="Y11" s="1">
        <v>7055.4000000000005</v>
      </c>
      <c r="Z11" s="1">
        <v>6829.4</v>
      </c>
      <c r="AA11" s="5">
        <f t="shared" si="0"/>
        <v>6829.4</v>
      </c>
      <c r="AG11" s="1"/>
      <c r="AH11" s="1"/>
      <c r="AI11" s="1"/>
    </row>
    <row r="12" spans="1:35" x14ac:dyDescent="0.25">
      <c r="A12" t="s">
        <v>11</v>
      </c>
      <c r="D12" s="1"/>
      <c r="E12" s="1"/>
      <c r="F12" s="1"/>
      <c r="G12" s="1"/>
      <c r="H12" s="1"/>
      <c r="I12" s="1"/>
      <c r="J12" s="1">
        <v>5016</v>
      </c>
      <c r="K12" s="1">
        <v>4968.2000000000007</v>
      </c>
      <c r="L12" s="1">
        <v>5246.8</v>
      </c>
      <c r="M12" s="1">
        <v>5465.8</v>
      </c>
      <c r="N12" s="1">
        <v>5568</v>
      </c>
      <c r="O12" s="1">
        <v>5680.4</v>
      </c>
      <c r="P12" s="1">
        <v>5648</v>
      </c>
      <c r="Q12" s="1">
        <v>5607.4</v>
      </c>
      <c r="R12" s="1">
        <v>5736.6</v>
      </c>
      <c r="S12" s="1">
        <v>6228.8</v>
      </c>
      <c r="T12" s="1">
        <v>6467.4000000000005</v>
      </c>
      <c r="U12" s="1">
        <v>6654</v>
      </c>
      <c r="V12" s="1">
        <v>6448.6</v>
      </c>
      <c r="W12" s="1">
        <v>6634</v>
      </c>
      <c r="X12" s="1">
        <v>6974.2000000000007</v>
      </c>
      <c r="Y12" s="1">
        <v>7036.2000000000007</v>
      </c>
      <c r="Z12" s="1">
        <v>7103.2000000000007</v>
      </c>
      <c r="AA12" s="5">
        <f t="shared" si="0"/>
        <v>7103.2000000000007</v>
      </c>
      <c r="AG12" s="1"/>
      <c r="AH12" s="1"/>
      <c r="AI12" s="1"/>
    </row>
    <row r="13" spans="1:35" x14ac:dyDescent="0.25">
      <c r="A13" t="s">
        <v>12</v>
      </c>
      <c r="D13" s="1"/>
      <c r="E13" s="1"/>
      <c r="F13" s="1"/>
      <c r="G13" s="1"/>
      <c r="H13" s="1"/>
      <c r="I13" s="1"/>
      <c r="J13" s="1">
        <v>3876.2000000000003</v>
      </c>
      <c r="K13" s="1">
        <v>3831.2</v>
      </c>
      <c r="L13" s="1">
        <v>4117.3999999999996</v>
      </c>
      <c r="M13" s="1">
        <v>4263.6000000000004</v>
      </c>
      <c r="N13" s="1">
        <v>4393.3999999999996</v>
      </c>
      <c r="O13" s="1">
        <v>4538.8</v>
      </c>
      <c r="P13" s="1">
        <v>4455.6000000000004</v>
      </c>
      <c r="Q13" s="1">
        <v>4569.6000000000004</v>
      </c>
      <c r="R13" s="1">
        <v>4721.2000000000007</v>
      </c>
      <c r="S13" s="1">
        <v>4932.8</v>
      </c>
      <c r="T13" s="1">
        <v>5319.2000000000007</v>
      </c>
      <c r="U13" s="1">
        <v>5513.2000000000007</v>
      </c>
      <c r="V13" s="1">
        <v>5460</v>
      </c>
      <c r="W13" s="1">
        <v>5700</v>
      </c>
      <c r="X13" s="1">
        <v>6068.4</v>
      </c>
      <c r="Y13" s="1">
        <v>6142.6</v>
      </c>
      <c r="Z13" s="1">
        <v>5937.4</v>
      </c>
      <c r="AA13" s="5">
        <f t="shared" si="0"/>
        <v>5937.4</v>
      </c>
      <c r="AG13" s="1"/>
      <c r="AH13" s="1"/>
      <c r="AI13" s="1"/>
    </row>
    <row r="14" spans="1:35" x14ac:dyDescent="0.25">
      <c r="A14" t="s">
        <v>21</v>
      </c>
      <c r="J14" s="1">
        <v>13623.2</v>
      </c>
      <c r="K14" s="1">
        <v>13325.400000000001</v>
      </c>
      <c r="L14" s="1">
        <v>13625.400000000001</v>
      </c>
      <c r="M14" s="1">
        <v>14243.6</v>
      </c>
      <c r="N14" s="1">
        <v>14764</v>
      </c>
      <c r="O14" s="1">
        <v>15035.2</v>
      </c>
      <c r="P14" s="1">
        <v>15460.6</v>
      </c>
      <c r="Q14" s="1">
        <v>15597.6</v>
      </c>
      <c r="R14" s="1">
        <v>17246.800000000003</v>
      </c>
      <c r="S14" s="1">
        <v>17467</v>
      </c>
      <c r="T14" s="1">
        <v>18363.800000000003</v>
      </c>
      <c r="U14" s="15">
        <v>18354.800000000003</v>
      </c>
      <c r="V14" s="1">
        <v>18345.800000000003</v>
      </c>
      <c r="W14" s="1">
        <v>20615.400000000001</v>
      </c>
      <c r="X14" s="1">
        <v>21160.400000000001</v>
      </c>
      <c r="Y14" s="1">
        <v>21788.2</v>
      </c>
      <c r="Z14" s="1">
        <v>21730.2</v>
      </c>
      <c r="AA14" s="5">
        <f t="shared" si="0"/>
        <v>21730.2</v>
      </c>
      <c r="AG14" s="1"/>
      <c r="AH14" s="1"/>
      <c r="AI14" s="1"/>
    </row>
    <row r="15" spans="1:35" x14ac:dyDescent="0.25">
      <c r="A15" t="s">
        <v>18</v>
      </c>
      <c r="D15" s="1"/>
      <c r="E15" s="1"/>
      <c r="F15" s="1"/>
      <c r="G15" s="1"/>
      <c r="H15" s="1"/>
      <c r="I15" s="1"/>
      <c r="J15" s="1">
        <v>357189.80000000005</v>
      </c>
      <c r="K15" s="1">
        <v>348998.40000000002</v>
      </c>
      <c r="L15" s="1">
        <v>358092.2</v>
      </c>
      <c r="M15" s="1">
        <v>373002.2</v>
      </c>
      <c r="N15" s="1">
        <v>381687.2</v>
      </c>
      <c r="O15" s="1">
        <v>386465</v>
      </c>
      <c r="P15" s="1">
        <v>391529</v>
      </c>
      <c r="Q15" s="1">
        <v>400322.80000000005</v>
      </c>
      <c r="R15" s="1">
        <v>424840.2</v>
      </c>
      <c r="S15" s="1">
        <v>439563.6</v>
      </c>
      <c r="T15" s="1">
        <v>451687</v>
      </c>
      <c r="U15" s="1">
        <v>464000.6</v>
      </c>
      <c r="V15" s="1">
        <v>459960.80000000005</v>
      </c>
      <c r="W15" s="1">
        <v>487046.6</v>
      </c>
      <c r="X15" s="1">
        <v>513771.4</v>
      </c>
      <c r="Y15" s="1">
        <v>519286</v>
      </c>
      <c r="Z15" s="1">
        <v>516385.8</v>
      </c>
      <c r="AA15" s="5">
        <f t="shared" si="0"/>
        <v>516385.8</v>
      </c>
      <c r="AG15" s="1"/>
      <c r="AH15" s="1"/>
      <c r="AI15" s="1"/>
    </row>
    <row r="16" spans="1:35" x14ac:dyDescent="0.25">
      <c r="A16" t="s">
        <v>16</v>
      </c>
      <c r="D16" s="1"/>
      <c r="E16" s="1"/>
      <c r="F16" s="1"/>
      <c r="G16" s="1"/>
      <c r="H16" s="1"/>
      <c r="I16" s="1"/>
      <c r="J16" s="1">
        <v>210743.80000000002</v>
      </c>
      <c r="K16" s="1">
        <v>207489.4</v>
      </c>
      <c r="L16" s="1">
        <v>212398.19999999998</v>
      </c>
      <c r="M16" s="1">
        <v>220943.00000000003</v>
      </c>
      <c r="N16" s="1">
        <v>226584.00000000003</v>
      </c>
      <c r="O16" s="1">
        <v>231242.59999999998</v>
      </c>
      <c r="P16" s="1">
        <v>236280.60000000003</v>
      </c>
      <c r="Q16" s="1">
        <v>242637.8</v>
      </c>
      <c r="R16" s="1">
        <v>261122.80000000005</v>
      </c>
      <c r="S16" s="1">
        <v>271417.40000000002</v>
      </c>
      <c r="T16" s="1">
        <v>281342.2</v>
      </c>
      <c r="U16" s="1">
        <v>291335.8</v>
      </c>
      <c r="V16" s="1">
        <v>288860.39999999997</v>
      </c>
      <c r="W16" s="1">
        <v>307837.80000000005</v>
      </c>
      <c r="X16" s="1">
        <v>324869.20000000007</v>
      </c>
      <c r="Y16" s="1">
        <v>325988.60000000003</v>
      </c>
      <c r="Z16" s="1">
        <v>323050.80000000005</v>
      </c>
      <c r="AA16" s="5">
        <f t="shared" si="0"/>
        <v>323050.80000000005</v>
      </c>
    </row>
    <row r="17" spans="1:27" x14ac:dyDescent="0.25">
      <c r="A17" t="s">
        <v>17</v>
      </c>
      <c r="D17" s="1"/>
      <c r="E17" s="1"/>
      <c r="F17" s="1"/>
      <c r="G17" s="1"/>
      <c r="H17" s="1"/>
      <c r="I17" s="1"/>
      <c r="J17" s="1">
        <v>158898.20000000001</v>
      </c>
      <c r="K17" s="1">
        <v>155555.20000000001</v>
      </c>
      <c r="L17" s="1">
        <v>160154.79999999999</v>
      </c>
      <c r="M17" s="1">
        <v>167799.6</v>
      </c>
      <c r="N17" s="1">
        <v>172276.40000000002</v>
      </c>
      <c r="O17" s="1">
        <v>176310</v>
      </c>
      <c r="P17" s="1">
        <v>180234.6</v>
      </c>
      <c r="Q17" s="1">
        <v>185701.2</v>
      </c>
      <c r="R17" s="1">
        <v>201610.2</v>
      </c>
      <c r="S17" s="1">
        <v>209733</v>
      </c>
      <c r="T17" s="1">
        <v>216725</v>
      </c>
      <c r="U17" s="1">
        <v>225119.2</v>
      </c>
      <c r="V17" s="1">
        <v>222986.2</v>
      </c>
      <c r="W17" s="1">
        <v>237504.8</v>
      </c>
      <c r="X17" s="1">
        <v>251113.4</v>
      </c>
      <c r="Y17" s="1">
        <v>251595.8</v>
      </c>
      <c r="Z17" s="1">
        <v>249439.59999999998</v>
      </c>
      <c r="AA17" s="5">
        <f t="shared" si="0"/>
        <v>249439.59999999998</v>
      </c>
    </row>
    <row r="18" spans="1:27" x14ac:dyDescent="0.25">
      <c r="A18" t="s">
        <v>13</v>
      </c>
      <c r="D18" s="1"/>
      <c r="E18" s="1"/>
      <c r="F18" s="1"/>
      <c r="G18" s="1"/>
      <c r="H18" s="1"/>
      <c r="I18" s="1"/>
      <c r="J18" s="1">
        <v>168465.6</v>
      </c>
      <c r="K18" s="1">
        <v>165157.4</v>
      </c>
      <c r="L18" s="1">
        <v>168250.40000000002</v>
      </c>
      <c r="M18" s="1">
        <v>176258.40000000002</v>
      </c>
      <c r="N18" s="1">
        <v>180744.00000000003</v>
      </c>
      <c r="O18" s="1">
        <v>184922.8</v>
      </c>
      <c r="P18" s="1">
        <v>189123.6</v>
      </c>
      <c r="Q18" s="1">
        <v>194950.60000000003</v>
      </c>
      <c r="R18" s="1">
        <v>211162.2</v>
      </c>
      <c r="S18" s="1">
        <v>219737.60000000001</v>
      </c>
      <c r="T18" s="1">
        <v>226943</v>
      </c>
      <c r="U18" s="1">
        <v>235587.6</v>
      </c>
      <c r="V18" s="1">
        <v>233473.59999999998</v>
      </c>
      <c r="W18" s="1">
        <v>248228.40000000002</v>
      </c>
      <c r="X18" s="1">
        <v>262528.60000000003</v>
      </c>
      <c r="Y18" s="1">
        <v>263118.40000000002</v>
      </c>
      <c r="Z18" s="1">
        <v>260989.39999999997</v>
      </c>
      <c r="AA18" s="5">
        <f t="shared" si="0"/>
        <v>260989.39999999997</v>
      </c>
    </row>
    <row r="19" spans="1:27" x14ac:dyDescent="0.25">
      <c r="A19" t="s">
        <v>14</v>
      </c>
      <c r="D19" s="1"/>
      <c r="E19" s="1"/>
      <c r="F19" s="1"/>
      <c r="G19" s="1"/>
      <c r="H19" s="1"/>
      <c r="I19" s="1"/>
      <c r="J19" s="1">
        <v>42278.2</v>
      </c>
      <c r="K19" s="1">
        <v>42332</v>
      </c>
      <c r="L19" s="1">
        <v>44147.80000000001</v>
      </c>
      <c r="M19" s="1">
        <v>44684.600000000006</v>
      </c>
      <c r="N19" s="1">
        <v>45840</v>
      </c>
      <c r="O19" s="1">
        <v>46319.80000000001</v>
      </c>
      <c r="P19" s="1">
        <v>47157</v>
      </c>
      <c r="Q19" s="1">
        <v>47687.199999999997</v>
      </c>
      <c r="R19" s="1">
        <v>49960.599999999991</v>
      </c>
      <c r="S19" s="1">
        <v>51679.8</v>
      </c>
      <c r="T19" s="1">
        <v>54399.199999999997</v>
      </c>
      <c r="U19" s="1">
        <v>55748.2</v>
      </c>
      <c r="V19" s="1">
        <v>55386.799999999996</v>
      </c>
      <c r="W19" s="1">
        <v>59609.4</v>
      </c>
      <c r="X19" s="1">
        <v>62340.6</v>
      </c>
      <c r="Y19" s="1">
        <v>62870.200000000004</v>
      </c>
      <c r="Z19" s="1">
        <v>62061.4</v>
      </c>
      <c r="AA19" s="5">
        <f t="shared" si="0"/>
        <v>62061.4</v>
      </c>
    </row>
    <row r="20" spans="1:27" x14ac:dyDescent="0.25">
      <c r="A20" t="s">
        <v>20</v>
      </c>
      <c r="D20" s="1"/>
      <c r="E20" s="1"/>
      <c r="F20" s="1"/>
      <c r="G20" s="1"/>
      <c r="H20" s="1"/>
      <c r="I20" s="1"/>
      <c r="J20" s="1">
        <v>30500.2</v>
      </c>
      <c r="K20" s="1">
        <v>30766.799999999999</v>
      </c>
      <c r="L20" s="1">
        <v>32354</v>
      </c>
      <c r="M20" s="1">
        <v>32413.600000000006</v>
      </c>
      <c r="N20" s="1">
        <v>33052.200000000004</v>
      </c>
      <c r="O20" s="1">
        <v>33279.400000000009</v>
      </c>
      <c r="P20" s="1">
        <v>33684.799999999996</v>
      </c>
      <c r="Q20" s="1">
        <v>34127.199999999997</v>
      </c>
      <c r="R20" s="1">
        <v>34639</v>
      </c>
      <c r="S20" s="1">
        <v>36419</v>
      </c>
      <c r="T20" s="1">
        <v>38297.199999999997</v>
      </c>
      <c r="U20" s="1">
        <v>39441.199999999997</v>
      </c>
      <c r="V20" s="1">
        <v>39158.800000000003</v>
      </c>
      <c r="W20" s="1">
        <v>41327.800000000003</v>
      </c>
      <c r="X20" s="1">
        <v>43343.000000000007</v>
      </c>
      <c r="Y20" s="1">
        <v>43501.4</v>
      </c>
      <c r="Z20" s="1">
        <v>42894.6</v>
      </c>
      <c r="AA20" s="5">
        <f t="shared" si="0"/>
        <v>42894.6</v>
      </c>
    </row>
    <row r="21" spans="1:27" x14ac:dyDescent="0.25">
      <c r="A21" t="s">
        <v>34</v>
      </c>
      <c r="J21">
        <v>34659.199999999997</v>
      </c>
      <c r="K21">
        <v>34930</v>
      </c>
      <c r="L21">
        <v>36624.199999999997</v>
      </c>
      <c r="M21">
        <v>36953.000000000007</v>
      </c>
      <c r="N21">
        <v>37841.400000000009</v>
      </c>
      <c r="O21">
        <v>38077.200000000012</v>
      </c>
      <c r="P21">
        <v>38553.399999999994</v>
      </c>
      <c r="Q21">
        <v>38961</v>
      </c>
      <c r="R21">
        <v>39605.4</v>
      </c>
      <c r="S21">
        <v>41526.800000000003</v>
      </c>
      <c r="T21">
        <v>43879.399999999994</v>
      </c>
      <c r="U21">
        <v>44945.399999999994</v>
      </c>
      <c r="V21">
        <v>44557.4</v>
      </c>
      <c r="W21">
        <v>46959.4</v>
      </c>
      <c r="X21">
        <v>49029.80000000001</v>
      </c>
      <c r="Y21">
        <v>49078.600000000006</v>
      </c>
      <c r="Z21">
        <v>48551.8</v>
      </c>
      <c r="AA21" s="5">
        <f t="shared" si="0"/>
        <v>48551.8</v>
      </c>
    </row>
    <row r="22" spans="1:27" x14ac:dyDescent="0.25">
      <c r="A22" t="s">
        <v>100</v>
      </c>
      <c r="AA22" s="5"/>
    </row>
    <row r="23" spans="1:27" x14ac:dyDescent="0.25">
      <c r="A23" t="s">
        <v>15</v>
      </c>
      <c r="D23" s="1"/>
      <c r="E23" s="1"/>
      <c r="F23" s="1"/>
      <c r="G23" s="1"/>
      <c r="H23" s="1"/>
      <c r="I23" s="1"/>
      <c r="J23" s="1">
        <v>11778</v>
      </c>
      <c r="K23" s="1">
        <v>11565.2</v>
      </c>
      <c r="L23" s="1">
        <v>11793.800000000001</v>
      </c>
      <c r="M23" s="1">
        <v>12271</v>
      </c>
      <c r="N23" s="1">
        <v>12787.800000000001</v>
      </c>
      <c r="O23" s="1">
        <v>13040.400000000001</v>
      </c>
      <c r="P23" s="1">
        <v>13472.2</v>
      </c>
      <c r="Q23" s="1">
        <v>13560</v>
      </c>
      <c r="R23" s="1">
        <v>15321.6</v>
      </c>
      <c r="S23" s="1">
        <v>15260.8</v>
      </c>
      <c r="T23" s="1">
        <v>16102</v>
      </c>
      <c r="U23" s="1">
        <v>16307</v>
      </c>
      <c r="V23" s="1">
        <v>16228.000000000002</v>
      </c>
      <c r="W23" s="1">
        <v>18281.599999999999</v>
      </c>
      <c r="X23" s="1">
        <v>18997.599999999999</v>
      </c>
      <c r="Y23" s="1">
        <v>19368.800000000003</v>
      </c>
      <c r="Z23" s="1">
        <v>19166.800000000003</v>
      </c>
      <c r="AA23" s="5">
        <f t="shared" si="0"/>
        <v>19166.800000000003</v>
      </c>
    </row>
    <row r="24" spans="1:27" x14ac:dyDescent="0.25">
      <c r="A24" t="s">
        <v>35</v>
      </c>
      <c r="D24" s="1"/>
      <c r="E24" s="1"/>
      <c r="F24" s="1"/>
      <c r="G24" s="1"/>
      <c r="H24" s="1"/>
      <c r="I24" s="1"/>
      <c r="J24" s="1">
        <v>6004.2000000000007</v>
      </c>
      <c r="K24" s="1">
        <v>5923.4000000000015</v>
      </c>
      <c r="L24" s="1">
        <v>6101.8000000000011</v>
      </c>
      <c r="M24" s="1">
        <v>6512</v>
      </c>
      <c r="N24" s="1">
        <v>6765.4</v>
      </c>
      <c r="O24" s="1">
        <v>6792.6</v>
      </c>
      <c r="P24" s="1">
        <v>6857</v>
      </c>
      <c r="Q24" s="1">
        <v>6871.4</v>
      </c>
      <c r="R24" s="1">
        <v>6891.6000000000022</v>
      </c>
      <c r="S24" s="1">
        <v>7314</v>
      </c>
      <c r="T24" s="1">
        <v>7844.0000000000036</v>
      </c>
      <c r="U24" s="1">
        <v>7552.0000000000036</v>
      </c>
      <c r="V24" s="1">
        <v>7516.4000000000015</v>
      </c>
      <c r="W24" s="1">
        <v>7965.4000000000015</v>
      </c>
      <c r="X24" s="1">
        <v>7849.6000000000022</v>
      </c>
      <c r="Y24" s="1">
        <v>7996.6</v>
      </c>
      <c r="Z24" s="1">
        <v>8220.6</v>
      </c>
      <c r="AA24" s="5">
        <f t="shared" si="0"/>
        <v>8220.6</v>
      </c>
    </row>
    <row r="25" spans="1:27" x14ac:dyDescent="0.25">
      <c r="A25" t="s">
        <v>36</v>
      </c>
      <c r="D25" s="1"/>
      <c r="E25" s="1"/>
      <c r="F25" s="1"/>
      <c r="G25" s="1"/>
      <c r="H25" s="1"/>
      <c r="I25" s="1"/>
      <c r="J25" s="1">
        <v>9464.2000000000007</v>
      </c>
      <c r="K25" s="1">
        <v>9162.2000000000007</v>
      </c>
      <c r="L25" s="1">
        <v>9355.2000000000007</v>
      </c>
      <c r="M25" s="1">
        <v>9704.2000000000007</v>
      </c>
      <c r="N25" s="1">
        <v>9974.7999999999993</v>
      </c>
      <c r="O25" s="1">
        <v>10237.400000000001</v>
      </c>
      <c r="P25" s="1">
        <v>10592</v>
      </c>
      <c r="Q25" s="1">
        <v>10763.8</v>
      </c>
      <c r="R25" s="1">
        <v>12280.400000000003</v>
      </c>
      <c r="S25" s="1">
        <v>12359.2</v>
      </c>
      <c r="T25" s="1">
        <v>12781.600000000002</v>
      </c>
      <c r="U25" s="1">
        <v>12850.600000000002</v>
      </c>
      <c r="V25" s="1">
        <v>12947.200000000003</v>
      </c>
      <c r="W25" s="1">
        <v>14983.800000000001</v>
      </c>
      <c r="X25" s="1">
        <v>15473.600000000002</v>
      </c>
      <c r="Y25" s="1">
        <v>16211</v>
      </c>
      <c r="Z25" s="1">
        <v>16073</v>
      </c>
      <c r="AA25" s="5">
        <f t="shared" si="0"/>
        <v>16073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DDC4-39F1-4EAD-A074-F82B2A2216D4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247737</v>
      </c>
      <c r="C2">
        <v>246336</v>
      </c>
      <c r="D2" s="1">
        <v>242740</v>
      </c>
      <c r="E2" s="1">
        <v>233724</v>
      </c>
      <c r="F2" s="1">
        <v>237185</v>
      </c>
      <c r="G2" s="1">
        <v>242767</v>
      </c>
      <c r="H2" s="1">
        <v>245090</v>
      </c>
      <c r="I2" s="1">
        <v>256195</v>
      </c>
      <c r="J2" s="1">
        <v>261523</v>
      </c>
      <c r="K2" s="1">
        <v>259435</v>
      </c>
      <c r="L2" s="1">
        <v>267952</v>
      </c>
      <c r="M2" s="1">
        <v>273338</v>
      </c>
      <c r="N2" s="1">
        <v>280538</v>
      </c>
      <c r="O2" s="1">
        <v>285922</v>
      </c>
      <c r="P2" s="1">
        <v>291162</v>
      </c>
      <c r="Q2" s="1">
        <v>299844</v>
      </c>
      <c r="R2" s="1">
        <v>308669</v>
      </c>
      <c r="S2" s="1">
        <v>315105</v>
      </c>
      <c r="T2" s="1">
        <v>317948</v>
      </c>
      <c r="U2" s="1">
        <v>323648</v>
      </c>
      <c r="V2" s="1">
        <v>315130</v>
      </c>
      <c r="W2" s="1">
        <v>334177</v>
      </c>
      <c r="X2" s="1">
        <v>356108</v>
      </c>
      <c r="Y2" s="1">
        <v>358351</v>
      </c>
      <c r="Z2" s="1">
        <v>357178</v>
      </c>
      <c r="AA2" s="5">
        <f>+Z2</f>
        <v>357178</v>
      </c>
    </row>
    <row r="3" spans="1:27" x14ac:dyDescent="0.25">
      <c r="A3" t="s">
        <v>2</v>
      </c>
      <c r="B3">
        <v>12854</v>
      </c>
      <c r="C3">
        <v>13635</v>
      </c>
      <c r="D3" s="1">
        <v>15747</v>
      </c>
      <c r="E3" s="1">
        <v>15792</v>
      </c>
      <c r="F3" s="1">
        <v>15849</v>
      </c>
      <c r="G3" s="1">
        <v>17309</v>
      </c>
      <c r="H3" s="1">
        <v>18090</v>
      </c>
      <c r="I3" s="1">
        <v>18892</v>
      </c>
      <c r="J3" s="1">
        <v>17385</v>
      </c>
      <c r="K3" s="1">
        <v>17152</v>
      </c>
      <c r="L3" s="1">
        <v>18106</v>
      </c>
      <c r="M3" s="1">
        <v>18651</v>
      </c>
      <c r="N3" s="1">
        <v>19449</v>
      </c>
      <c r="O3" s="1">
        <v>19983</v>
      </c>
      <c r="P3" s="1">
        <v>20515</v>
      </c>
      <c r="Q3" s="1">
        <v>21620</v>
      </c>
      <c r="R3" s="1">
        <v>22706</v>
      </c>
      <c r="S3" s="1">
        <v>22853</v>
      </c>
      <c r="T3" s="1">
        <v>23136</v>
      </c>
      <c r="U3" s="1">
        <v>23037</v>
      </c>
      <c r="V3" s="1">
        <v>23462</v>
      </c>
      <c r="W3" s="1">
        <v>24415</v>
      </c>
      <c r="X3" s="1">
        <v>25205</v>
      </c>
      <c r="Y3" s="1">
        <v>24705</v>
      </c>
      <c r="Z3" s="1">
        <v>25066</v>
      </c>
      <c r="AA3" s="5">
        <f t="shared" ref="AA3:AA25" si="0">+Z3</f>
        <v>25066</v>
      </c>
    </row>
    <row r="4" spans="1:27" x14ac:dyDescent="0.25">
      <c r="A4" t="s">
        <v>3</v>
      </c>
      <c r="B4">
        <v>12886</v>
      </c>
      <c r="C4">
        <v>13238</v>
      </c>
      <c r="D4" s="1">
        <v>13868</v>
      </c>
      <c r="E4" s="1">
        <v>13935</v>
      </c>
      <c r="F4" s="1">
        <v>14253</v>
      </c>
      <c r="G4" s="1">
        <v>14534</v>
      </c>
      <c r="H4" s="1">
        <v>14814</v>
      </c>
      <c r="I4" s="1">
        <v>15535</v>
      </c>
      <c r="J4" s="1">
        <v>16121</v>
      </c>
      <c r="K4" s="1">
        <v>16195</v>
      </c>
      <c r="L4" s="1">
        <v>16608</v>
      </c>
      <c r="M4" s="1">
        <v>16911</v>
      </c>
      <c r="N4" s="1">
        <v>17413</v>
      </c>
      <c r="O4" s="1">
        <v>17808</v>
      </c>
      <c r="P4" s="1">
        <v>18565</v>
      </c>
      <c r="Q4" s="1">
        <v>18923</v>
      </c>
      <c r="R4" s="1">
        <v>19271</v>
      </c>
      <c r="S4" s="1">
        <v>19534</v>
      </c>
      <c r="T4" s="1">
        <v>20117</v>
      </c>
      <c r="U4" s="1">
        <v>21042</v>
      </c>
      <c r="V4" s="1">
        <v>21304</v>
      </c>
      <c r="W4" s="1">
        <v>22417</v>
      </c>
      <c r="X4" s="1">
        <v>23328</v>
      </c>
      <c r="Y4" s="1">
        <v>23681</v>
      </c>
      <c r="Z4" s="1">
        <v>23190</v>
      </c>
      <c r="AA4" s="5">
        <f t="shared" si="0"/>
        <v>23190</v>
      </c>
    </row>
    <row r="5" spans="1:27" x14ac:dyDescent="0.25">
      <c r="A5" t="s">
        <v>4</v>
      </c>
      <c r="B5">
        <v>9358</v>
      </c>
      <c r="C5">
        <v>9686</v>
      </c>
      <c r="D5" s="1">
        <v>9814</v>
      </c>
      <c r="E5" s="1">
        <v>9527</v>
      </c>
      <c r="F5" s="1">
        <v>9874</v>
      </c>
      <c r="G5" s="1">
        <v>9841</v>
      </c>
      <c r="H5" s="1">
        <v>9938</v>
      </c>
      <c r="I5" s="1">
        <v>10379</v>
      </c>
      <c r="J5" s="1">
        <v>10854</v>
      </c>
      <c r="K5" s="1">
        <v>10931</v>
      </c>
      <c r="L5" s="1">
        <v>11442</v>
      </c>
      <c r="M5" s="1">
        <v>11547</v>
      </c>
      <c r="N5" s="1">
        <v>11614</v>
      </c>
      <c r="O5" s="1">
        <v>12001</v>
      </c>
      <c r="P5" s="1">
        <v>12240</v>
      </c>
      <c r="Q5" s="1">
        <v>12614</v>
      </c>
      <c r="R5" s="1">
        <v>13146</v>
      </c>
      <c r="S5" s="1">
        <v>13303</v>
      </c>
      <c r="T5" s="1">
        <v>13632</v>
      </c>
      <c r="U5" s="1">
        <v>13711</v>
      </c>
      <c r="V5" s="1">
        <v>13681</v>
      </c>
      <c r="W5" s="1">
        <v>14417</v>
      </c>
      <c r="X5" s="1">
        <v>14411</v>
      </c>
      <c r="Y5" s="1">
        <v>14078</v>
      </c>
      <c r="Z5" s="1">
        <v>14073</v>
      </c>
      <c r="AA5" s="5">
        <f t="shared" si="0"/>
        <v>14073</v>
      </c>
    </row>
    <row r="6" spans="1:27" x14ac:dyDescent="0.25">
      <c r="A6" t="s">
        <v>5</v>
      </c>
      <c r="B6">
        <v>8798</v>
      </c>
      <c r="C6">
        <v>8648</v>
      </c>
      <c r="D6" s="1">
        <v>8985</v>
      </c>
      <c r="E6" s="1">
        <v>8966</v>
      </c>
      <c r="F6" s="1">
        <v>9419</v>
      </c>
      <c r="G6" s="1">
        <v>9639</v>
      </c>
      <c r="H6" s="1">
        <v>10018</v>
      </c>
      <c r="I6" s="1">
        <v>10689</v>
      </c>
      <c r="J6" s="1">
        <v>10804</v>
      </c>
      <c r="K6" s="1">
        <v>10857</v>
      </c>
      <c r="L6" s="1">
        <v>11692</v>
      </c>
      <c r="M6" s="1">
        <v>11780</v>
      </c>
      <c r="N6" s="1">
        <v>12134</v>
      </c>
      <c r="O6" s="1">
        <v>12163</v>
      </c>
      <c r="P6" s="1">
        <v>12415</v>
      </c>
      <c r="Q6" s="1">
        <v>12695</v>
      </c>
      <c r="R6" s="1">
        <v>13633</v>
      </c>
      <c r="S6" s="1">
        <v>14444</v>
      </c>
      <c r="T6" s="1">
        <v>14969</v>
      </c>
      <c r="U6" s="1">
        <v>14843</v>
      </c>
      <c r="V6" s="1">
        <v>14936</v>
      </c>
      <c r="W6" s="1">
        <v>15721</v>
      </c>
      <c r="X6" s="1">
        <v>16738</v>
      </c>
      <c r="Y6" s="1">
        <v>16494</v>
      </c>
      <c r="Z6" s="1">
        <v>16456</v>
      </c>
      <c r="AA6" s="5">
        <f t="shared" si="0"/>
        <v>16456</v>
      </c>
    </row>
    <row r="7" spans="1:27" x14ac:dyDescent="0.25">
      <c r="A7" t="s">
        <v>6</v>
      </c>
      <c r="B7">
        <v>49444</v>
      </c>
      <c r="C7">
        <v>50473</v>
      </c>
      <c r="D7" s="1">
        <v>51329</v>
      </c>
      <c r="E7" s="1">
        <v>49862</v>
      </c>
      <c r="F7" s="1">
        <v>50613</v>
      </c>
      <c r="G7" s="1">
        <v>52916</v>
      </c>
      <c r="H7" s="1">
        <v>54727</v>
      </c>
      <c r="I7" s="1">
        <v>58206</v>
      </c>
      <c r="J7" s="1">
        <v>59626</v>
      </c>
      <c r="K7" s="1">
        <v>59127</v>
      </c>
      <c r="L7" s="1">
        <v>60968</v>
      </c>
      <c r="M7" s="1">
        <v>61870</v>
      </c>
      <c r="N7" s="1">
        <v>62556</v>
      </c>
      <c r="O7" s="1">
        <v>62830</v>
      </c>
      <c r="P7" s="1">
        <v>63279</v>
      </c>
      <c r="Q7" s="1">
        <v>65255</v>
      </c>
      <c r="R7" s="1">
        <v>67790</v>
      </c>
      <c r="S7" s="1">
        <v>70932</v>
      </c>
      <c r="T7" s="1">
        <v>72242</v>
      </c>
      <c r="U7" s="1">
        <v>74041</v>
      </c>
      <c r="V7" s="1">
        <v>74087</v>
      </c>
      <c r="W7" s="1">
        <v>77782</v>
      </c>
      <c r="X7" s="1">
        <v>82248</v>
      </c>
      <c r="Y7" s="1">
        <v>82523</v>
      </c>
      <c r="Z7" s="1">
        <v>82903</v>
      </c>
      <c r="AA7" s="5">
        <f t="shared" si="0"/>
        <v>82903</v>
      </c>
    </row>
    <row r="8" spans="1:27" x14ac:dyDescent="0.25">
      <c r="A8" t="s">
        <v>7</v>
      </c>
      <c r="B8">
        <v>25409</v>
      </c>
      <c r="C8">
        <v>26191</v>
      </c>
      <c r="D8" s="1">
        <v>27309</v>
      </c>
      <c r="E8" s="1">
        <v>27718</v>
      </c>
      <c r="F8" s="1">
        <v>28613</v>
      </c>
      <c r="G8" s="1">
        <v>29590</v>
      </c>
      <c r="H8" s="1">
        <v>31169</v>
      </c>
      <c r="I8" s="1">
        <v>32624</v>
      </c>
      <c r="J8" s="1">
        <v>33708</v>
      </c>
      <c r="K8" s="1">
        <v>33711</v>
      </c>
      <c r="L8" s="1">
        <v>34471</v>
      </c>
      <c r="M8" s="1">
        <v>34943</v>
      </c>
      <c r="N8" s="1">
        <v>35349</v>
      </c>
      <c r="O8" s="1">
        <v>36045</v>
      </c>
      <c r="P8" s="1">
        <v>37067</v>
      </c>
      <c r="Q8" s="1">
        <v>36890</v>
      </c>
      <c r="R8" s="1">
        <v>37544</v>
      </c>
      <c r="S8" s="1">
        <v>37675</v>
      </c>
      <c r="T8" s="1">
        <v>39450</v>
      </c>
      <c r="U8" s="1">
        <v>40520</v>
      </c>
      <c r="V8" s="1">
        <v>40653</v>
      </c>
      <c r="W8" s="1">
        <v>41666</v>
      </c>
      <c r="X8" s="1">
        <v>42836</v>
      </c>
      <c r="Y8" s="1">
        <v>43237</v>
      </c>
      <c r="Z8" s="1">
        <v>43571</v>
      </c>
      <c r="AA8" s="5">
        <f t="shared" si="0"/>
        <v>43571</v>
      </c>
    </row>
    <row r="9" spans="1:27" x14ac:dyDescent="0.25">
      <c r="A9" t="s">
        <v>8</v>
      </c>
      <c r="B9">
        <v>16548</v>
      </c>
      <c r="C9">
        <v>16431</v>
      </c>
      <c r="D9" s="1">
        <v>17123</v>
      </c>
      <c r="E9" s="1">
        <v>17050</v>
      </c>
      <c r="F9" s="1">
        <v>17855</v>
      </c>
      <c r="G9" s="1">
        <v>18492</v>
      </c>
      <c r="H9" s="1">
        <v>19372</v>
      </c>
      <c r="I9" s="1">
        <v>20488</v>
      </c>
      <c r="J9" s="1">
        <v>20925</v>
      </c>
      <c r="K9" s="1">
        <v>20433</v>
      </c>
      <c r="L9" s="1">
        <v>21214</v>
      </c>
      <c r="M9" s="1">
        <v>21810</v>
      </c>
      <c r="N9" s="1">
        <v>22550</v>
      </c>
      <c r="O9" s="1">
        <v>23154</v>
      </c>
      <c r="P9" s="1">
        <v>23488</v>
      </c>
      <c r="Q9" s="1">
        <v>23844</v>
      </c>
      <c r="R9" s="1">
        <v>24685</v>
      </c>
      <c r="S9" s="1">
        <v>25301</v>
      </c>
      <c r="T9" s="1">
        <v>25736</v>
      </c>
      <c r="U9" s="1">
        <v>25888</v>
      </c>
      <c r="V9" s="1">
        <v>26444</v>
      </c>
      <c r="W9" s="1">
        <v>27491</v>
      </c>
      <c r="X9" s="1">
        <v>28212</v>
      </c>
      <c r="Y9" s="1">
        <v>28218</v>
      </c>
      <c r="Z9" s="1">
        <v>28426</v>
      </c>
      <c r="AA9" s="5">
        <f t="shared" si="0"/>
        <v>28426</v>
      </c>
    </row>
    <row r="10" spans="1:27" x14ac:dyDescent="0.25">
      <c r="A10" t="s">
        <v>9</v>
      </c>
      <c r="B10">
        <v>90764</v>
      </c>
      <c r="C10">
        <v>91358</v>
      </c>
      <c r="D10" s="1">
        <v>93370</v>
      </c>
      <c r="E10" s="1">
        <v>92053</v>
      </c>
      <c r="F10" s="1">
        <v>95855</v>
      </c>
      <c r="G10" s="1">
        <v>97848</v>
      </c>
      <c r="H10" s="1">
        <v>100108</v>
      </c>
      <c r="I10" s="1">
        <v>103782</v>
      </c>
      <c r="J10" s="1">
        <v>105575</v>
      </c>
      <c r="K10" s="1">
        <v>102648</v>
      </c>
      <c r="L10" s="1">
        <v>104703</v>
      </c>
      <c r="M10" s="1">
        <v>106392</v>
      </c>
      <c r="N10" s="1">
        <v>108496</v>
      </c>
      <c r="O10" s="1">
        <v>109807</v>
      </c>
      <c r="P10" s="1">
        <v>110475</v>
      </c>
      <c r="Q10" s="1">
        <v>113474</v>
      </c>
      <c r="R10" s="1">
        <v>117026</v>
      </c>
      <c r="S10" s="1">
        <v>120974</v>
      </c>
      <c r="T10" s="1">
        <v>124222</v>
      </c>
      <c r="U10" s="1">
        <v>124935</v>
      </c>
      <c r="V10" s="1">
        <v>122086</v>
      </c>
      <c r="W10" s="1">
        <v>128648</v>
      </c>
      <c r="X10" s="1">
        <v>133080</v>
      </c>
      <c r="Y10" s="1">
        <v>134966</v>
      </c>
      <c r="Z10" s="1">
        <v>133894</v>
      </c>
      <c r="AA10" s="5">
        <f t="shared" si="0"/>
        <v>133894</v>
      </c>
    </row>
    <row r="11" spans="1:27" x14ac:dyDescent="0.25">
      <c r="A11" t="s">
        <v>10</v>
      </c>
      <c r="B11">
        <v>12147</v>
      </c>
      <c r="C11">
        <v>12406</v>
      </c>
      <c r="D11" s="1">
        <v>12945</v>
      </c>
      <c r="E11" s="1">
        <v>13125</v>
      </c>
      <c r="F11" s="1">
        <v>13670</v>
      </c>
      <c r="G11" s="1">
        <v>14302</v>
      </c>
      <c r="H11" s="1">
        <v>14470</v>
      </c>
      <c r="I11" s="1">
        <v>15096</v>
      </c>
      <c r="J11" s="1">
        <v>15454</v>
      </c>
      <c r="K11" s="1">
        <v>15039</v>
      </c>
      <c r="L11" s="1">
        <v>15682</v>
      </c>
      <c r="M11" s="1">
        <v>16068</v>
      </c>
      <c r="N11" s="1">
        <v>16288</v>
      </c>
      <c r="O11" s="1">
        <v>16006</v>
      </c>
      <c r="P11" s="1">
        <v>16384</v>
      </c>
      <c r="Q11" s="1">
        <v>16815</v>
      </c>
      <c r="R11" s="1">
        <v>17231</v>
      </c>
      <c r="S11" s="1">
        <v>17718</v>
      </c>
      <c r="T11" s="1">
        <v>18242</v>
      </c>
      <c r="U11" s="1">
        <v>18620</v>
      </c>
      <c r="V11" s="1">
        <v>19969</v>
      </c>
      <c r="W11" s="1">
        <v>21334</v>
      </c>
      <c r="X11" s="1">
        <v>21732</v>
      </c>
      <c r="Y11" s="1">
        <v>21867</v>
      </c>
      <c r="Z11" s="1">
        <v>22012</v>
      </c>
      <c r="AA11" s="5">
        <f t="shared" si="0"/>
        <v>22012</v>
      </c>
    </row>
    <row r="12" spans="1:27" x14ac:dyDescent="0.25">
      <c r="A12" t="s">
        <v>11</v>
      </c>
      <c r="B12">
        <v>10965</v>
      </c>
      <c r="C12">
        <v>10198</v>
      </c>
      <c r="D12" s="1">
        <v>10881</v>
      </c>
      <c r="E12" s="1">
        <v>10374</v>
      </c>
      <c r="F12" s="1">
        <v>10876</v>
      </c>
      <c r="G12" s="1">
        <v>10936</v>
      </c>
      <c r="H12" s="1">
        <v>11205</v>
      </c>
      <c r="I12" s="1">
        <v>11592</v>
      </c>
      <c r="J12" s="1">
        <v>11873</v>
      </c>
      <c r="K12" s="1">
        <v>12065</v>
      </c>
      <c r="L12" s="1">
        <v>12948</v>
      </c>
      <c r="M12" s="1">
        <v>13273</v>
      </c>
      <c r="N12" s="1">
        <v>13732</v>
      </c>
      <c r="O12" s="1">
        <v>14239</v>
      </c>
      <c r="P12" s="1">
        <v>14165</v>
      </c>
      <c r="Q12" s="1">
        <v>14347</v>
      </c>
      <c r="R12" s="1">
        <v>14457</v>
      </c>
      <c r="S12" s="1">
        <v>14582</v>
      </c>
      <c r="T12" s="1">
        <v>15002</v>
      </c>
      <c r="U12" s="1">
        <v>15167</v>
      </c>
      <c r="V12" s="1">
        <v>15316</v>
      </c>
      <c r="W12" s="1">
        <v>16710</v>
      </c>
      <c r="X12" s="1">
        <v>17176</v>
      </c>
      <c r="Y12" s="1">
        <v>17354</v>
      </c>
      <c r="Z12" s="1">
        <v>17623</v>
      </c>
      <c r="AA12" s="5">
        <f t="shared" si="0"/>
        <v>17623</v>
      </c>
    </row>
    <row r="13" spans="1:27" x14ac:dyDescent="0.25">
      <c r="A13" t="s">
        <v>12</v>
      </c>
      <c r="B13">
        <v>6216</v>
      </c>
      <c r="C13">
        <v>6045</v>
      </c>
      <c r="D13" s="1">
        <v>6460</v>
      </c>
      <c r="E13" s="1">
        <v>6337</v>
      </c>
      <c r="F13" s="1">
        <v>6768</v>
      </c>
      <c r="G13" s="1">
        <v>6671</v>
      </c>
      <c r="H13" s="1">
        <v>6650</v>
      </c>
      <c r="I13" s="1">
        <v>6992</v>
      </c>
      <c r="J13" s="1">
        <v>7220</v>
      </c>
      <c r="K13" s="1">
        <v>6838</v>
      </c>
      <c r="L13" s="1">
        <v>7072</v>
      </c>
      <c r="M13" s="1">
        <v>7326</v>
      </c>
      <c r="N13" s="1">
        <v>7428</v>
      </c>
      <c r="O13" s="1">
        <v>7673</v>
      </c>
      <c r="P13" s="1">
        <v>7860</v>
      </c>
      <c r="Q13" s="1">
        <v>8005</v>
      </c>
      <c r="R13" s="1">
        <v>8065</v>
      </c>
      <c r="S13" s="1">
        <v>8309</v>
      </c>
      <c r="T13" s="1">
        <v>8640</v>
      </c>
      <c r="U13" s="1">
        <v>8728</v>
      </c>
      <c r="V13" s="1">
        <v>8617</v>
      </c>
      <c r="W13" s="1">
        <v>9039</v>
      </c>
      <c r="X13" s="1">
        <v>8990</v>
      </c>
      <c r="Y13" s="1">
        <v>8850</v>
      </c>
      <c r="Z13" s="1">
        <v>9081</v>
      </c>
      <c r="AA13" s="5">
        <f t="shared" si="0"/>
        <v>9081</v>
      </c>
    </row>
    <row r="14" spans="1:27" x14ac:dyDescent="0.25">
      <c r="A14" t="s">
        <v>21</v>
      </c>
      <c r="B14">
        <v>7061</v>
      </c>
      <c r="C14">
        <v>7391</v>
      </c>
      <c r="D14">
        <v>7905</v>
      </c>
      <c r="E14">
        <v>7649</v>
      </c>
      <c r="F14">
        <v>7941</v>
      </c>
      <c r="G14">
        <v>8068</v>
      </c>
      <c r="H14">
        <v>8191</v>
      </c>
      <c r="I14">
        <v>8350</v>
      </c>
      <c r="J14">
        <v>8674</v>
      </c>
      <c r="K14">
        <v>8395</v>
      </c>
      <c r="L14">
        <v>8697</v>
      </c>
      <c r="M14">
        <v>8687</v>
      </c>
      <c r="N14">
        <v>9028</v>
      </c>
      <c r="O14">
        <v>9309</v>
      </c>
      <c r="P14">
        <v>9733</v>
      </c>
      <c r="Q14">
        <v>10086</v>
      </c>
      <c r="R14">
        <v>10553</v>
      </c>
      <c r="S14">
        <v>10404</v>
      </c>
      <c r="T14">
        <v>10592</v>
      </c>
      <c r="U14">
        <v>10775</v>
      </c>
      <c r="V14">
        <v>10887</v>
      </c>
      <c r="W14">
        <v>11977</v>
      </c>
      <c r="X14">
        <v>11874</v>
      </c>
      <c r="Y14" s="1">
        <v>11681</v>
      </c>
      <c r="Z14" s="5">
        <f>+Y14</f>
        <v>11681</v>
      </c>
      <c r="AA14" s="5">
        <f t="shared" si="0"/>
        <v>11681</v>
      </c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3"/>
    </row>
    <row r="16" spans="1:27" x14ac:dyDescent="0.25">
      <c r="A16" t="s">
        <v>16</v>
      </c>
      <c r="B16" s="1">
        <f t="shared" ref="B16:Z16" si="1">SUM(B2:B13)</f>
        <v>503126</v>
      </c>
      <c r="C16" s="1">
        <f t="shared" si="1"/>
        <v>504645</v>
      </c>
      <c r="D16" s="1">
        <f t="shared" si="1"/>
        <v>510571</v>
      </c>
      <c r="E16" s="1">
        <f t="shared" si="1"/>
        <v>498463</v>
      </c>
      <c r="F16" s="1">
        <f t="shared" si="1"/>
        <v>510830</v>
      </c>
      <c r="G16" s="1">
        <f t="shared" si="1"/>
        <v>524845</v>
      </c>
      <c r="H16" s="1">
        <f t="shared" si="1"/>
        <v>535651</v>
      </c>
      <c r="I16" s="1">
        <f t="shared" si="1"/>
        <v>560470</v>
      </c>
      <c r="J16" s="1">
        <f t="shared" si="1"/>
        <v>571068</v>
      </c>
      <c r="K16" s="1">
        <f t="shared" si="1"/>
        <v>564431</v>
      </c>
      <c r="L16" s="1">
        <f t="shared" si="1"/>
        <v>582858</v>
      </c>
      <c r="M16" s="1">
        <f t="shared" si="1"/>
        <v>593909</v>
      </c>
      <c r="N16" s="1">
        <f t="shared" si="1"/>
        <v>607547</v>
      </c>
      <c r="O16" s="1">
        <f t="shared" si="1"/>
        <v>617631</v>
      </c>
      <c r="P16" s="1">
        <f t="shared" si="1"/>
        <v>627615</v>
      </c>
      <c r="Q16" s="1">
        <f t="shared" si="1"/>
        <v>644326</v>
      </c>
      <c r="R16" s="1">
        <f t="shared" si="1"/>
        <v>664223</v>
      </c>
      <c r="S16" s="1">
        <f t="shared" si="1"/>
        <v>680730</v>
      </c>
      <c r="T16" s="1">
        <f t="shared" si="1"/>
        <v>693336</v>
      </c>
      <c r="U16" s="1">
        <f t="shared" si="1"/>
        <v>704180</v>
      </c>
      <c r="V16" s="1">
        <f t="shared" si="1"/>
        <v>695685</v>
      </c>
      <c r="W16" s="1">
        <f t="shared" si="1"/>
        <v>733817</v>
      </c>
      <c r="X16" s="1">
        <f t="shared" si="1"/>
        <v>770064</v>
      </c>
      <c r="Y16" s="1">
        <f t="shared" si="1"/>
        <v>774324</v>
      </c>
      <c r="Z16" s="1">
        <f t="shared" si="1"/>
        <v>773473</v>
      </c>
      <c r="AA16" s="5">
        <f t="shared" si="0"/>
        <v>773473</v>
      </c>
    </row>
    <row r="17" spans="1:27" x14ac:dyDescent="0.25">
      <c r="A17" t="s">
        <v>17</v>
      </c>
      <c r="B17" s="1">
        <f t="shared" ref="B17:Z17" si="2">SUM(B2+B7+B10)</f>
        <v>387945</v>
      </c>
      <c r="C17" s="1">
        <f t="shared" si="2"/>
        <v>388167</v>
      </c>
      <c r="D17" s="1">
        <f t="shared" si="2"/>
        <v>387439</v>
      </c>
      <c r="E17" s="1">
        <f t="shared" si="2"/>
        <v>375639</v>
      </c>
      <c r="F17" s="1">
        <f t="shared" si="2"/>
        <v>383653</v>
      </c>
      <c r="G17" s="1">
        <f t="shared" si="2"/>
        <v>393531</v>
      </c>
      <c r="H17" s="1">
        <f t="shared" si="2"/>
        <v>399925</v>
      </c>
      <c r="I17" s="1">
        <f t="shared" si="2"/>
        <v>418183</v>
      </c>
      <c r="J17" s="1">
        <f t="shared" si="2"/>
        <v>426724</v>
      </c>
      <c r="K17" s="1">
        <f t="shared" si="2"/>
        <v>421210</v>
      </c>
      <c r="L17" s="1">
        <f t="shared" si="2"/>
        <v>433623</v>
      </c>
      <c r="M17" s="1">
        <f t="shared" si="2"/>
        <v>441600</v>
      </c>
      <c r="N17" s="1">
        <f t="shared" si="2"/>
        <v>451590</v>
      </c>
      <c r="O17" s="1">
        <f t="shared" si="2"/>
        <v>458559</v>
      </c>
      <c r="P17" s="1">
        <f t="shared" si="2"/>
        <v>464916</v>
      </c>
      <c r="Q17" s="1">
        <f t="shared" si="2"/>
        <v>478573</v>
      </c>
      <c r="R17" s="1">
        <f t="shared" si="2"/>
        <v>493485</v>
      </c>
      <c r="S17" s="1">
        <f t="shared" si="2"/>
        <v>507011</v>
      </c>
      <c r="T17" s="1">
        <f t="shared" si="2"/>
        <v>514412</v>
      </c>
      <c r="U17" s="1">
        <f t="shared" si="2"/>
        <v>522624</v>
      </c>
      <c r="V17" s="1">
        <f t="shared" si="2"/>
        <v>511303</v>
      </c>
      <c r="W17" s="1">
        <f t="shared" si="2"/>
        <v>540607</v>
      </c>
      <c r="X17" s="1">
        <f t="shared" si="2"/>
        <v>571436</v>
      </c>
      <c r="Y17" s="1">
        <f t="shared" si="2"/>
        <v>575840</v>
      </c>
      <c r="Z17" s="1">
        <f t="shared" si="2"/>
        <v>573975</v>
      </c>
      <c r="AA17" s="5">
        <f t="shared" si="0"/>
        <v>573975</v>
      </c>
    </row>
    <row r="18" spans="1:27" x14ac:dyDescent="0.25">
      <c r="A18" t="s">
        <v>13</v>
      </c>
      <c r="B18" s="1">
        <f t="shared" ref="B18:Z18" si="3">SUM(B2+B3+B7+B10)</f>
        <v>400799</v>
      </c>
      <c r="C18" s="1">
        <f t="shared" si="3"/>
        <v>401802</v>
      </c>
      <c r="D18" s="1">
        <f t="shared" si="3"/>
        <v>403186</v>
      </c>
      <c r="E18" s="1">
        <f t="shared" si="3"/>
        <v>391431</v>
      </c>
      <c r="F18" s="1">
        <f t="shared" si="3"/>
        <v>399502</v>
      </c>
      <c r="G18" s="1">
        <f t="shared" si="3"/>
        <v>410840</v>
      </c>
      <c r="H18" s="1">
        <f t="shared" si="3"/>
        <v>418015</v>
      </c>
      <c r="I18" s="1">
        <f t="shared" si="3"/>
        <v>437075</v>
      </c>
      <c r="J18" s="1">
        <f t="shared" si="3"/>
        <v>444109</v>
      </c>
      <c r="K18" s="1">
        <f t="shared" si="3"/>
        <v>438362</v>
      </c>
      <c r="L18" s="1">
        <f t="shared" si="3"/>
        <v>451729</v>
      </c>
      <c r="M18" s="1">
        <f t="shared" si="3"/>
        <v>460251</v>
      </c>
      <c r="N18" s="1">
        <f t="shared" si="3"/>
        <v>471039</v>
      </c>
      <c r="O18" s="1">
        <f t="shared" si="3"/>
        <v>478542</v>
      </c>
      <c r="P18" s="1">
        <f t="shared" si="3"/>
        <v>485431</v>
      </c>
      <c r="Q18" s="1">
        <f t="shared" si="3"/>
        <v>500193</v>
      </c>
      <c r="R18" s="1">
        <f t="shared" si="3"/>
        <v>516191</v>
      </c>
      <c r="S18" s="1">
        <f t="shared" si="3"/>
        <v>529864</v>
      </c>
      <c r="T18" s="1">
        <f t="shared" si="3"/>
        <v>537548</v>
      </c>
      <c r="U18" s="1">
        <f t="shared" si="3"/>
        <v>545661</v>
      </c>
      <c r="V18" s="1">
        <f t="shared" si="3"/>
        <v>534765</v>
      </c>
      <c r="W18" s="1">
        <f t="shared" si="3"/>
        <v>565022</v>
      </c>
      <c r="X18" s="1">
        <f t="shared" si="3"/>
        <v>596641</v>
      </c>
      <c r="Y18" s="1">
        <f t="shared" si="3"/>
        <v>600545</v>
      </c>
      <c r="Z18" s="1">
        <f t="shared" si="3"/>
        <v>599041</v>
      </c>
      <c r="AA18" s="5">
        <f t="shared" si="0"/>
        <v>599041</v>
      </c>
    </row>
    <row r="19" spans="1:27" x14ac:dyDescent="0.25">
      <c r="A19" t="s">
        <v>14</v>
      </c>
      <c r="B19" s="1">
        <f t="shared" ref="B19:Z19" si="4">+B4+B5+B6+B8+B9+B11+B12+B13</f>
        <v>102327</v>
      </c>
      <c r="C19" s="1">
        <f t="shared" si="4"/>
        <v>102843</v>
      </c>
      <c r="D19" s="1">
        <f t="shared" si="4"/>
        <v>107385</v>
      </c>
      <c r="E19" s="1">
        <f t="shared" si="4"/>
        <v>107032</v>
      </c>
      <c r="F19" s="1">
        <f t="shared" si="4"/>
        <v>111328</v>
      </c>
      <c r="G19" s="1">
        <f t="shared" si="4"/>
        <v>114005</v>
      </c>
      <c r="H19" s="1">
        <f t="shared" si="4"/>
        <v>117636</v>
      </c>
      <c r="I19" s="1">
        <f t="shared" si="4"/>
        <v>123395</v>
      </c>
      <c r="J19" s="1">
        <f t="shared" si="4"/>
        <v>126959</v>
      </c>
      <c r="K19" s="1">
        <f t="shared" si="4"/>
        <v>126069</v>
      </c>
      <c r="L19" s="1">
        <f t="shared" si="4"/>
        <v>131129</v>
      </c>
      <c r="M19" s="1">
        <f t="shared" si="4"/>
        <v>133658</v>
      </c>
      <c r="N19" s="1">
        <f t="shared" si="4"/>
        <v>136508</v>
      </c>
      <c r="O19" s="1">
        <f t="shared" si="4"/>
        <v>139089</v>
      </c>
      <c r="P19" s="1">
        <f t="shared" si="4"/>
        <v>142184</v>
      </c>
      <c r="Q19" s="1">
        <f t="shared" si="4"/>
        <v>144133</v>
      </c>
      <c r="R19" s="1">
        <f t="shared" si="4"/>
        <v>148032</v>
      </c>
      <c r="S19" s="1">
        <f t="shared" si="4"/>
        <v>150866</v>
      </c>
      <c r="T19" s="1">
        <f t="shared" si="4"/>
        <v>155788</v>
      </c>
      <c r="U19" s="1">
        <f t="shared" si="4"/>
        <v>158519</v>
      </c>
      <c r="V19" s="1">
        <f t="shared" si="4"/>
        <v>160920</v>
      </c>
      <c r="W19" s="1">
        <f t="shared" si="4"/>
        <v>168795</v>
      </c>
      <c r="X19" s="1">
        <f t="shared" si="4"/>
        <v>173423</v>
      </c>
      <c r="Y19" s="1">
        <f t="shared" si="4"/>
        <v>173779</v>
      </c>
      <c r="Z19" s="1">
        <f t="shared" si="4"/>
        <v>174432</v>
      </c>
      <c r="AA19" s="5">
        <f t="shared" si="0"/>
        <v>174432</v>
      </c>
    </row>
    <row r="20" spans="1:27" x14ac:dyDescent="0.25">
      <c r="A20" t="s">
        <v>20</v>
      </c>
      <c r="B20" s="1">
        <f t="shared" ref="B20:Z20" si="5">+B6+B8+B9+B11+B12+B13</f>
        <v>80083</v>
      </c>
      <c r="C20" s="1">
        <f t="shared" si="5"/>
        <v>79919</v>
      </c>
      <c r="D20" s="1">
        <f t="shared" si="5"/>
        <v>83703</v>
      </c>
      <c r="E20" s="1">
        <f t="shared" si="5"/>
        <v>83570</v>
      </c>
      <c r="F20" s="1">
        <f t="shared" si="5"/>
        <v>87201</v>
      </c>
      <c r="G20" s="1">
        <f t="shared" si="5"/>
        <v>89630</v>
      </c>
      <c r="H20" s="1">
        <f t="shared" si="5"/>
        <v>92884</v>
      </c>
      <c r="I20" s="1">
        <f t="shared" si="5"/>
        <v>97481</v>
      </c>
      <c r="J20" s="1">
        <f t="shared" si="5"/>
        <v>99984</v>
      </c>
      <c r="K20" s="1">
        <f t="shared" si="5"/>
        <v>98943</v>
      </c>
      <c r="L20" s="1">
        <f t="shared" si="5"/>
        <v>103079</v>
      </c>
      <c r="M20" s="1">
        <f t="shared" si="5"/>
        <v>105200</v>
      </c>
      <c r="N20" s="1">
        <f t="shared" si="5"/>
        <v>107481</v>
      </c>
      <c r="O20" s="1">
        <f t="shared" si="5"/>
        <v>109280</v>
      </c>
      <c r="P20" s="1">
        <f t="shared" si="5"/>
        <v>111379</v>
      </c>
      <c r="Q20" s="1">
        <f t="shared" si="5"/>
        <v>112596</v>
      </c>
      <c r="R20" s="1">
        <f t="shared" si="5"/>
        <v>115615</v>
      </c>
      <c r="S20" s="1">
        <f t="shared" si="5"/>
        <v>118029</v>
      </c>
      <c r="T20" s="1">
        <f t="shared" si="5"/>
        <v>122039</v>
      </c>
      <c r="U20" s="1">
        <f t="shared" si="5"/>
        <v>123766</v>
      </c>
      <c r="V20" s="1">
        <f t="shared" si="5"/>
        <v>125935</v>
      </c>
      <c r="W20" s="1">
        <f t="shared" si="5"/>
        <v>131961</v>
      </c>
      <c r="X20" s="1">
        <f t="shared" si="5"/>
        <v>135684</v>
      </c>
      <c r="Y20" s="1">
        <f t="shared" si="5"/>
        <v>136020</v>
      </c>
      <c r="Z20" s="1">
        <f t="shared" si="5"/>
        <v>137169</v>
      </c>
      <c r="AA20" s="5">
        <f t="shared" si="0"/>
        <v>137169</v>
      </c>
    </row>
    <row r="21" spans="1:27" x14ac:dyDescent="0.25">
      <c r="A21" t="s">
        <v>34</v>
      </c>
      <c r="B21" s="1">
        <f t="shared" ref="B21:Z21" si="6">+B20+B5</f>
        <v>89441</v>
      </c>
      <c r="C21" s="1">
        <f t="shared" si="6"/>
        <v>89605</v>
      </c>
      <c r="D21" s="1">
        <f t="shared" si="6"/>
        <v>93517</v>
      </c>
      <c r="E21" s="1">
        <f t="shared" si="6"/>
        <v>93097</v>
      </c>
      <c r="F21" s="1">
        <f t="shared" si="6"/>
        <v>97075</v>
      </c>
      <c r="G21" s="1">
        <f t="shared" si="6"/>
        <v>99471</v>
      </c>
      <c r="H21" s="1">
        <f t="shared" si="6"/>
        <v>102822</v>
      </c>
      <c r="I21" s="1">
        <f t="shared" si="6"/>
        <v>107860</v>
      </c>
      <c r="J21" s="1">
        <f t="shared" si="6"/>
        <v>110838</v>
      </c>
      <c r="K21" s="1">
        <f t="shared" si="6"/>
        <v>109874</v>
      </c>
      <c r="L21" s="1">
        <f t="shared" si="6"/>
        <v>114521</v>
      </c>
      <c r="M21" s="1">
        <f t="shared" si="6"/>
        <v>116747</v>
      </c>
      <c r="N21" s="1">
        <f t="shared" si="6"/>
        <v>119095</v>
      </c>
      <c r="O21" s="1">
        <f t="shared" si="6"/>
        <v>121281</v>
      </c>
      <c r="P21" s="1">
        <f t="shared" si="6"/>
        <v>123619</v>
      </c>
      <c r="Q21" s="1">
        <f t="shared" si="6"/>
        <v>125210</v>
      </c>
      <c r="R21" s="1">
        <f t="shared" si="6"/>
        <v>128761</v>
      </c>
      <c r="S21" s="1">
        <f t="shared" si="6"/>
        <v>131332</v>
      </c>
      <c r="T21" s="1">
        <f t="shared" si="6"/>
        <v>135671</v>
      </c>
      <c r="U21" s="1">
        <f t="shared" si="6"/>
        <v>137477</v>
      </c>
      <c r="V21" s="1">
        <f t="shared" si="6"/>
        <v>139616</v>
      </c>
      <c r="W21" s="1">
        <f t="shared" si="6"/>
        <v>146378</v>
      </c>
      <c r="X21" s="1">
        <f t="shared" si="6"/>
        <v>150095</v>
      </c>
      <c r="Y21" s="1">
        <f t="shared" si="6"/>
        <v>150098</v>
      </c>
      <c r="Z21" s="1">
        <f t="shared" si="6"/>
        <v>151242</v>
      </c>
      <c r="AA21" s="5">
        <f t="shared" si="0"/>
        <v>151242</v>
      </c>
    </row>
    <row r="22" spans="1:27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</row>
    <row r="23" spans="1:27" x14ac:dyDescent="0.25">
      <c r="A23" t="s">
        <v>15</v>
      </c>
      <c r="B23" s="1">
        <f t="shared" ref="B23:Z23" si="7">+B4+B5</f>
        <v>22244</v>
      </c>
      <c r="C23" s="1">
        <f t="shared" si="7"/>
        <v>22924</v>
      </c>
      <c r="D23" s="1">
        <f t="shared" si="7"/>
        <v>23682</v>
      </c>
      <c r="E23" s="1">
        <f t="shared" si="7"/>
        <v>23462</v>
      </c>
      <c r="F23" s="1">
        <f t="shared" si="7"/>
        <v>24127</v>
      </c>
      <c r="G23" s="1">
        <f t="shared" si="7"/>
        <v>24375</v>
      </c>
      <c r="H23" s="1">
        <f t="shared" si="7"/>
        <v>24752</v>
      </c>
      <c r="I23" s="1">
        <f t="shared" si="7"/>
        <v>25914</v>
      </c>
      <c r="J23" s="1">
        <f t="shared" si="7"/>
        <v>26975</v>
      </c>
      <c r="K23" s="1">
        <f t="shared" si="7"/>
        <v>27126</v>
      </c>
      <c r="L23" s="1">
        <f t="shared" si="7"/>
        <v>28050</v>
      </c>
      <c r="M23" s="1">
        <f t="shared" si="7"/>
        <v>28458</v>
      </c>
      <c r="N23" s="1">
        <f t="shared" si="7"/>
        <v>29027</v>
      </c>
      <c r="O23" s="1">
        <f t="shared" si="7"/>
        <v>29809</v>
      </c>
      <c r="P23" s="1">
        <f t="shared" si="7"/>
        <v>30805</v>
      </c>
      <c r="Q23" s="1">
        <f t="shared" si="7"/>
        <v>31537</v>
      </c>
      <c r="R23" s="1">
        <f t="shared" si="7"/>
        <v>32417</v>
      </c>
      <c r="S23" s="1">
        <f t="shared" si="7"/>
        <v>32837</v>
      </c>
      <c r="T23" s="1">
        <f t="shared" si="7"/>
        <v>33749</v>
      </c>
      <c r="U23" s="1">
        <f t="shared" si="7"/>
        <v>34753</v>
      </c>
      <c r="V23" s="1">
        <f t="shared" si="7"/>
        <v>34985</v>
      </c>
      <c r="W23" s="1">
        <f t="shared" si="7"/>
        <v>36834</v>
      </c>
      <c r="X23" s="1">
        <f t="shared" si="7"/>
        <v>37739</v>
      </c>
      <c r="Y23" s="1">
        <f t="shared" si="7"/>
        <v>37759</v>
      </c>
      <c r="Z23" s="1">
        <f t="shared" si="7"/>
        <v>37263</v>
      </c>
      <c r="AA23" s="5">
        <f t="shared" si="0"/>
        <v>37263</v>
      </c>
    </row>
    <row r="24" spans="1:27" x14ac:dyDescent="0.25">
      <c r="A24" t="s">
        <v>35</v>
      </c>
      <c r="B24" s="15">
        <f t="shared" ref="B24:Z24" si="8">SUM(B14-B4)</f>
        <v>-5825</v>
      </c>
      <c r="C24" s="15">
        <f t="shared" si="8"/>
        <v>-5847</v>
      </c>
      <c r="D24" s="15">
        <f t="shared" si="8"/>
        <v>-5963</v>
      </c>
      <c r="E24" s="15">
        <f t="shared" si="8"/>
        <v>-6286</v>
      </c>
      <c r="F24" s="15">
        <f t="shared" si="8"/>
        <v>-6312</v>
      </c>
      <c r="G24" s="15">
        <f t="shared" si="8"/>
        <v>-6466</v>
      </c>
      <c r="H24" s="15">
        <f t="shared" si="8"/>
        <v>-6623</v>
      </c>
      <c r="I24" s="15">
        <f t="shared" si="8"/>
        <v>-7185</v>
      </c>
      <c r="J24" s="15">
        <f t="shared" si="8"/>
        <v>-7447</v>
      </c>
      <c r="K24" s="15">
        <f t="shared" si="8"/>
        <v>-7800</v>
      </c>
      <c r="L24" s="15">
        <f t="shared" si="8"/>
        <v>-7911</v>
      </c>
      <c r="M24" s="15">
        <f t="shared" si="8"/>
        <v>-8224</v>
      </c>
      <c r="N24" s="15">
        <f t="shared" si="8"/>
        <v>-8385</v>
      </c>
      <c r="O24" s="15">
        <f t="shared" si="8"/>
        <v>-8499</v>
      </c>
      <c r="P24" s="15">
        <f t="shared" si="8"/>
        <v>-8832</v>
      </c>
      <c r="Q24" s="15">
        <f t="shared" si="8"/>
        <v>-8837</v>
      </c>
      <c r="R24" s="15">
        <f t="shared" si="8"/>
        <v>-8718</v>
      </c>
      <c r="S24" s="15">
        <f t="shared" si="8"/>
        <v>-9130</v>
      </c>
      <c r="T24" s="15">
        <f t="shared" si="8"/>
        <v>-9525</v>
      </c>
      <c r="U24" s="15">
        <f t="shared" si="8"/>
        <v>-10267</v>
      </c>
      <c r="V24" s="15">
        <f t="shared" si="8"/>
        <v>-10417</v>
      </c>
      <c r="W24" s="15">
        <f t="shared" si="8"/>
        <v>-10440</v>
      </c>
      <c r="X24" s="15">
        <f t="shared" si="8"/>
        <v>-11454</v>
      </c>
      <c r="Y24" s="15">
        <f t="shared" si="8"/>
        <v>-12000</v>
      </c>
      <c r="Z24" s="15">
        <f t="shared" si="8"/>
        <v>-11509</v>
      </c>
      <c r="AA24" s="5">
        <f t="shared" si="0"/>
        <v>-11509</v>
      </c>
    </row>
    <row r="25" spans="1:27" x14ac:dyDescent="0.25">
      <c r="A25" t="s">
        <v>36</v>
      </c>
      <c r="B25" s="15">
        <f t="shared" ref="B25:Z25" si="9">SUM(B14-B5)</f>
        <v>-2297</v>
      </c>
      <c r="C25" s="15">
        <f t="shared" si="9"/>
        <v>-2295</v>
      </c>
      <c r="D25" s="15">
        <f t="shared" si="9"/>
        <v>-1909</v>
      </c>
      <c r="E25" s="15">
        <f t="shared" si="9"/>
        <v>-1878</v>
      </c>
      <c r="F25" s="15">
        <f t="shared" si="9"/>
        <v>-1933</v>
      </c>
      <c r="G25" s="15">
        <f t="shared" si="9"/>
        <v>-1773</v>
      </c>
      <c r="H25" s="15">
        <f t="shared" si="9"/>
        <v>-1747</v>
      </c>
      <c r="I25" s="15">
        <f t="shared" si="9"/>
        <v>-2029</v>
      </c>
      <c r="J25" s="15">
        <f t="shared" si="9"/>
        <v>-2180</v>
      </c>
      <c r="K25" s="15">
        <f t="shared" si="9"/>
        <v>-2536</v>
      </c>
      <c r="L25" s="15">
        <f t="shared" si="9"/>
        <v>-2745</v>
      </c>
      <c r="M25" s="15">
        <f t="shared" si="9"/>
        <v>-2860</v>
      </c>
      <c r="N25" s="15">
        <f t="shared" si="9"/>
        <v>-2586</v>
      </c>
      <c r="O25" s="15">
        <f t="shared" si="9"/>
        <v>-2692</v>
      </c>
      <c r="P25" s="15">
        <f t="shared" si="9"/>
        <v>-2507</v>
      </c>
      <c r="Q25" s="15">
        <f t="shared" si="9"/>
        <v>-2528</v>
      </c>
      <c r="R25" s="15">
        <f t="shared" si="9"/>
        <v>-2593</v>
      </c>
      <c r="S25" s="15">
        <f t="shared" si="9"/>
        <v>-2899</v>
      </c>
      <c r="T25" s="15">
        <f t="shared" si="9"/>
        <v>-3040</v>
      </c>
      <c r="U25" s="15">
        <f t="shared" si="9"/>
        <v>-2936</v>
      </c>
      <c r="V25" s="15">
        <f t="shared" si="9"/>
        <v>-2794</v>
      </c>
      <c r="W25" s="15">
        <f t="shared" si="9"/>
        <v>-2440</v>
      </c>
      <c r="X25" s="15">
        <f t="shared" si="9"/>
        <v>-2537</v>
      </c>
      <c r="Y25" s="15">
        <f t="shared" si="9"/>
        <v>-2397</v>
      </c>
      <c r="Z25" s="15">
        <f t="shared" si="9"/>
        <v>-2392</v>
      </c>
      <c r="AA25" s="5">
        <f t="shared" si="0"/>
        <v>-2392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004-4CE1-42E1-8B4A-5D88EBB7E8C9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5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5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5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5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5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5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5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5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5"/>
    </row>
    <row r="14" spans="1:27" x14ac:dyDescent="0.25">
      <c r="A14" t="s">
        <v>21</v>
      </c>
      <c r="Y14" s="1"/>
      <c r="Z14" s="5"/>
      <c r="AA14" s="5"/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3"/>
    </row>
    <row r="16" spans="1:27" x14ac:dyDescent="0.25">
      <c r="A16" t="s">
        <v>16</v>
      </c>
      <c r="B16" s="1">
        <f t="shared" ref="B16:Z16" si="0">SUM(B2:B13)</f>
        <v>0</v>
      </c>
      <c r="C16" s="1">
        <f t="shared" si="0"/>
        <v>0</v>
      </c>
      <c r="D16" s="1">
        <f t="shared" si="0"/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0"/>
        <v>0</v>
      </c>
      <c r="J16" s="1">
        <f t="shared" si="0"/>
        <v>0</v>
      </c>
      <c r="K16" s="1">
        <f t="shared" si="0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  <c r="T16" s="1">
        <f t="shared" si="0"/>
        <v>0</v>
      </c>
      <c r="U16" s="1">
        <f t="shared" si="0"/>
        <v>0</v>
      </c>
      <c r="V16" s="1">
        <f t="shared" si="0"/>
        <v>0</v>
      </c>
      <c r="W16" s="1">
        <f t="shared" si="0"/>
        <v>0</v>
      </c>
      <c r="X16" s="1">
        <f t="shared" si="0"/>
        <v>0</v>
      </c>
      <c r="Y16" s="1">
        <f t="shared" si="0"/>
        <v>0</v>
      </c>
      <c r="Z16" s="1">
        <f t="shared" si="0"/>
        <v>0</v>
      </c>
    </row>
    <row r="17" spans="1:26" x14ac:dyDescent="0.25">
      <c r="A17" t="s">
        <v>17</v>
      </c>
      <c r="B17" s="1">
        <f t="shared" ref="B17:Z17" si="1">SUM(B2+B7+B10)</f>
        <v>0</v>
      </c>
      <c r="C17" s="1">
        <f t="shared" si="1"/>
        <v>0</v>
      </c>
      <c r="D17" s="1">
        <f t="shared" si="1"/>
        <v>0</v>
      </c>
      <c r="E17" s="1">
        <f t="shared" si="1"/>
        <v>0</v>
      </c>
      <c r="F17" s="1">
        <f t="shared" si="1"/>
        <v>0</v>
      </c>
      <c r="G17" s="1">
        <f t="shared" si="1"/>
        <v>0</v>
      </c>
      <c r="H17" s="1">
        <f t="shared" si="1"/>
        <v>0</v>
      </c>
      <c r="I17" s="1">
        <f t="shared" si="1"/>
        <v>0</v>
      </c>
      <c r="J17" s="1">
        <f t="shared" si="1"/>
        <v>0</v>
      </c>
      <c r="K17" s="1">
        <f t="shared" si="1"/>
        <v>0</v>
      </c>
      <c r="L17" s="1">
        <f t="shared" si="1"/>
        <v>0</v>
      </c>
      <c r="M17" s="1">
        <f t="shared" si="1"/>
        <v>0</v>
      </c>
      <c r="N17" s="1">
        <f t="shared" si="1"/>
        <v>0</v>
      </c>
      <c r="O17" s="1">
        <f t="shared" si="1"/>
        <v>0</v>
      </c>
      <c r="P17" s="1">
        <f t="shared" si="1"/>
        <v>0</v>
      </c>
      <c r="Q17" s="1">
        <f t="shared" si="1"/>
        <v>0</v>
      </c>
      <c r="R17" s="1">
        <f t="shared" si="1"/>
        <v>0</v>
      </c>
      <c r="S17" s="1">
        <f t="shared" si="1"/>
        <v>0</v>
      </c>
      <c r="T17" s="1">
        <f t="shared" si="1"/>
        <v>0</v>
      </c>
      <c r="U17" s="1">
        <f t="shared" si="1"/>
        <v>0</v>
      </c>
      <c r="V17" s="1">
        <f t="shared" si="1"/>
        <v>0</v>
      </c>
      <c r="W17" s="1">
        <f t="shared" si="1"/>
        <v>0</v>
      </c>
      <c r="X17" s="1">
        <f t="shared" si="1"/>
        <v>0</v>
      </c>
      <c r="Y17" s="1">
        <f t="shared" si="1"/>
        <v>0</v>
      </c>
      <c r="Z17" s="1">
        <f t="shared" si="1"/>
        <v>0</v>
      </c>
    </row>
    <row r="18" spans="1:26" x14ac:dyDescent="0.25">
      <c r="A18" t="s">
        <v>13</v>
      </c>
      <c r="B18" s="1">
        <f t="shared" ref="B18:Z18" si="2">SUM(B2+B3+B7+B10)</f>
        <v>0</v>
      </c>
      <c r="C18" s="1">
        <f t="shared" si="2"/>
        <v>0</v>
      </c>
      <c r="D18" s="1">
        <f t="shared" si="2"/>
        <v>0</v>
      </c>
      <c r="E18" s="1">
        <f t="shared" si="2"/>
        <v>0</v>
      </c>
      <c r="F18" s="1">
        <f t="shared" si="2"/>
        <v>0</v>
      </c>
      <c r="G18" s="1">
        <f t="shared" si="2"/>
        <v>0</v>
      </c>
      <c r="H18" s="1">
        <f t="shared" si="2"/>
        <v>0</v>
      </c>
      <c r="I18" s="1">
        <f t="shared" si="2"/>
        <v>0</v>
      </c>
      <c r="J18" s="1">
        <f t="shared" si="2"/>
        <v>0</v>
      </c>
      <c r="K18" s="1">
        <f t="shared" si="2"/>
        <v>0</v>
      </c>
      <c r="L18" s="1">
        <f t="shared" si="2"/>
        <v>0</v>
      </c>
      <c r="M18" s="1">
        <f t="shared" si="2"/>
        <v>0</v>
      </c>
      <c r="N18" s="1">
        <f t="shared" si="2"/>
        <v>0</v>
      </c>
      <c r="O18" s="1">
        <f t="shared" si="2"/>
        <v>0</v>
      </c>
      <c r="P18" s="1">
        <f t="shared" si="2"/>
        <v>0</v>
      </c>
      <c r="Q18" s="1">
        <f t="shared" si="2"/>
        <v>0</v>
      </c>
      <c r="R18" s="1">
        <f t="shared" si="2"/>
        <v>0</v>
      </c>
      <c r="S18" s="1">
        <f t="shared" si="2"/>
        <v>0</v>
      </c>
      <c r="T18" s="1">
        <f t="shared" si="2"/>
        <v>0</v>
      </c>
      <c r="U18" s="1">
        <f t="shared" si="2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0</v>
      </c>
    </row>
    <row r="19" spans="1:26" x14ac:dyDescent="0.25">
      <c r="A19" t="s">
        <v>14</v>
      </c>
      <c r="B19" s="1">
        <f t="shared" ref="B19:Z19" si="3">+B4+B5+B6+B8+B9+B11+B12+B13</f>
        <v>0</v>
      </c>
      <c r="C19" s="1">
        <f t="shared" si="3"/>
        <v>0</v>
      </c>
      <c r="D19" s="1">
        <f t="shared" si="3"/>
        <v>0</v>
      </c>
      <c r="E19" s="1">
        <f t="shared" si="3"/>
        <v>0</v>
      </c>
      <c r="F19" s="1">
        <f t="shared" si="3"/>
        <v>0</v>
      </c>
      <c r="G19" s="1">
        <f t="shared" si="3"/>
        <v>0</v>
      </c>
      <c r="H19" s="1">
        <f t="shared" si="3"/>
        <v>0</v>
      </c>
      <c r="I19" s="1">
        <f t="shared" si="3"/>
        <v>0</v>
      </c>
      <c r="J19" s="1">
        <f t="shared" si="3"/>
        <v>0</v>
      </c>
      <c r="K19" s="1">
        <f t="shared" si="3"/>
        <v>0</v>
      </c>
      <c r="L19" s="1">
        <f t="shared" si="3"/>
        <v>0</v>
      </c>
      <c r="M19" s="1">
        <f t="shared" si="3"/>
        <v>0</v>
      </c>
      <c r="N19" s="1">
        <f t="shared" si="3"/>
        <v>0</v>
      </c>
      <c r="O19" s="1">
        <f t="shared" si="3"/>
        <v>0</v>
      </c>
      <c r="P19" s="1">
        <f t="shared" si="3"/>
        <v>0</v>
      </c>
      <c r="Q19" s="1">
        <f t="shared" si="3"/>
        <v>0</v>
      </c>
      <c r="R19" s="1">
        <f t="shared" si="3"/>
        <v>0</v>
      </c>
      <c r="S19" s="1">
        <f t="shared" si="3"/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0</v>
      </c>
      <c r="Z19" s="1">
        <f t="shared" si="3"/>
        <v>0</v>
      </c>
    </row>
    <row r="20" spans="1:26" x14ac:dyDescent="0.25">
      <c r="A20" t="s">
        <v>20</v>
      </c>
      <c r="B20" s="1">
        <f t="shared" ref="B20:Z20" si="4">+B6+B8+B9+B11+B12+B13</f>
        <v>0</v>
      </c>
      <c r="C20" s="1">
        <f t="shared" si="4"/>
        <v>0</v>
      </c>
      <c r="D20" s="1">
        <f t="shared" si="4"/>
        <v>0</v>
      </c>
      <c r="E20" s="1">
        <f t="shared" si="4"/>
        <v>0</v>
      </c>
      <c r="F20" s="1">
        <f t="shared" si="4"/>
        <v>0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  <c r="M20" s="1">
        <f t="shared" si="4"/>
        <v>0</v>
      </c>
      <c r="N20" s="1">
        <f t="shared" si="4"/>
        <v>0</v>
      </c>
      <c r="O20" s="1">
        <f t="shared" si="4"/>
        <v>0</v>
      </c>
      <c r="P20" s="1">
        <f t="shared" si="4"/>
        <v>0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si="4"/>
        <v>0</v>
      </c>
      <c r="W20" s="1">
        <f t="shared" si="4"/>
        <v>0</v>
      </c>
      <c r="X20" s="1">
        <f t="shared" si="4"/>
        <v>0</v>
      </c>
      <c r="Y20" s="1">
        <f t="shared" si="4"/>
        <v>0</v>
      </c>
      <c r="Z20" s="1">
        <f t="shared" si="4"/>
        <v>0</v>
      </c>
    </row>
    <row r="21" spans="1:26" x14ac:dyDescent="0.25">
      <c r="A21" t="s">
        <v>34</v>
      </c>
      <c r="B21" s="1">
        <f t="shared" ref="B21:Z21" si="5">+B20+B5</f>
        <v>0</v>
      </c>
      <c r="C21" s="1">
        <f t="shared" si="5"/>
        <v>0</v>
      </c>
      <c r="D21" s="1">
        <f t="shared" si="5"/>
        <v>0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  <c r="O21" s="1">
        <f t="shared" si="5"/>
        <v>0</v>
      </c>
      <c r="P21" s="1">
        <f t="shared" si="5"/>
        <v>0</v>
      </c>
      <c r="Q21" s="1">
        <f t="shared" si="5"/>
        <v>0</v>
      </c>
      <c r="R21" s="1">
        <f t="shared" si="5"/>
        <v>0</v>
      </c>
      <c r="S21" s="1">
        <f t="shared" si="5"/>
        <v>0</v>
      </c>
      <c r="T21" s="1">
        <f t="shared" si="5"/>
        <v>0</v>
      </c>
      <c r="U21" s="1">
        <f t="shared" si="5"/>
        <v>0</v>
      </c>
      <c r="V21" s="1">
        <f t="shared" si="5"/>
        <v>0</v>
      </c>
      <c r="W21" s="1">
        <f t="shared" si="5"/>
        <v>0</v>
      </c>
      <c r="X21" s="1">
        <f t="shared" si="5"/>
        <v>0</v>
      </c>
      <c r="Y21" s="1">
        <f t="shared" si="5"/>
        <v>0</v>
      </c>
      <c r="Z21" s="1">
        <f t="shared" si="5"/>
        <v>0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0</v>
      </c>
      <c r="C23" s="1">
        <f t="shared" si="6"/>
        <v>0</v>
      </c>
      <c r="D23" s="1">
        <f t="shared" si="6"/>
        <v>0</v>
      </c>
      <c r="E23" s="1">
        <f t="shared" si="6"/>
        <v>0</v>
      </c>
      <c r="F23" s="1">
        <f t="shared" si="6"/>
        <v>0</v>
      </c>
      <c r="G23" s="1">
        <f t="shared" si="6"/>
        <v>0</v>
      </c>
      <c r="H23" s="1">
        <f t="shared" si="6"/>
        <v>0</v>
      </c>
      <c r="I23" s="1">
        <f t="shared" si="6"/>
        <v>0</v>
      </c>
      <c r="J23" s="1">
        <f t="shared" si="6"/>
        <v>0</v>
      </c>
      <c r="K23" s="1">
        <f t="shared" si="6"/>
        <v>0</v>
      </c>
      <c r="L23" s="1">
        <f t="shared" si="6"/>
        <v>0</v>
      </c>
      <c r="M23" s="1">
        <f t="shared" si="6"/>
        <v>0</v>
      </c>
      <c r="N23" s="1">
        <f t="shared" si="6"/>
        <v>0</v>
      </c>
      <c r="O23" s="1">
        <f t="shared" si="6"/>
        <v>0</v>
      </c>
      <c r="P23" s="1">
        <f t="shared" si="6"/>
        <v>0</v>
      </c>
      <c r="Q23" s="1">
        <f t="shared" si="6"/>
        <v>0</v>
      </c>
      <c r="R23" s="1">
        <f t="shared" si="6"/>
        <v>0</v>
      </c>
      <c r="S23" s="1">
        <f t="shared" si="6"/>
        <v>0</v>
      </c>
      <c r="T23" s="1">
        <f t="shared" si="6"/>
        <v>0</v>
      </c>
      <c r="U23" s="1">
        <f t="shared" si="6"/>
        <v>0</v>
      </c>
      <c r="V23" s="1">
        <f t="shared" si="6"/>
        <v>0</v>
      </c>
      <c r="W23" s="1">
        <f t="shared" si="6"/>
        <v>0</v>
      </c>
      <c r="X23" s="1">
        <f t="shared" si="6"/>
        <v>0</v>
      </c>
      <c r="Y23" s="1">
        <f t="shared" si="6"/>
        <v>0</v>
      </c>
      <c r="Z23" s="1">
        <f t="shared" si="6"/>
        <v>0</v>
      </c>
    </row>
    <row r="24" spans="1:26" x14ac:dyDescent="0.25">
      <c r="A24" t="s">
        <v>35</v>
      </c>
      <c r="B24" s="15">
        <f t="shared" ref="B24:Z24" si="7">SUM(B14-B4)</f>
        <v>0</v>
      </c>
      <c r="C24" s="15">
        <f t="shared" si="7"/>
        <v>0</v>
      </c>
      <c r="D24" s="15">
        <f t="shared" si="7"/>
        <v>0</v>
      </c>
      <c r="E24" s="15">
        <f t="shared" si="7"/>
        <v>0</v>
      </c>
      <c r="F24" s="15">
        <f t="shared" si="7"/>
        <v>0</v>
      </c>
      <c r="G24" s="15">
        <f t="shared" si="7"/>
        <v>0</v>
      </c>
      <c r="H24" s="15">
        <f t="shared" si="7"/>
        <v>0</v>
      </c>
      <c r="I24" s="15">
        <f t="shared" si="7"/>
        <v>0</v>
      </c>
      <c r="J24" s="15">
        <f t="shared" si="7"/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0</v>
      </c>
      <c r="R24" s="15">
        <f t="shared" si="7"/>
        <v>0</v>
      </c>
      <c r="S24" s="15">
        <f t="shared" si="7"/>
        <v>0</v>
      </c>
      <c r="T24" s="15">
        <f t="shared" si="7"/>
        <v>0</v>
      </c>
      <c r="U24" s="15">
        <f t="shared" si="7"/>
        <v>0</v>
      </c>
      <c r="V24" s="15">
        <f t="shared" si="7"/>
        <v>0</v>
      </c>
      <c r="W24" s="15">
        <f t="shared" si="7"/>
        <v>0</v>
      </c>
      <c r="X24" s="15">
        <f t="shared" si="7"/>
        <v>0</v>
      </c>
      <c r="Y24" s="15">
        <f t="shared" si="7"/>
        <v>0</v>
      </c>
      <c r="Z24" s="15">
        <f t="shared" si="7"/>
        <v>0</v>
      </c>
    </row>
    <row r="25" spans="1:26" x14ac:dyDescent="0.25">
      <c r="A25" t="s">
        <v>36</v>
      </c>
      <c r="B25" s="15">
        <f t="shared" ref="B25:Z25" si="8">SUM(B14-B5)</f>
        <v>0</v>
      </c>
      <c r="C25" s="15">
        <f t="shared" si="8"/>
        <v>0</v>
      </c>
      <c r="D25" s="15">
        <f t="shared" si="8"/>
        <v>0</v>
      </c>
      <c r="E25" s="15">
        <f t="shared" si="8"/>
        <v>0</v>
      </c>
      <c r="F25" s="15">
        <f t="shared" si="8"/>
        <v>0</v>
      </c>
      <c r="G25" s="15">
        <f t="shared" si="8"/>
        <v>0</v>
      </c>
      <c r="H25" s="15">
        <f t="shared" si="8"/>
        <v>0</v>
      </c>
      <c r="I25" s="15">
        <f t="shared" si="8"/>
        <v>0</v>
      </c>
      <c r="J25" s="15">
        <f t="shared" si="8"/>
        <v>0</v>
      </c>
      <c r="K25" s="15">
        <f t="shared" si="8"/>
        <v>0</v>
      </c>
      <c r="L25" s="15">
        <f t="shared" si="8"/>
        <v>0</v>
      </c>
      <c r="M25" s="15">
        <f t="shared" si="8"/>
        <v>0</v>
      </c>
      <c r="N25" s="15">
        <f t="shared" si="8"/>
        <v>0</v>
      </c>
      <c r="O25" s="15">
        <f t="shared" si="8"/>
        <v>0</v>
      </c>
      <c r="P25" s="15">
        <f t="shared" si="8"/>
        <v>0</v>
      </c>
      <c r="Q25" s="15">
        <f t="shared" si="8"/>
        <v>0</v>
      </c>
      <c r="R25" s="15">
        <f t="shared" si="8"/>
        <v>0</v>
      </c>
      <c r="S25" s="15">
        <f t="shared" si="8"/>
        <v>0</v>
      </c>
      <c r="T25" s="15">
        <f t="shared" si="8"/>
        <v>0</v>
      </c>
      <c r="U25" s="15">
        <f t="shared" si="8"/>
        <v>0</v>
      </c>
      <c r="V25" s="15">
        <f t="shared" si="8"/>
        <v>0</v>
      </c>
      <c r="W25" s="15">
        <f t="shared" si="8"/>
        <v>0</v>
      </c>
      <c r="X25" s="15">
        <f t="shared" si="8"/>
        <v>0</v>
      </c>
      <c r="Y25" s="15">
        <f t="shared" si="8"/>
        <v>0</v>
      </c>
      <c r="Z25" s="15">
        <f t="shared" si="8"/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15B5-449F-4275-A340-BC2E0CEB1ADE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26.4</v>
      </c>
      <c r="C2" s="8">
        <v>27.4</v>
      </c>
      <c r="D2" s="8">
        <v>28.3</v>
      </c>
      <c r="E2" s="8">
        <v>29</v>
      </c>
      <c r="F2" s="8">
        <v>29.9</v>
      </c>
      <c r="G2" s="8">
        <v>30.9</v>
      </c>
      <c r="H2" s="8">
        <v>31.5</v>
      </c>
      <c r="I2" s="8">
        <v>32.299999999999997</v>
      </c>
      <c r="J2" s="8">
        <v>32.9</v>
      </c>
      <c r="K2" s="8">
        <v>33.4</v>
      </c>
      <c r="L2" s="8">
        <v>34</v>
      </c>
      <c r="M2" s="8">
        <v>34.6</v>
      </c>
      <c r="N2" s="8">
        <v>35.1</v>
      </c>
      <c r="O2" s="8">
        <v>35.799999999999997</v>
      </c>
      <c r="P2" s="8">
        <v>36.299999999999997</v>
      </c>
      <c r="Q2" s="8">
        <v>37</v>
      </c>
      <c r="R2" s="8">
        <v>37.6</v>
      </c>
      <c r="S2" s="8">
        <v>38.1</v>
      </c>
      <c r="T2" s="8">
        <v>38.9</v>
      </c>
      <c r="U2" s="8">
        <v>39.6</v>
      </c>
      <c r="V2" s="8">
        <v>40.4</v>
      </c>
      <c r="W2" s="8">
        <v>41.2</v>
      </c>
      <c r="X2" s="8">
        <v>42</v>
      </c>
      <c r="Y2" s="8">
        <v>42.6</v>
      </c>
      <c r="Z2" s="8">
        <v>43.3</v>
      </c>
    </row>
    <row r="3" spans="1:27" x14ac:dyDescent="0.25">
      <c r="A3" t="s">
        <v>2</v>
      </c>
      <c r="B3" s="8">
        <v>27.6</v>
      </c>
      <c r="C3" s="8">
        <v>28.8</v>
      </c>
      <c r="D3" s="8">
        <v>30.4</v>
      </c>
      <c r="E3" s="8">
        <v>31.1</v>
      </c>
      <c r="F3" s="8">
        <v>31.8</v>
      </c>
      <c r="G3" s="8">
        <v>32.5</v>
      </c>
      <c r="H3" s="8">
        <v>32.6</v>
      </c>
      <c r="I3" s="8">
        <v>32.9</v>
      </c>
      <c r="J3" s="8">
        <v>33.299999999999997</v>
      </c>
      <c r="K3" s="8">
        <v>33.6</v>
      </c>
      <c r="L3" s="8">
        <v>34.1</v>
      </c>
      <c r="M3" s="8">
        <v>34.5</v>
      </c>
      <c r="N3" s="8">
        <v>35</v>
      </c>
      <c r="O3" s="8">
        <v>35.5</v>
      </c>
      <c r="P3" s="8">
        <v>36</v>
      </c>
      <c r="Q3" s="8">
        <v>36.4</v>
      </c>
      <c r="R3" s="8">
        <v>36.700000000000003</v>
      </c>
      <c r="S3" s="8">
        <v>36.9</v>
      </c>
      <c r="T3" s="8">
        <v>37.200000000000003</v>
      </c>
      <c r="U3" s="8">
        <v>37.6</v>
      </c>
      <c r="V3" s="8">
        <v>38.1</v>
      </c>
      <c r="W3" s="8">
        <v>38.799999999999997</v>
      </c>
      <c r="X3" s="8">
        <v>39.200000000000003</v>
      </c>
      <c r="Y3" s="8">
        <v>39.5</v>
      </c>
      <c r="Z3" s="8">
        <v>40</v>
      </c>
    </row>
    <row r="4" spans="1:27" x14ac:dyDescent="0.25">
      <c r="A4" t="s">
        <v>3</v>
      </c>
      <c r="B4" s="8">
        <v>22.1</v>
      </c>
      <c r="C4" s="8">
        <v>23.1</v>
      </c>
      <c r="D4" s="8">
        <v>24</v>
      </c>
      <c r="E4" s="8">
        <v>24.7</v>
      </c>
      <c r="F4" s="8">
        <v>25.6</v>
      </c>
      <c r="G4" s="8">
        <v>26.4</v>
      </c>
      <c r="H4" s="8">
        <v>27.1</v>
      </c>
      <c r="I4" s="8">
        <v>27.8</v>
      </c>
      <c r="J4" s="8">
        <v>28.3</v>
      </c>
      <c r="K4" s="8">
        <v>28.8</v>
      </c>
      <c r="L4" s="8">
        <v>29.4</v>
      </c>
      <c r="M4" s="8">
        <v>30.1</v>
      </c>
      <c r="N4" s="8">
        <v>30.8</v>
      </c>
      <c r="O4" s="8">
        <v>31.6</v>
      </c>
      <c r="P4" s="8">
        <v>32.1</v>
      </c>
      <c r="Q4" s="8">
        <v>32.5</v>
      </c>
      <c r="R4" s="8">
        <v>33</v>
      </c>
      <c r="S4" s="8">
        <v>33.4</v>
      </c>
      <c r="T4" s="8">
        <v>34</v>
      </c>
      <c r="U4" s="8">
        <v>34.299999999999997</v>
      </c>
      <c r="V4" s="8">
        <v>34.799999999999997</v>
      </c>
      <c r="W4" s="8">
        <v>35.200000000000003</v>
      </c>
      <c r="X4" s="8">
        <v>35.4</v>
      </c>
      <c r="Y4" s="8">
        <v>35.700000000000003</v>
      </c>
      <c r="Z4" s="8">
        <v>36.1</v>
      </c>
    </row>
    <row r="5" spans="1:27" x14ac:dyDescent="0.25">
      <c r="A5" t="s">
        <v>4</v>
      </c>
      <c r="B5" s="8">
        <v>11.1</v>
      </c>
      <c r="C5" s="8">
        <v>11.8</v>
      </c>
      <c r="D5" s="8">
        <v>12.7</v>
      </c>
      <c r="E5" s="8">
        <v>13.5</v>
      </c>
      <c r="F5" s="8">
        <v>14.3</v>
      </c>
      <c r="G5" s="8">
        <v>15.1</v>
      </c>
      <c r="H5" s="8">
        <v>15.8</v>
      </c>
      <c r="I5" s="8">
        <v>16.399999999999999</v>
      </c>
      <c r="J5" s="8">
        <v>16.899999999999999</v>
      </c>
      <c r="K5" s="8">
        <v>17.399999999999999</v>
      </c>
      <c r="L5" s="8">
        <v>17.899999999999999</v>
      </c>
      <c r="M5" s="8">
        <v>18.3</v>
      </c>
      <c r="N5" s="8">
        <v>18.8</v>
      </c>
      <c r="O5" s="8">
        <v>19.2</v>
      </c>
      <c r="P5" s="8">
        <v>19.600000000000001</v>
      </c>
      <c r="Q5" s="8">
        <v>20.100000000000001</v>
      </c>
      <c r="R5" s="8">
        <v>20.6</v>
      </c>
      <c r="S5" s="8">
        <v>21</v>
      </c>
      <c r="T5" s="8">
        <v>21.6</v>
      </c>
      <c r="U5" s="8">
        <v>22.1</v>
      </c>
      <c r="V5" s="8">
        <v>22.7</v>
      </c>
      <c r="W5" s="8">
        <v>23.3</v>
      </c>
      <c r="X5" s="8">
        <v>23.9</v>
      </c>
      <c r="Y5" s="8">
        <v>24.3</v>
      </c>
      <c r="Z5" s="8">
        <v>24.9</v>
      </c>
    </row>
    <row r="6" spans="1:27" x14ac:dyDescent="0.25">
      <c r="A6" t="s">
        <v>5</v>
      </c>
      <c r="B6" s="8">
        <v>14.2</v>
      </c>
      <c r="C6" s="8">
        <v>14.9</v>
      </c>
      <c r="D6" s="8">
        <v>15.8</v>
      </c>
      <c r="E6" s="8">
        <v>16.5</v>
      </c>
      <c r="F6" s="8">
        <v>17.3</v>
      </c>
      <c r="G6" s="8">
        <v>18.2</v>
      </c>
      <c r="H6" s="8">
        <v>18.8</v>
      </c>
      <c r="I6" s="8">
        <v>19.5</v>
      </c>
      <c r="J6" s="8">
        <v>20</v>
      </c>
      <c r="K6" s="8">
        <v>20.5</v>
      </c>
      <c r="L6" s="8">
        <v>21.1</v>
      </c>
      <c r="M6" s="8">
        <v>21.6</v>
      </c>
      <c r="N6" s="8">
        <v>22.2</v>
      </c>
      <c r="O6" s="8">
        <v>22.7</v>
      </c>
      <c r="P6" s="8">
        <v>23.2</v>
      </c>
      <c r="Q6" s="8">
        <v>23.6</v>
      </c>
      <c r="R6" s="8">
        <v>24</v>
      </c>
      <c r="S6" s="8">
        <v>24.3</v>
      </c>
      <c r="T6" s="8">
        <v>24.9</v>
      </c>
      <c r="U6" s="8">
        <v>25.4</v>
      </c>
      <c r="V6" s="8">
        <v>26.4</v>
      </c>
      <c r="W6" s="8">
        <v>27.2</v>
      </c>
      <c r="X6" s="8">
        <v>27.6</v>
      </c>
      <c r="Y6" s="8">
        <v>27.9</v>
      </c>
      <c r="Z6" s="8">
        <v>28.5</v>
      </c>
    </row>
    <row r="7" spans="1:27" x14ac:dyDescent="0.25">
      <c r="A7" t="s">
        <v>6</v>
      </c>
      <c r="B7" s="8">
        <v>16.600000000000001</v>
      </c>
      <c r="C7" s="8">
        <v>17.8</v>
      </c>
      <c r="D7" s="8">
        <v>18.8</v>
      </c>
      <c r="E7" s="8">
        <v>19.8</v>
      </c>
      <c r="F7" s="8">
        <v>21.1</v>
      </c>
      <c r="G7" s="8">
        <v>22.5</v>
      </c>
      <c r="H7" s="8">
        <v>23.5</v>
      </c>
      <c r="I7" s="8">
        <v>24.4</v>
      </c>
      <c r="J7" s="8">
        <v>25.2</v>
      </c>
      <c r="K7" s="8">
        <v>25.8</v>
      </c>
      <c r="L7" s="8">
        <v>26.2</v>
      </c>
      <c r="M7" s="8">
        <v>26.8</v>
      </c>
      <c r="N7" s="8">
        <v>27.3</v>
      </c>
      <c r="O7" s="8">
        <v>27.9</v>
      </c>
      <c r="P7" s="8">
        <v>28.4</v>
      </c>
      <c r="Q7" s="8">
        <v>29</v>
      </c>
      <c r="R7" s="8">
        <v>29.6</v>
      </c>
      <c r="S7" s="8">
        <v>29.9</v>
      </c>
      <c r="T7" s="8">
        <v>30.6</v>
      </c>
      <c r="U7" s="8">
        <v>31.2</v>
      </c>
      <c r="V7" s="8">
        <v>32</v>
      </c>
      <c r="W7" s="8">
        <v>32.799999999999997</v>
      </c>
      <c r="X7" s="8">
        <v>33.6</v>
      </c>
      <c r="Y7" s="8">
        <v>34.200000000000003</v>
      </c>
      <c r="Z7" s="8">
        <v>35</v>
      </c>
    </row>
    <row r="8" spans="1:27" x14ac:dyDescent="0.25">
      <c r="A8" t="s">
        <v>7</v>
      </c>
      <c r="B8" s="8">
        <v>38</v>
      </c>
      <c r="C8" s="8">
        <v>38.799999999999997</v>
      </c>
      <c r="D8" s="8">
        <v>39.6</v>
      </c>
      <c r="E8" s="8">
        <v>40.299999999999997</v>
      </c>
      <c r="F8" s="8">
        <v>41.3</v>
      </c>
      <c r="G8" s="8">
        <v>42</v>
      </c>
      <c r="H8" s="8">
        <v>42.2</v>
      </c>
      <c r="I8" s="8">
        <v>42.7</v>
      </c>
      <c r="J8" s="8">
        <v>42.9</v>
      </c>
      <c r="K8" s="8">
        <v>43.1</v>
      </c>
      <c r="L8" s="8">
        <v>43.2</v>
      </c>
      <c r="M8" s="8">
        <v>43.8</v>
      </c>
      <c r="N8" s="8">
        <v>44.6</v>
      </c>
      <c r="O8" s="8">
        <v>45.3</v>
      </c>
      <c r="P8" s="8">
        <v>45.8</v>
      </c>
      <c r="Q8" s="8">
        <v>45.7</v>
      </c>
      <c r="R8" s="8">
        <v>46.3</v>
      </c>
      <c r="S8" s="8">
        <v>46.2</v>
      </c>
      <c r="T8" s="8">
        <v>46.5</v>
      </c>
      <c r="U8" s="8">
        <v>46.6</v>
      </c>
      <c r="V8" s="8">
        <v>47.1</v>
      </c>
      <c r="W8" s="8">
        <v>47.6</v>
      </c>
      <c r="X8" s="8">
        <v>47.8</v>
      </c>
      <c r="Y8" s="8">
        <v>46.8</v>
      </c>
      <c r="Z8" s="8">
        <v>48.2</v>
      </c>
    </row>
    <row r="9" spans="1:27" x14ac:dyDescent="0.25">
      <c r="A9" t="s">
        <v>8</v>
      </c>
      <c r="B9" s="8">
        <v>13.9</v>
      </c>
      <c r="C9" s="8">
        <v>14.6</v>
      </c>
      <c r="D9" s="8">
        <v>15.2</v>
      </c>
      <c r="E9" s="8">
        <v>15.9</v>
      </c>
      <c r="F9" s="8">
        <v>16.600000000000001</v>
      </c>
      <c r="G9" s="8">
        <v>17.8</v>
      </c>
      <c r="H9" s="8">
        <v>18.3</v>
      </c>
      <c r="I9" s="8">
        <v>18.899999999999999</v>
      </c>
      <c r="J9" s="8">
        <v>19.3</v>
      </c>
      <c r="K9" s="8">
        <v>19.7</v>
      </c>
      <c r="L9" s="8">
        <v>19.899999999999999</v>
      </c>
      <c r="M9" s="8">
        <v>20.3</v>
      </c>
      <c r="N9" s="8">
        <v>20.5</v>
      </c>
      <c r="O9" s="8">
        <v>20.8</v>
      </c>
      <c r="P9" s="8">
        <v>21.2</v>
      </c>
      <c r="Q9" s="8">
        <v>21.7</v>
      </c>
      <c r="R9" s="8">
        <v>22.2</v>
      </c>
      <c r="S9" s="8">
        <v>22.4</v>
      </c>
      <c r="T9" s="8">
        <v>23.2</v>
      </c>
      <c r="U9" s="8">
        <v>23.7</v>
      </c>
      <c r="V9" s="8">
        <v>24.3</v>
      </c>
      <c r="W9" s="8">
        <v>24.8</v>
      </c>
      <c r="X9" s="8">
        <v>25.3</v>
      </c>
      <c r="Y9" s="8">
        <v>25.6</v>
      </c>
      <c r="Z9" s="8">
        <v>26</v>
      </c>
    </row>
    <row r="10" spans="1:27" x14ac:dyDescent="0.25">
      <c r="A10" t="s">
        <v>9</v>
      </c>
      <c r="B10" s="8">
        <v>21.2</v>
      </c>
      <c r="C10" s="8">
        <v>22.2</v>
      </c>
      <c r="D10" s="8">
        <v>23.2</v>
      </c>
      <c r="E10" s="8">
        <v>24.1</v>
      </c>
      <c r="F10" s="8">
        <v>25.1</v>
      </c>
      <c r="G10" s="8">
        <v>26.1</v>
      </c>
      <c r="H10" s="8">
        <v>26.5</v>
      </c>
      <c r="I10" s="8">
        <v>27.2</v>
      </c>
      <c r="J10" s="8">
        <v>27.7</v>
      </c>
      <c r="K10" s="8">
        <v>28.2</v>
      </c>
      <c r="L10" s="8">
        <v>28.7</v>
      </c>
      <c r="M10" s="8">
        <v>29.2</v>
      </c>
      <c r="N10" s="8">
        <v>29.8</v>
      </c>
      <c r="O10" s="8">
        <v>30.3</v>
      </c>
      <c r="P10" s="8">
        <v>30.8</v>
      </c>
      <c r="Q10" s="8">
        <v>31.4</v>
      </c>
      <c r="R10" s="8">
        <v>31.9</v>
      </c>
      <c r="S10" s="8">
        <v>32.4</v>
      </c>
      <c r="T10" s="8">
        <v>33.200000000000003</v>
      </c>
      <c r="U10" s="8">
        <v>33.799999999999997</v>
      </c>
      <c r="V10" s="8">
        <v>34.4</v>
      </c>
      <c r="W10" s="8">
        <v>34.9</v>
      </c>
      <c r="X10" s="8">
        <v>35.5</v>
      </c>
      <c r="Y10" s="8">
        <v>36.1</v>
      </c>
      <c r="Z10" s="8">
        <v>36.700000000000003</v>
      </c>
    </row>
    <row r="11" spans="1:27" x14ac:dyDescent="0.25">
      <c r="A11" t="s">
        <v>10</v>
      </c>
      <c r="B11" s="8">
        <v>15.8</v>
      </c>
      <c r="C11" s="8">
        <v>16.5</v>
      </c>
      <c r="D11" s="8">
        <v>17.399999999999999</v>
      </c>
      <c r="E11" s="8">
        <v>18.100000000000001</v>
      </c>
      <c r="F11" s="8">
        <v>19</v>
      </c>
      <c r="G11" s="8">
        <v>20</v>
      </c>
      <c r="H11" s="8">
        <v>20.5</v>
      </c>
      <c r="I11" s="8">
        <v>21.2</v>
      </c>
      <c r="J11" s="8">
        <v>21.9</v>
      </c>
      <c r="K11" s="8">
        <v>22.3</v>
      </c>
      <c r="L11" s="8">
        <v>22.9</v>
      </c>
      <c r="M11" s="8">
        <v>23.3</v>
      </c>
      <c r="N11" s="8">
        <v>24</v>
      </c>
      <c r="O11" s="8">
        <v>24.5</v>
      </c>
      <c r="P11" s="8">
        <v>24.7</v>
      </c>
      <c r="Q11" s="8">
        <v>25</v>
      </c>
      <c r="R11" s="8">
        <v>25.4</v>
      </c>
      <c r="S11" s="8">
        <v>25.7</v>
      </c>
      <c r="T11" s="8">
        <v>26.1</v>
      </c>
      <c r="U11" s="8">
        <v>26.6</v>
      </c>
      <c r="V11" s="8">
        <v>27.4</v>
      </c>
      <c r="W11" s="8">
        <v>27.9</v>
      </c>
      <c r="X11" s="8">
        <v>28.2</v>
      </c>
      <c r="Y11" s="8">
        <v>28.6</v>
      </c>
      <c r="Z11" s="8">
        <v>29</v>
      </c>
    </row>
    <row r="12" spans="1:27" x14ac:dyDescent="0.25">
      <c r="A12" t="s">
        <v>11</v>
      </c>
      <c r="B12" s="8">
        <v>15.6</v>
      </c>
      <c r="C12" s="8">
        <v>16.399999999999999</v>
      </c>
      <c r="D12" s="8">
        <v>17.399999999999999</v>
      </c>
      <c r="E12" s="8">
        <v>18.100000000000001</v>
      </c>
      <c r="F12" s="8">
        <v>19.100000000000001</v>
      </c>
      <c r="G12" s="8">
        <v>20</v>
      </c>
      <c r="H12" s="8">
        <v>20.5</v>
      </c>
      <c r="I12" s="8">
        <v>21.2</v>
      </c>
      <c r="J12" s="8">
        <v>21.6</v>
      </c>
      <c r="K12" s="8">
        <v>22</v>
      </c>
      <c r="L12" s="8">
        <v>22.4</v>
      </c>
      <c r="M12" s="8">
        <v>22.8</v>
      </c>
      <c r="N12" s="8">
        <v>23.2</v>
      </c>
      <c r="O12" s="8">
        <v>23.7</v>
      </c>
      <c r="P12" s="8">
        <v>24.2</v>
      </c>
      <c r="Q12" s="8">
        <v>24.6</v>
      </c>
      <c r="R12" s="8">
        <v>24.9</v>
      </c>
      <c r="S12" s="8">
        <v>25.2</v>
      </c>
      <c r="T12" s="8">
        <v>25.8</v>
      </c>
      <c r="U12" s="8">
        <v>26.4</v>
      </c>
      <c r="V12" s="8">
        <v>26.9</v>
      </c>
      <c r="W12" s="8">
        <v>27.5</v>
      </c>
      <c r="X12" s="8">
        <v>28.2</v>
      </c>
      <c r="Y12" s="8">
        <v>28.7</v>
      </c>
      <c r="Z12" s="8">
        <v>29.4</v>
      </c>
    </row>
    <row r="13" spans="1:27" x14ac:dyDescent="0.25">
      <c r="A13" t="s">
        <v>12</v>
      </c>
      <c r="B13" s="8">
        <v>24.1</v>
      </c>
      <c r="C13" s="8">
        <v>25.2</v>
      </c>
      <c r="D13" s="8">
        <v>25.9</v>
      </c>
      <c r="E13" s="8">
        <v>26.9</v>
      </c>
      <c r="F13" s="8">
        <v>27.9</v>
      </c>
      <c r="G13" s="8">
        <v>29</v>
      </c>
      <c r="H13" s="8">
        <v>29.5</v>
      </c>
      <c r="I13" s="8">
        <v>30.1</v>
      </c>
      <c r="J13" s="8">
        <v>30.5</v>
      </c>
      <c r="K13" s="8">
        <v>30.9</v>
      </c>
      <c r="L13" s="8">
        <v>31.2</v>
      </c>
      <c r="M13" s="8">
        <v>31.6</v>
      </c>
      <c r="N13" s="8">
        <v>32</v>
      </c>
      <c r="O13" s="8">
        <v>32.6</v>
      </c>
      <c r="P13" s="8">
        <v>33.200000000000003</v>
      </c>
      <c r="Q13" s="8">
        <v>33.4</v>
      </c>
      <c r="R13" s="8">
        <v>33.799999999999997</v>
      </c>
      <c r="S13" s="8">
        <v>34.200000000000003</v>
      </c>
      <c r="T13" s="8">
        <v>34.799999999999997</v>
      </c>
      <c r="U13" s="8">
        <v>35.200000000000003</v>
      </c>
      <c r="V13" s="8">
        <v>35.799999999999997</v>
      </c>
      <c r="W13" s="8">
        <v>36.5</v>
      </c>
      <c r="X13" s="8">
        <v>36.9</v>
      </c>
      <c r="Y13" s="8">
        <v>37.299999999999997</v>
      </c>
      <c r="Z13" s="8">
        <v>37.799999999999997</v>
      </c>
    </row>
    <row r="14" spans="1:27" x14ac:dyDescent="0.25">
      <c r="A14" t="s">
        <v>21</v>
      </c>
      <c r="B14" s="8">
        <v>14</v>
      </c>
      <c r="C14" s="8">
        <v>14.6</v>
      </c>
      <c r="D14" s="8">
        <v>15.4</v>
      </c>
      <c r="E14" s="8">
        <v>16.100000000000001</v>
      </c>
      <c r="F14" s="8">
        <v>16.8</v>
      </c>
      <c r="G14" s="8">
        <v>17.600000000000001</v>
      </c>
      <c r="H14" s="8">
        <v>18.2</v>
      </c>
      <c r="I14" s="8">
        <v>18.8</v>
      </c>
      <c r="J14" s="8">
        <v>19.3</v>
      </c>
      <c r="K14" s="8">
        <v>19.899999999999999</v>
      </c>
      <c r="L14" s="8">
        <v>20.399999999999999</v>
      </c>
      <c r="M14" s="8">
        <v>20.9</v>
      </c>
      <c r="N14" s="8">
        <v>21.4</v>
      </c>
      <c r="O14" s="8">
        <v>22</v>
      </c>
      <c r="P14" s="8">
        <v>22.4</v>
      </c>
      <c r="Q14" s="8">
        <v>22.8</v>
      </c>
      <c r="R14" s="8">
        <v>23.3</v>
      </c>
      <c r="S14" s="8">
        <v>23.8</v>
      </c>
      <c r="T14" s="8">
        <v>24.3</v>
      </c>
      <c r="U14" s="8">
        <v>24.8</v>
      </c>
      <c r="V14" s="8">
        <v>25.4</v>
      </c>
      <c r="W14" s="8">
        <v>25.9</v>
      </c>
      <c r="X14" s="8">
        <v>26.3</v>
      </c>
      <c r="Y14" s="8">
        <v>26.7</v>
      </c>
      <c r="Z14" s="8">
        <v>27.2</v>
      </c>
    </row>
    <row r="15" spans="1:27" x14ac:dyDescent="0.25">
      <c r="A15" t="s">
        <v>18</v>
      </c>
      <c r="B15" s="9">
        <v>15.2</v>
      </c>
      <c r="C15" s="9">
        <v>15.9</v>
      </c>
      <c r="D15" s="9">
        <v>16.600000000000001</v>
      </c>
      <c r="E15" s="9">
        <v>17.2</v>
      </c>
      <c r="F15" s="9">
        <v>18</v>
      </c>
      <c r="G15" s="9">
        <v>18.8</v>
      </c>
      <c r="H15" s="9">
        <v>19.399999999999999</v>
      </c>
      <c r="I15" s="9">
        <v>20</v>
      </c>
      <c r="J15" s="9">
        <v>20.5</v>
      </c>
      <c r="K15" s="9">
        <v>21</v>
      </c>
      <c r="L15" s="9">
        <v>21.5</v>
      </c>
      <c r="M15" s="9">
        <v>22</v>
      </c>
      <c r="N15" s="9">
        <v>22.5</v>
      </c>
      <c r="O15" s="9">
        <v>23</v>
      </c>
      <c r="P15" s="9">
        <v>23.4</v>
      </c>
      <c r="Q15" s="9">
        <v>23.9</v>
      </c>
      <c r="R15" s="9">
        <v>24.4</v>
      </c>
      <c r="S15" s="9">
        <v>24.8</v>
      </c>
      <c r="T15" s="9">
        <v>25.5</v>
      </c>
      <c r="U15" s="9">
        <v>26</v>
      </c>
      <c r="V15" s="9">
        <v>26.6</v>
      </c>
      <c r="W15" s="9">
        <v>27.3</v>
      </c>
      <c r="X15" s="9">
        <v>27.9</v>
      </c>
      <c r="Y15" s="9">
        <v>28.5</v>
      </c>
      <c r="Z15" s="9">
        <v>29.1</v>
      </c>
      <c r="AA15" s="3"/>
    </row>
    <row r="16" spans="1:27" x14ac:dyDescent="0.25">
      <c r="A16" t="s">
        <v>16</v>
      </c>
      <c r="B16" s="10">
        <f t="shared" ref="B16:Z16" si="0">SUM(B2:B13)/12</f>
        <v>20.55</v>
      </c>
      <c r="C16" s="10">
        <f t="shared" si="0"/>
        <v>21.458333333333332</v>
      </c>
      <c r="D16" s="10">
        <f t="shared" si="0"/>
        <v>22.391666666666666</v>
      </c>
      <c r="E16" s="10">
        <f t="shared" si="0"/>
        <v>23.166666666666661</v>
      </c>
      <c r="F16" s="10">
        <f t="shared" si="0"/>
        <v>24.083333333333332</v>
      </c>
      <c r="G16" s="10">
        <f t="shared" si="0"/>
        <v>25.041666666666668</v>
      </c>
      <c r="H16" s="10">
        <f t="shared" si="0"/>
        <v>25.566666666666666</v>
      </c>
      <c r="I16" s="10">
        <f t="shared" si="0"/>
        <v>26.216666666666669</v>
      </c>
      <c r="J16" s="10">
        <f t="shared" si="0"/>
        <v>26.708333333333332</v>
      </c>
      <c r="K16" s="10">
        <f t="shared" si="0"/>
        <v>27.141666666666662</v>
      </c>
      <c r="L16" s="10">
        <f t="shared" si="0"/>
        <v>27.583333333333329</v>
      </c>
      <c r="M16" s="10">
        <f t="shared" si="0"/>
        <v>28.075000000000003</v>
      </c>
      <c r="N16" s="10">
        <f t="shared" si="0"/>
        <v>28.608333333333331</v>
      </c>
      <c r="O16" s="10">
        <f t="shared" si="0"/>
        <v>29.158333333333335</v>
      </c>
      <c r="P16" s="10">
        <f t="shared" si="0"/>
        <v>29.624999999999996</v>
      </c>
      <c r="Q16" s="10">
        <f t="shared" si="0"/>
        <v>30.033333333333331</v>
      </c>
      <c r="R16" s="10">
        <f t="shared" si="0"/>
        <v>30.499999999999996</v>
      </c>
      <c r="S16" s="10">
        <f t="shared" si="0"/>
        <v>30.808333333333334</v>
      </c>
      <c r="T16" s="10">
        <f t="shared" si="0"/>
        <v>31.400000000000002</v>
      </c>
      <c r="U16" s="10">
        <f t="shared" si="0"/>
        <v>31.875</v>
      </c>
      <c r="V16" s="10">
        <f t="shared" si="0"/>
        <v>32.524999999999999</v>
      </c>
      <c r="W16" s="10">
        <f t="shared" si="0"/>
        <v>33.141666666666659</v>
      </c>
      <c r="X16" s="10">
        <f t="shared" si="0"/>
        <v>33.633333333333333</v>
      </c>
      <c r="Y16" s="10">
        <f t="shared" si="0"/>
        <v>33.94166666666667</v>
      </c>
      <c r="Z16" s="10">
        <f t="shared" si="0"/>
        <v>34.574999999999996</v>
      </c>
    </row>
    <row r="17" spans="1:26" x14ac:dyDescent="0.25">
      <c r="A17" t="s">
        <v>17</v>
      </c>
      <c r="B17" s="10">
        <f t="shared" ref="B17:Z17" si="1">SUM(B2+B7+B10)/3</f>
        <v>21.400000000000002</v>
      </c>
      <c r="C17" s="10">
        <f t="shared" si="1"/>
        <v>22.466666666666669</v>
      </c>
      <c r="D17" s="10">
        <f t="shared" si="1"/>
        <v>23.433333333333334</v>
      </c>
      <c r="E17" s="10">
        <f t="shared" si="1"/>
        <v>24.3</v>
      </c>
      <c r="F17" s="10">
        <f t="shared" si="1"/>
        <v>25.366666666666664</v>
      </c>
      <c r="G17" s="10">
        <f t="shared" si="1"/>
        <v>26.5</v>
      </c>
      <c r="H17" s="10">
        <f t="shared" si="1"/>
        <v>27.166666666666668</v>
      </c>
      <c r="I17" s="10">
        <f t="shared" si="1"/>
        <v>27.966666666666665</v>
      </c>
      <c r="J17" s="10">
        <f t="shared" si="1"/>
        <v>28.599999999999998</v>
      </c>
      <c r="K17" s="10">
        <f t="shared" si="1"/>
        <v>29.133333333333336</v>
      </c>
      <c r="L17" s="10">
        <f t="shared" si="1"/>
        <v>29.633333333333336</v>
      </c>
      <c r="M17" s="10">
        <f t="shared" si="1"/>
        <v>30.200000000000003</v>
      </c>
      <c r="N17" s="10">
        <f t="shared" si="1"/>
        <v>30.733333333333334</v>
      </c>
      <c r="O17" s="10">
        <f t="shared" si="1"/>
        <v>31.333333333333332</v>
      </c>
      <c r="P17" s="10">
        <f t="shared" si="1"/>
        <v>31.833333333333329</v>
      </c>
      <c r="Q17" s="10">
        <f t="shared" si="1"/>
        <v>32.466666666666669</v>
      </c>
      <c r="R17" s="10">
        <f t="shared" si="1"/>
        <v>33.033333333333331</v>
      </c>
      <c r="S17" s="10">
        <f t="shared" si="1"/>
        <v>33.466666666666669</v>
      </c>
      <c r="T17" s="10">
        <f t="shared" si="1"/>
        <v>34.233333333333334</v>
      </c>
      <c r="U17" s="10">
        <f t="shared" si="1"/>
        <v>34.866666666666667</v>
      </c>
      <c r="V17" s="10">
        <f t="shared" si="1"/>
        <v>35.6</v>
      </c>
      <c r="W17" s="10">
        <f t="shared" si="1"/>
        <v>36.300000000000004</v>
      </c>
      <c r="X17" s="10">
        <f t="shared" si="1"/>
        <v>37.033333333333331</v>
      </c>
      <c r="Y17" s="10">
        <f t="shared" si="1"/>
        <v>37.633333333333333</v>
      </c>
      <c r="Z17" s="10">
        <f t="shared" si="1"/>
        <v>38.333333333333336</v>
      </c>
    </row>
    <row r="18" spans="1:26" x14ac:dyDescent="0.25">
      <c r="A18" t="s">
        <v>13</v>
      </c>
      <c r="B18" s="10">
        <f t="shared" ref="B18:Z18" si="2">SUM(B2+B3+B7+B10)/4</f>
        <v>22.95</v>
      </c>
      <c r="C18" s="10">
        <f t="shared" si="2"/>
        <v>24.05</v>
      </c>
      <c r="D18" s="10">
        <f t="shared" si="2"/>
        <v>25.175000000000001</v>
      </c>
      <c r="E18" s="10">
        <f t="shared" si="2"/>
        <v>26</v>
      </c>
      <c r="F18" s="10">
        <f t="shared" si="2"/>
        <v>26.975000000000001</v>
      </c>
      <c r="G18" s="10">
        <f t="shared" si="2"/>
        <v>28</v>
      </c>
      <c r="H18" s="10">
        <f t="shared" si="2"/>
        <v>28.524999999999999</v>
      </c>
      <c r="I18" s="10">
        <f t="shared" si="2"/>
        <v>29.2</v>
      </c>
      <c r="J18" s="10">
        <f t="shared" si="2"/>
        <v>29.774999999999999</v>
      </c>
      <c r="K18" s="10">
        <f t="shared" si="2"/>
        <v>30.25</v>
      </c>
      <c r="L18" s="10">
        <f t="shared" si="2"/>
        <v>30.75</v>
      </c>
      <c r="M18" s="10">
        <f t="shared" si="2"/>
        <v>31.274999999999999</v>
      </c>
      <c r="N18" s="10">
        <f t="shared" si="2"/>
        <v>31.799999999999997</v>
      </c>
      <c r="O18" s="10">
        <f t="shared" si="2"/>
        <v>32.375</v>
      </c>
      <c r="P18" s="10">
        <f t="shared" si="2"/>
        <v>32.875</v>
      </c>
      <c r="Q18" s="10">
        <f t="shared" si="2"/>
        <v>33.450000000000003</v>
      </c>
      <c r="R18" s="10">
        <f t="shared" si="2"/>
        <v>33.950000000000003</v>
      </c>
      <c r="S18" s="10">
        <f t="shared" si="2"/>
        <v>34.325000000000003</v>
      </c>
      <c r="T18" s="10">
        <f t="shared" si="2"/>
        <v>34.974999999999994</v>
      </c>
      <c r="U18" s="10">
        <f t="shared" si="2"/>
        <v>35.549999999999997</v>
      </c>
      <c r="V18" s="10">
        <f t="shared" si="2"/>
        <v>36.225000000000001</v>
      </c>
      <c r="W18" s="10">
        <f t="shared" si="2"/>
        <v>36.924999999999997</v>
      </c>
      <c r="X18" s="10">
        <f t="shared" si="2"/>
        <v>37.575000000000003</v>
      </c>
      <c r="Y18" s="10">
        <f t="shared" si="2"/>
        <v>38.1</v>
      </c>
      <c r="Z18" s="10">
        <f t="shared" si="2"/>
        <v>38.75</v>
      </c>
    </row>
    <row r="19" spans="1:26" x14ac:dyDescent="0.25">
      <c r="A19" t="s">
        <v>14</v>
      </c>
      <c r="B19" s="10">
        <f t="shared" ref="B19:Z19" si="3">(B4+B5+B6+B8+B9+B11+B12+B13)/8</f>
        <v>19.350000000000001</v>
      </c>
      <c r="C19" s="10">
        <f t="shared" si="3"/>
        <v>20.162499999999998</v>
      </c>
      <c r="D19" s="10">
        <f t="shared" si="3"/>
        <v>21</v>
      </c>
      <c r="E19" s="10">
        <f t="shared" si="3"/>
        <v>21.75</v>
      </c>
      <c r="F19" s="10">
        <f t="shared" si="3"/>
        <v>22.637499999999999</v>
      </c>
      <c r="G19" s="10">
        <f t="shared" si="3"/>
        <v>23.5625</v>
      </c>
      <c r="H19" s="10">
        <f t="shared" si="3"/>
        <v>24.087499999999999</v>
      </c>
      <c r="I19" s="10">
        <f t="shared" si="3"/>
        <v>24.724999999999998</v>
      </c>
      <c r="J19" s="10">
        <f t="shared" si="3"/>
        <v>25.174999999999997</v>
      </c>
      <c r="K19" s="10">
        <f t="shared" si="3"/>
        <v>25.587500000000002</v>
      </c>
      <c r="L19" s="10">
        <f t="shared" si="3"/>
        <v>26</v>
      </c>
      <c r="M19" s="10">
        <f t="shared" si="3"/>
        <v>26.475000000000001</v>
      </c>
      <c r="N19" s="10">
        <f t="shared" si="3"/>
        <v>27.012499999999999</v>
      </c>
      <c r="O19" s="10">
        <f t="shared" si="3"/>
        <v>27.549999999999997</v>
      </c>
      <c r="P19" s="10">
        <f t="shared" si="3"/>
        <v>28</v>
      </c>
      <c r="Q19" s="10">
        <f t="shared" si="3"/>
        <v>28.324999999999999</v>
      </c>
      <c r="R19" s="10">
        <f t="shared" si="3"/>
        <v>28.774999999999999</v>
      </c>
      <c r="S19" s="10">
        <f t="shared" si="3"/>
        <v>29.049999999999997</v>
      </c>
      <c r="T19" s="10">
        <f t="shared" si="3"/>
        <v>29.612499999999997</v>
      </c>
      <c r="U19" s="10">
        <f t="shared" si="3"/>
        <v>30.037500000000001</v>
      </c>
      <c r="V19" s="10">
        <f t="shared" si="3"/>
        <v>30.675000000000004</v>
      </c>
      <c r="W19" s="10">
        <f t="shared" si="3"/>
        <v>31.250000000000004</v>
      </c>
      <c r="X19" s="10">
        <f t="shared" si="3"/>
        <v>31.662499999999998</v>
      </c>
      <c r="Y19" s="10">
        <f t="shared" si="3"/>
        <v>31.862499999999997</v>
      </c>
      <c r="Z19" s="10">
        <f t="shared" si="3"/>
        <v>32.487499999999997</v>
      </c>
    </row>
    <row r="20" spans="1:26" x14ac:dyDescent="0.25">
      <c r="A20" t="s">
        <v>20</v>
      </c>
      <c r="B20" s="10">
        <f t="shared" ref="B20:Z20" si="4">(B6+B8+B9+B11+B12+B13)/6</f>
        <v>20.266666666666666</v>
      </c>
      <c r="C20" s="10">
        <f t="shared" si="4"/>
        <v>21.066666666666666</v>
      </c>
      <c r="D20" s="10">
        <f t="shared" si="4"/>
        <v>21.883333333333336</v>
      </c>
      <c r="E20" s="10">
        <f t="shared" si="4"/>
        <v>22.633333333333336</v>
      </c>
      <c r="F20" s="10">
        <f t="shared" si="4"/>
        <v>23.533333333333331</v>
      </c>
      <c r="G20" s="10">
        <f t="shared" si="4"/>
        <v>24.5</v>
      </c>
      <c r="H20" s="10">
        <f t="shared" si="4"/>
        <v>24.966666666666669</v>
      </c>
      <c r="I20" s="10">
        <f t="shared" si="4"/>
        <v>25.599999999999998</v>
      </c>
      <c r="J20" s="10">
        <f t="shared" si="4"/>
        <v>26.033333333333331</v>
      </c>
      <c r="K20" s="10">
        <f t="shared" si="4"/>
        <v>26.416666666666668</v>
      </c>
      <c r="L20" s="10">
        <f t="shared" si="4"/>
        <v>26.783333333333335</v>
      </c>
      <c r="M20" s="10">
        <f t="shared" si="4"/>
        <v>27.233333333333334</v>
      </c>
      <c r="N20" s="10">
        <f t="shared" si="4"/>
        <v>27.75</v>
      </c>
      <c r="O20" s="10">
        <f t="shared" si="4"/>
        <v>28.266666666666666</v>
      </c>
      <c r="P20" s="10">
        <f t="shared" si="4"/>
        <v>28.716666666666669</v>
      </c>
      <c r="Q20" s="10">
        <f t="shared" si="4"/>
        <v>29.000000000000004</v>
      </c>
      <c r="R20" s="10">
        <f t="shared" si="4"/>
        <v>29.433333333333337</v>
      </c>
      <c r="S20" s="10">
        <f t="shared" si="4"/>
        <v>29.666666666666668</v>
      </c>
      <c r="T20" s="10">
        <f t="shared" si="4"/>
        <v>30.216666666666669</v>
      </c>
      <c r="U20" s="10">
        <f t="shared" si="4"/>
        <v>30.650000000000006</v>
      </c>
      <c r="V20" s="10">
        <f t="shared" si="4"/>
        <v>31.316666666666663</v>
      </c>
      <c r="W20" s="10">
        <f t="shared" si="4"/>
        <v>31.916666666666668</v>
      </c>
      <c r="X20" s="10">
        <f t="shared" si="4"/>
        <v>32.333333333333336</v>
      </c>
      <c r="Y20" s="10">
        <f t="shared" si="4"/>
        <v>32.483333333333327</v>
      </c>
      <c r="Z20" s="10">
        <f t="shared" si="4"/>
        <v>33.15</v>
      </c>
    </row>
    <row r="21" spans="1:26" x14ac:dyDescent="0.25">
      <c r="A21" t="s">
        <v>34</v>
      </c>
      <c r="B21" s="10">
        <f t="shared" ref="B21:Z21" si="5">(B5+B6+B8+B9+B11+B12+B13)/7</f>
        <v>18.957142857142856</v>
      </c>
      <c r="C21" s="10">
        <f t="shared" si="5"/>
        <v>19.74285714285714</v>
      </c>
      <c r="D21" s="10">
        <f t="shared" si="5"/>
        <v>20.571428571428573</v>
      </c>
      <c r="E21" s="10">
        <f t="shared" si="5"/>
        <v>21.328571428571429</v>
      </c>
      <c r="F21" s="10">
        <f t="shared" si="5"/>
        <v>22.214285714285715</v>
      </c>
      <c r="G21" s="10">
        <f t="shared" si="5"/>
        <v>23.157142857142855</v>
      </c>
      <c r="H21" s="10">
        <f t="shared" si="5"/>
        <v>23.657142857142862</v>
      </c>
      <c r="I21" s="10">
        <f t="shared" si="5"/>
        <v>24.285714285714285</v>
      </c>
      <c r="J21" s="10">
        <f t="shared" si="5"/>
        <v>24.728571428571428</v>
      </c>
      <c r="K21" s="10">
        <f t="shared" si="5"/>
        <v>25.12857142857143</v>
      </c>
      <c r="L21" s="10">
        <f t="shared" si="5"/>
        <v>25.514285714285712</v>
      </c>
      <c r="M21" s="10">
        <f t="shared" si="5"/>
        <v>25.957142857142856</v>
      </c>
      <c r="N21" s="10">
        <f t="shared" si="5"/>
        <v>26.471428571428568</v>
      </c>
      <c r="O21" s="10">
        <f t="shared" si="5"/>
        <v>26.971428571428568</v>
      </c>
      <c r="P21" s="10">
        <f t="shared" si="5"/>
        <v>27.414285714285711</v>
      </c>
      <c r="Q21" s="10">
        <f t="shared" si="5"/>
        <v>27.728571428571431</v>
      </c>
      <c r="R21" s="10">
        <f t="shared" si="5"/>
        <v>28.171428571428571</v>
      </c>
      <c r="S21" s="10">
        <f t="shared" si="5"/>
        <v>28.428571428571427</v>
      </c>
      <c r="T21" s="10">
        <f t="shared" si="5"/>
        <v>28.985714285714291</v>
      </c>
      <c r="U21" s="10">
        <f t="shared" si="5"/>
        <v>29.428571428571427</v>
      </c>
      <c r="V21" s="10">
        <f t="shared" si="5"/>
        <v>30.085714285714282</v>
      </c>
      <c r="W21" s="10">
        <f t="shared" si="5"/>
        <v>30.685714285714283</v>
      </c>
      <c r="X21" s="10">
        <f t="shared" si="5"/>
        <v>31.128571428571426</v>
      </c>
      <c r="Y21" s="10">
        <f t="shared" si="5"/>
        <v>31.314285714285713</v>
      </c>
      <c r="Z21" s="10">
        <f t="shared" si="5"/>
        <v>31.971428571428572</v>
      </c>
    </row>
    <row r="22" spans="1:26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t="s">
        <v>15</v>
      </c>
      <c r="B23" s="10">
        <f t="shared" ref="B23:Z23" si="6">(B4+B5)/2</f>
        <v>16.600000000000001</v>
      </c>
      <c r="C23" s="10">
        <f t="shared" si="6"/>
        <v>17.450000000000003</v>
      </c>
      <c r="D23" s="10">
        <f t="shared" si="6"/>
        <v>18.350000000000001</v>
      </c>
      <c r="E23" s="10">
        <f t="shared" si="6"/>
        <v>19.100000000000001</v>
      </c>
      <c r="F23" s="10">
        <f t="shared" si="6"/>
        <v>19.950000000000003</v>
      </c>
      <c r="G23" s="10">
        <f t="shared" si="6"/>
        <v>20.75</v>
      </c>
      <c r="H23" s="10">
        <f t="shared" si="6"/>
        <v>21.450000000000003</v>
      </c>
      <c r="I23" s="10">
        <f t="shared" si="6"/>
        <v>22.1</v>
      </c>
      <c r="J23" s="10">
        <f t="shared" si="6"/>
        <v>22.6</v>
      </c>
      <c r="K23" s="10">
        <f t="shared" si="6"/>
        <v>23.1</v>
      </c>
      <c r="L23" s="10">
        <f t="shared" si="6"/>
        <v>23.65</v>
      </c>
      <c r="M23" s="10">
        <f t="shared" si="6"/>
        <v>24.200000000000003</v>
      </c>
      <c r="N23" s="10">
        <f t="shared" si="6"/>
        <v>24.8</v>
      </c>
      <c r="O23" s="10">
        <f t="shared" si="6"/>
        <v>25.4</v>
      </c>
      <c r="P23" s="10">
        <f t="shared" si="6"/>
        <v>25.85</v>
      </c>
      <c r="Q23" s="10">
        <f t="shared" si="6"/>
        <v>26.3</v>
      </c>
      <c r="R23" s="10">
        <f t="shared" si="6"/>
        <v>26.8</v>
      </c>
      <c r="S23" s="10">
        <f t="shared" si="6"/>
        <v>27.2</v>
      </c>
      <c r="T23" s="10">
        <f t="shared" si="6"/>
        <v>27.8</v>
      </c>
      <c r="U23" s="10">
        <f t="shared" si="6"/>
        <v>28.2</v>
      </c>
      <c r="V23" s="10">
        <f t="shared" si="6"/>
        <v>28.75</v>
      </c>
      <c r="W23" s="10">
        <f t="shared" si="6"/>
        <v>29.25</v>
      </c>
      <c r="X23" s="10">
        <f t="shared" si="6"/>
        <v>29.65</v>
      </c>
      <c r="Y23" s="10">
        <f t="shared" si="6"/>
        <v>30</v>
      </c>
      <c r="Z23" s="10">
        <f t="shared" si="6"/>
        <v>30.5</v>
      </c>
    </row>
    <row r="24" spans="1:26" x14ac:dyDescent="0.25">
      <c r="A24" t="s">
        <v>35</v>
      </c>
      <c r="B24" s="14">
        <f t="shared" ref="B24:Z24" si="7">(B14+B5)/2</f>
        <v>12.55</v>
      </c>
      <c r="C24" s="14">
        <f t="shared" si="7"/>
        <v>13.2</v>
      </c>
      <c r="D24" s="14">
        <f t="shared" si="7"/>
        <v>14.05</v>
      </c>
      <c r="E24" s="14">
        <f t="shared" si="7"/>
        <v>14.8</v>
      </c>
      <c r="F24" s="14">
        <f t="shared" si="7"/>
        <v>15.55</v>
      </c>
      <c r="G24" s="14">
        <f t="shared" si="7"/>
        <v>16.350000000000001</v>
      </c>
      <c r="H24" s="14">
        <f t="shared" si="7"/>
        <v>17</v>
      </c>
      <c r="I24" s="14">
        <f t="shared" si="7"/>
        <v>17.600000000000001</v>
      </c>
      <c r="J24" s="14">
        <f t="shared" si="7"/>
        <v>18.100000000000001</v>
      </c>
      <c r="K24" s="14">
        <f t="shared" si="7"/>
        <v>18.649999999999999</v>
      </c>
      <c r="L24" s="14">
        <f t="shared" si="7"/>
        <v>19.149999999999999</v>
      </c>
      <c r="M24" s="14">
        <f t="shared" si="7"/>
        <v>19.600000000000001</v>
      </c>
      <c r="N24" s="14">
        <f t="shared" si="7"/>
        <v>20.100000000000001</v>
      </c>
      <c r="O24" s="14">
        <f t="shared" si="7"/>
        <v>20.6</v>
      </c>
      <c r="P24" s="14">
        <f t="shared" si="7"/>
        <v>21</v>
      </c>
      <c r="Q24" s="14">
        <f t="shared" si="7"/>
        <v>21.450000000000003</v>
      </c>
      <c r="R24" s="14">
        <f t="shared" si="7"/>
        <v>21.950000000000003</v>
      </c>
      <c r="S24" s="14">
        <f t="shared" si="7"/>
        <v>22.4</v>
      </c>
      <c r="T24" s="14">
        <f t="shared" si="7"/>
        <v>22.950000000000003</v>
      </c>
      <c r="U24" s="14">
        <f t="shared" si="7"/>
        <v>23.450000000000003</v>
      </c>
      <c r="V24" s="14">
        <f t="shared" si="7"/>
        <v>24.049999999999997</v>
      </c>
      <c r="W24" s="14">
        <f t="shared" si="7"/>
        <v>24.6</v>
      </c>
      <c r="X24" s="14">
        <f t="shared" si="7"/>
        <v>25.1</v>
      </c>
      <c r="Y24" s="14">
        <f t="shared" si="7"/>
        <v>25.5</v>
      </c>
      <c r="Z24" s="14">
        <f t="shared" si="7"/>
        <v>26.049999999999997</v>
      </c>
    </row>
    <row r="25" spans="1:26" x14ac:dyDescent="0.25">
      <c r="A25" t="s">
        <v>36</v>
      </c>
      <c r="B25" s="14">
        <f t="shared" ref="B25:Z25" si="8">SUM(B14+B4)/2</f>
        <v>18.05</v>
      </c>
      <c r="C25" s="14">
        <f t="shared" si="8"/>
        <v>18.850000000000001</v>
      </c>
      <c r="D25" s="14">
        <f t="shared" si="8"/>
        <v>19.7</v>
      </c>
      <c r="E25" s="14">
        <f t="shared" si="8"/>
        <v>20.399999999999999</v>
      </c>
      <c r="F25" s="14">
        <f t="shared" si="8"/>
        <v>21.200000000000003</v>
      </c>
      <c r="G25" s="14">
        <f t="shared" si="8"/>
        <v>22</v>
      </c>
      <c r="H25" s="14">
        <f t="shared" si="8"/>
        <v>22.65</v>
      </c>
      <c r="I25" s="14">
        <f t="shared" si="8"/>
        <v>23.3</v>
      </c>
      <c r="J25" s="14">
        <f t="shared" si="8"/>
        <v>23.8</v>
      </c>
      <c r="K25" s="14">
        <f t="shared" si="8"/>
        <v>24.35</v>
      </c>
      <c r="L25" s="14">
        <f t="shared" si="8"/>
        <v>24.9</v>
      </c>
      <c r="M25" s="14">
        <f t="shared" si="8"/>
        <v>25.5</v>
      </c>
      <c r="N25" s="14">
        <f t="shared" si="8"/>
        <v>26.1</v>
      </c>
      <c r="O25" s="14">
        <f t="shared" si="8"/>
        <v>26.8</v>
      </c>
      <c r="P25" s="14">
        <f t="shared" si="8"/>
        <v>27.25</v>
      </c>
      <c r="Q25" s="14">
        <f t="shared" si="8"/>
        <v>27.65</v>
      </c>
      <c r="R25" s="14">
        <f t="shared" si="8"/>
        <v>28.15</v>
      </c>
      <c r="S25" s="14">
        <f t="shared" si="8"/>
        <v>28.6</v>
      </c>
      <c r="T25" s="14">
        <f t="shared" si="8"/>
        <v>29.15</v>
      </c>
      <c r="U25" s="14">
        <f t="shared" si="8"/>
        <v>29.549999999999997</v>
      </c>
      <c r="V25" s="14">
        <f t="shared" si="8"/>
        <v>30.099999999999998</v>
      </c>
      <c r="W25" s="14">
        <f t="shared" si="8"/>
        <v>30.55</v>
      </c>
      <c r="X25" s="14">
        <f t="shared" si="8"/>
        <v>30.85</v>
      </c>
      <c r="Y25" s="14">
        <f t="shared" si="8"/>
        <v>31.200000000000003</v>
      </c>
      <c r="Z25" s="14">
        <f t="shared" si="8"/>
        <v>31.65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A91F-0920-4B67-8B11-7CF3BEBF4F5F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6">
        <v>126084</v>
      </c>
      <c r="C2" s="6">
        <v>132448</v>
      </c>
      <c r="D2" s="6">
        <v>137854</v>
      </c>
      <c r="E2" s="6">
        <v>142181</v>
      </c>
      <c r="F2" s="6">
        <v>147352</v>
      </c>
      <c r="G2" s="6">
        <v>153562</v>
      </c>
      <c r="H2" s="6">
        <v>159322</v>
      </c>
      <c r="I2" s="6">
        <v>166052</v>
      </c>
      <c r="J2" s="6">
        <v>172563</v>
      </c>
      <c r="K2" s="6">
        <v>178986</v>
      </c>
      <c r="L2" s="6">
        <v>185709</v>
      </c>
      <c r="M2" s="6">
        <v>192771</v>
      </c>
      <c r="N2" s="6">
        <v>199420</v>
      </c>
      <c r="O2" s="6">
        <v>206348</v>
      </c>
      <c r="P2" s="6">
        <v>212569</v>
      </c>
      <c r="Q2" s="6">
        <v>218646</v>
      </c>
      <c r="R2" s="6">
        <v>224254</v>
      </c>
      <c r="S2" s="6">
        <v>229914</v>
      </c>
      <c r="T2" s="6">
        <v>237264</v>
      </c>
      <c r="U2" s="6">
        <v>243775</v>
      </c>
      <c r="V2" s="6">
        <v>248895</v>
      </c>
      <c r="W2" s="6">
        <v>253450</v>
      </c>
      <c r="X2" s="6">
        <v>260017</v>
      </c>
      <c r="Y2" s="6">
        <v>264262</v>
      </c>
      <c r="Z2" s="6">
        <v>270153</v>
      </c>
    </row>
    <row r="3" spans="1:27" x14ac:dyDescent="0.25">
      <c r="A3" t="s">
        <v>2</v>
      </c>
      <c r="B3" s="6">
        <v>32722</v>
      </c>
      <c r="C3" s="6">
        <v>34452</v>
      </c>
      <c r="D3" s="6">
        <v>34391</v>
      </c>
      <c r="E3" s="6">
        <v>35492</v>
      </c>
      <c r="F3" s="6">
        <v>36478</v>
      </c>
      <c r="G3" s="6">
        <v>37570</v>
      </c>
      <c r="H3" s="6">
        <v>38075</v>
      </c>
      <c r="I3" s="6">
        <v>38911</v>
      </c>
      <c r="J3" s="6">
        <v>39888</v>
      </c>
      <c r="K3" s="6">
        <v>41109</v>
      </c>
      <c r="L3" s="6">
        <v>42194</v>
      </c>
      <c r="M3" s="6">
        <v>43034</v>
      </c>
      <c r="N3" s="6">
        <v>44115</v>
      </c>
      <c r="O3" s="6">
        <v>45171</v>
      </c>
      <c r="P3" s="6">
        <v>46114</v>
      </c>
      <c r="Q3" s="6">
        <v>46897</v>
      </c>
      <c r="R3" s="6">
        <v>48100</v>
      </c>
      <c r="S3" s="6">
        <v>49366</v>
      </c>
      <c r="T3" s="6">
        <v>50858</v>
      </c>
      <c r="U3" s="6">
        <v>52541</v>
      </c>
      <c r="V3" s="6">
        <v>53977</v>
      </c>
      <c r="W3" s="6">
        <v>55795</v>
      </c>
      <c r="X3" s="6">
        <v>57610</v>
      </c>
      <c r="Y3" s="6">
        <v>58942</v>
      </c>
      <c r="Z3" s="6">
        <v>60449</v>
      </c>
    </row>
    <row r="4" spans="1:27" x14ac:dyDescent="0.25">
      <c r="A4" t="s">
        <v>3</v>
      </c>
      <c r="B4" s="6">
        <v>17815</v>
      </c>
      <c r="C4" s="6">
        <v>18763</v>
      </c>
      <c r="D4" s="6">
        <v>19699</v>
      </c>
      <c r="E4" s="6">
        <v>20449</v>
      </c>
      <c r="F4" s="6">
        <v>21288</v>
      </c>
      <c r="G4" s="6">
        <v>22036</v>
      </c>
      <c r="H4" s="6">
        <v>22733</v>
      </c>
      <c r="I4" s="6">
        <v>23611</v>
      </c>
      <c r="J4" s="6">
        <v>24297</v>
      </c>
      <c r="K4" s="6">
        <v>25218</v>
      </c>
      <c r="L4" s="6">
        <v>26047</v>
      </c>
      <c r="M4" s="6">
        <v>26712</v>
      </c>
      <c r="N4" s="6">
        <v>27596</v>
      </c>
      <c r="O4" s="6">
        <v>28579</v>
      </c>
      <c r="P4" s="6">
        <v>29272</v>
      </c>
      <c r="Q4" s="6">
        <v>29794</v>
      </c>
      <c r="R4" s="6">
        <v>30822</v>
      </c>
      <c r="S4" s="6">
        <v>31666</v>
      </c>
      <c r="T4" s="6">
        <v>32707</v>
      </c>
      <c r="U4" s="6">
        <v>33431</v>
      </c>
      <c r="V4" s="6">
        <v>34232</v>
      </c>
      <c r="W4" s="6">
        <v>34656</v>
      </c>
      <c r="X4" s="6">
        <v>35163</v>
      </c>
      <c r="Y4" s="6">
        <v>35675</v>
      </c>
      <c r="Z4" s="6">
        <v>36251</v>
      </c>
    </row>
    <row r="5" spans="1:27" x14ac:dyDescent="0.25">
      <c r="A5" t="s">
        <v>4</v>
      </c>
      <c r="B5" s="6">
        <v>7932</v>
      </c>
      <c r="C5" s="6">
        <v>8565</v>
      </c>
      <c r="D5" s="6">
        <v>9232</v>
      </c>
      <c r="E5" s="6">
        <v>9872</v>
      </c>
      <c r="F5" s="6">
        <v>10517</v>
      </c>
      <c r="G5" s="6">
        <v>11129</v>
      </c>
      <c r="H5" s="6">
        <v>11721</v>
      </c>
      <c r="I5" s="6">
        <v>12222</v>
      </c>
      <c r="J5" s="6">
        <v>12735</v>
      </c>
      <c r="K5" s="6">
        <v>13207</v>
      </c>
      <c r="L5" s="6">
        <v>13636</v>
      </c>
      <c r="M5" s="6">
        <v>13959</v>
      </c>
      <c r="N5" s="6">
        <v>14451</v>
      </c>
      <c r="O5" s="6">
        <v>14851</v>
      </c>
      <c r="P5" s="6">
        <v>15375</v>
      </c>
      <c r="Q5" s="6">
        <v>15883</v>
      </c>
      <c r="R5" s="6">
        <v>16495</v>
      </c>
      <c r="S5" s="6">
        <v>16969</v>
      </c>
      <c r="T5" s="6">
        <v>17494</v>
      </c>
      <c r="U5" s="6">
        <v>18081</v>
      </c>
      <c r="V5" s="6">
        <v>18584</v>
      </c>
      <c r="W5" s="6">
        <v>19159</v>
      </c>
      <c r="X5" s="6">
        <v>19686</v>
      </c>
      <c r="Y5" s="6">
        <v>20078</v>
      </c>
      <c r="Z5" s="6">
        <v>20511</v>
      </c>
    </row>
    <row r="6" spans="1:27" x14ac:dyDescent="0.25">
      <c r="A6" t="s">
        <v>5</v>
      </c>
      <c r="B6" s="6">
        <v>9519</v>
      </c>
      <c r="C6" s="6">
        <v>10129</v>
      </c>
      <c r="D6" s="6">
        <v>10814</v>
      </c>
      <c r="E6" s="6">
        <v>11388</v>
      </c>
      <c r="F6" s="6">
        <v>12018</v>
      </c>
      <c r="G6" s="6">
        <v>12780</v>
      </c>
      <c r="H6" s="6">
        <v>13397</v>
      </c>
      <c r="I6" s="6">
        <v>14058</v>
      </c>
      <c r="J6" s="6">
        <v>14621</v>
      </c>
      <c r="K6" s="6">
        <v>15080</v>
      </c>
      <c r="L6" s="6">
        <v>15672</v>
      </c>
      <c r="M6" s="6">
        <v>16152</v>
      </c>
      <c r="N6" s="6">
        <v>16715</v>
      </c>
      <c r="O6" s="6">
        <v>17243</v>
      </c>
      <c r="P6" s="6">
        <v>17728</v>
      </c>
      <c r="Q6" s="6">
        <v>18129</v>
      </c>
      <c r="R6" s="6">
        <v>18710</v>
      </c>
      <c r="S6" s="6">
        <v>19232</v>
      </c>
      <c r="T6" s="6">
        <v>19968</v>
      </c>
      <c r="U6" s="6">
        <v>20688</v>
      </c>
      <c r="V6" s="6">
        <v>21673</v>
      </c>
      <c r="W6" s="6">
        <v>22468</v>
      </c>
      <c r="X6" s="6">
        <v>23058</v>
      </c>
      <c r="Y6" s="6">
        <v>23554</v>
      </c>
      <c r="Z6" s="6">
        <v>24262</v>
      </c>
    </row>
    <row r="7" spans="1:27" x14ac:dyDescent="0.25">
      <c r="A7" t="s">
        <v>6</v>
      </c>
      <c r="B7" s="6">
        <v>25831</v>
      </c>
      <c r="C7" s="6">
        <v>28026</v>
      </c>
      <c r="D7" s="6">
        <v>30313</v>
      </c>
      <c r="E7" s="6">
        <v>32279</v>
      </c>
      <c r="F7" s="6">
        <v>34834</v>
      </c>
      <c r="G7" s="6">
        <v>37659</v>
      </c>
      <c r="H7" s="6">
        <v>40223</v>
      </c>
      <c r="I7" s="6">
        <v>42819</v>
      </c>
      <c r="J7" s="6">
        <v>45078</v>
      </c>
      <c r="K7" s="6">
        <v>47489</v>
      </c>
      <c r="L7" s="6">
        <v>49175</v>
      </c>
      <c r="M7" s="6">
        <v>50969</v>
      </c>
      <c r="N7" s="6">
        <v>52733</v>
      </c>
      <c r="O7" s="6">
        <v>54615</v>
      </c>
      <c r="P7" s="6">
        <v>56424</v>
      </c>
      <c r="Q7" s="6">
        <v>58159</v>
      </c>
      <c r="R7" s="6">
        <v>60207</v>
      </c>
      <c r="S7" s="6">
        <v>61694</v>
      </c>
      <c r="T7" s="6">
        <v>63958</v>
      </c>
      <c r="U7" s="6">
        <v>66109</v>
      </c>
      <c r="V7" s="6">
        <v>68692</v>
      </c>
      <c r="W7" s="6">
        <v>71119</v>
      </c>
      <c r="X7" s="6">
        <v>74038</v>
      </c>
      <c r="Y7" s="6">
        <v>76635</v>
      </c>
      <c r="Z7" s="6">
        <v>79317</v>
      </c>
    </row>
    <row r="8" spans="1:27" x14ac:dyDescent="0.25">
      <c r="A8" t="s">
        <v>7</v>
      </c>
      <c r="B8" s="6">
        <v>24382</v>
      </c>
      <c r="C8" s="6">
        <v>25156</v>
      </c>
      <c r="D8" s="6">
        <v>25910</v>
      </c>
      <c r="E8" s="6">
        <v>26502</v>
      </c>
      <c r="F8" s="6">
        <v>27216</v>
      </c>
      <c r="G8" s="6">
        <v>27948</v>
      </c>
      <c r="H8" s="6">
        <v>28248</v>
      </c>
      <c r="I8" s="6">
        <v>29043</v>
      </c>
      <c r="J8" s="6">
        <v>29681</v>
      </c>
      <c r="K8" s="6">
        <v>30273</v>
      </c>
      <c r="L8" s="6">
        <v>30574</v>
      </c>
      <c r="M8" s="6">
        <v>31184</v>
      </c>
      <c r="N8" s="6">
        <v>31919</v>
      </c>
      <c r="O8" s="6">
        <v>32635</v>
      </c>
      <c r="P8" s="6">
        <v>33315</v>
      </c>
      <c r="Q8" s="6">
        <v>33223</v>
      </c>
      <c r="R8" s="6">
        <v>33847</v>
      </c>
      <c r="S8" s="6">
        <v>34407</v>
      </c>
      <c r="T8" s="6">
        <v>34862</v>
      </c>
      <c r="U8" s="6">
        <v>35523</v>
      </c>
      <c r="V8" s="6">
        <v>36133</v>
      </c>
      <c r="W8" s="6">
        <v>36896</v>
      </c>
      <c r="X8" s="6">
        <v>37505</v>
      </c>
      <c r="Y8" s="6">
        <v>37406</v>
      </c>
      <c r="Z8" s="6">
        <v>39048</v>
      </c>
    </row>
    <row r="9" spans="1:27" x14ac:dyDescent="0.25">
      <c r="A9" t="s">
        <v>8</v>
      </c>
      <c r="B9" s="6">
        <v>9669</v>
      </c>
      <c r="C9" s="6">
        <v>10211</v>
      </c>
      <c r="D9" s="6">
        <v>10779</v>
      </c>
      <c r="E9" s="6">
        <v>11359</v>
      </c>
      <c r="F9" s="6">
        <v>11972</v>
      </c>
      <c r="G9" s="6">
        <v>12896</v>
      </c>
      <c r="H9" s="6">
        <v>13442</v>
      </c>
      <c r="I9" s="6">
        <v>14052</v>
      </c>
      <c r="J9" s="6">
        <v>14551</v>
      </c>
      <c r="K9" s="6">
        <v>14985</v>
      </c>
      <c r="L9" s="6">
        <v>15193</v>
      </c>
      <c r="M9" s="6">
        <v>15636</v>
      </c>
      <c r="N9" s="6">
        <v>15988</v>
      </c>
      <c r="O9" s="6">
        <v>16308</v>
      </c>
      <c r="P9" s="6">
        <v>16869</v>
      </c>
      <c r="Q9" s="6">
        <v>17497</v>
      </c>
      <c r="R9" s="6">
        <v>18188</v>
      </c>
      <c r="S9" s="6">
        <v>18670</v>
      </c>
      <c r="T9" s="6">
        <v>19558</v>
      </c>
      <c r="U9" s="6">
        <v>20210</v>
      </c>
      <c r="V9" s="6">
        <v>20931</v>
      </c>
      <c r="W9" s="6">
        <v>21381</v>
      </c>
      <c r="X9" s="6">
        <v>21977</v>
      </c>
      <c r="Y9" s="6">
        <v>22212</v>
      </c>
      <c r="Z9" s="6">
        <v>22591</v>
      </c>
    </row>
    <row r="10" spans="1:27" x14ac:dyDescent="0.25">
      <c r="A10" t="s">
        <v>9</v>
      </c>
      <c r="B10" s="6">
        <v>61776</v>
      </c>
      <c r="C10" s="6">
        <v>65820</v>
      </c>
      <c r="D10" s="6">
        <v>69603</v>
      </c>
      <c r="E10" s="6">
        <v>73057</v>
      </c>
      <c r="F10" s="6">
        <v>76774</v>
      </c>
      <c r="G10" s="6">
        <v>80666</v>
      </c>
      <c r="H10" s="6">
        <v>83099</v>
      </c>
      <c r="I10" s="6">
        <v>85876</v>
      </c>
      <c r="J10" s="6">
        <v>88759</v>
      </c>
      <c r="K10" s="6">
        <v>91517</v>
      </c>
      <c r="L10" s="6">
        <v>94014</v>
      </c>
      <c r="M10" s="6">
        <v>97008</v>
      </c>
      <c r="N10" s="6">
        <v>99671</v>
      </c>
      <c r="O10" s="6">
        <v>102599</v>
      </c>
      <c r="P10" s="6">
        <v>105650</v>
      </c>
      <c r="Q10" s="6">
        <v>108652</v>
      </c>
      <c r="R10" s="6">
        <v>112101</v>
      </c>
      <c r="S10" s="6">
        <v>115066</v>
      </c>
      <c r="T10" s="6">
        <v>119150</v>
      </c>
      <c r="U10" s="6">
        <v>122755</v>
      </c>
      <c r="V10" s="6">
        <v>125679</v>
      </c>
      <c r="W10" s="6">
        <v>128294</v>
      </c>
      <c r="X10" s="6">
        <v>132941</v>
      </c>
      <c r="Y10" s="6">
        <v>137311</v>
      </c>
      <c r="Z10" s="6">
        <v>140651</v>
      </c>
    </row>
    <row r="11" spans="1:27" x14ac:dyDescent="0.25">
      <c r="A11" t="s">
        <v>10</v>
      </c>
      <c r="B11" s="6">
        <v>11632</v>
      </c>
      <c r="C11" s="6">
        <v>12225</v>
      </c>
      <c r="D11" s="6">
        <v>13059</v>
      </c>
      <c r="E11" s="6">
        <v>13721</v>
      </c>
      <c r="F11" s="6">
        <v>14499</v>
      </c>
      <c r="G11" s="6">
        <v>15354</v>
      </c>
      <c r="H11" s="6">
        <v>15937</v>
      </c>
      <c r="I11" s="6">
        <v>16629</v>
      </c>
      <c r="J11" s="6">
        <v>17278</v>
      </c>
      <c r="K11" s="6">
        <v>17838</v>
      </c>
      <c r="L11" s="6">
        <v>18448</v>
      </c>
      <c r="M11" s="6">
        <v>18983</v>
      </c>
      <c r="N11" s="6">
        <v>19730</v>
      </c>
      <c r="O11" s="6">
        <v>20284</v>
      </c>
      <c r="P11" s="6">
        <v>20697</v>
      </c>
      <c r="Q11" s="6">
        <v>21050</v>
      </c>
      <c r="R11" s="6">
        <v>21774</v>
      </c>
      <c r="S11" s="6">
        <v>22599</v>
      </c>
      <c r="T11" s="6">
        <v>23342</v>
      </c>
      <c r="U11" s="6">
        <v>24177</v>
      </c>
      <c r="V11" s="6">
        <v>24935</v>
      </c>
      <c r="W11" s="6">
        <v>25348</v>
      </c>
      <c r="X11" s="6">
        <v>25838</v>
      </c>
      <c r="Y11" s="6">
        <v>26498</v>
      </c>
      <c r="Z11" s="6">
        <v>27019</v>
      </c>
    </row>
    <row r="12" spans="1:27" x14ac:dyDescent="0.25">
      <c r="A12" t="s">
        <v>11</v>
      </c>
      <c r="B12" s="6">
        <v>11780</v>
      </c>
      <c r="C12" s="6">
        <v>12529</v>
      </c>
      <c r="D12" s="6">
        <v>13349</v>
      </c>
      <c r="E12" s="6">
        <v>13996</v>
      </c>
      <c r="F12" s="6">
        <v>14779</v>
      </c>
      <c r="G12" s="6">
        <v>15613</v>
      </c>
      <c r="H12" s="6">
        <v>16102</v>
      </c>
      <c r="I12" s="6">
        <v>16673</v>
      </c>
      <c r="J12" s="6">
        <v>17072</v>
      </c>
      <c r="K12" s="6">
        <v>17505</v>
      </c>
      <c r="L12" s="6">
        <v>17900</v>
      </c>
      <c r="M12" s="6">
        <v>18380</v>
      </c>
      <c r="N12" s="6">
        <v>18954</v>
      </c>
      <c r="O12" s="6">
        <v>19514</v>
      </c>
      <c r="P12" s="6">
        <v>20098</v>
      </c>
      <c r="Q12" s="6">
        <v>20551</v>
      </c>
      <c r="R12" s="6">
        <v>21053</v>
      </c>
      <c r="S12" s="6">
        <v>21647</v>
      </c>
      <c r="T12" s="6">
        <v>22368</v>
      </c>
      <c r="U12" s="6">
        <v>23135</v>
      </c>
      <c r="V12" s="6">
        <v>23789</v>
      </c>
      <c r="W12" s="6">
        <v>24569</v>
      </c>
      <c r="X12" s="6">
        <v>25440</v>
      </c>
      <c r="Y12" s="6">
        <v>26135</v>
      </c>
      <c r="Z12" s="6">
        <v>26941</v>
      </c>
    </row>
    <row r="13" spans="1:27" x14ac:dyDescent="0.25">
      <c r="A13" t="s">
        <v>12</v>
      </c>
      <c r="B13" s="6">
        <v>15965</v>
      </c>
      <c r="C13" s="6">
        <v>16731</v>
      </c>
      <c r="D13" s="6">
        <v>17588</v>
      </c>
      <c r="E13" s="6">
        <v>18538</v>
      </c>
      <c r="F13" s="6">
        <v>19550</v>
      </c>
      <c r="G13" s="6">
        <v>20589</v>
      </c>
      <c r="H13" s="6">
        <v>21008</v>
      </c>
      <c r="I13" s="6">
        <v>21453</v>
      </c>
      <c r="J13" s="6">
        <v>21813</v>
      </c>
      <c r="K13" s="6">
        <v>22289</v>
      </c>
      <c r="L13" s="6">
        <v>22714</v>
      </c>
      <c r="M13" s="6">
        <v>23097</v>
      </c>
      <c r="N13" s="6">
        <v>23523</v>
      </c>
      <c r="O13" s="6">
        <v>24062</v>
      </c>
      <c r="P13" s="6">
        <v>24687</v>
      </c>
      <c r="Q13" s="6">
        <v>24963</v>
      </c>
      <c r="R13" s="6">
        <v>25599</v>
      </c>
      <c r="S13" s="6">
        <v>26198</v>
      </c>
      <c r="T13" s="6">
        <v>26930</v>
      </c>
      <c r="U13" s="6">
        <v>27558</v>
      </c>
      <c r="V13" s="6">
        <v>28243</v>
      </c>
      <c r="W13" s="6">
        <v>28887</v>
      </c>
      <c r="X13" s="6">
        <v>29497</v>
      </c>
      <c r="Y13" s="6">
        <v>29972</v>
      </c>
      <c r="Z13" s="6">
        <v>30696</v>
      </c>
    </row>
    <row r="14" spans="1:27" x14ac:dyDescent="0.25">
      <c r="A14" t="s">
        <v>21</v>
      </c>
      <c r="B14" s="6">
        <v>33417</v>
      </c>
      <c r="C14" s="6">
        <v>35265</v>
      </c>
      <c r="D14" s="6">
        <v>37281</v>
      </c>
      <c r="E14" s="6">
        <v>38979</v>
      </c>
      <c r="F14" s="6">
        <v>40922</v>
      </c>
      <c r="G14" s="6">
        <v>42705</v>
      </c>
      <c r="H14" s="6">
        <v>44330</v>
      </c>
      <c r="I14" s="6">
        <v>46118</v>
      </c>
      <c r="J14" s="6">
        <v>47581</v>
      </c>
      <c r="K14" s="6">
        <v>49225</v>
      </c>
      <c r="L14" s="6">
        <v>50771</v>
      </c>
      <c r="M14" s="6">
        <v>52047</v>
      </c>
      <c r="N14" s="6">
        <v>53622</v>
      </c>
      <c r="O14" s="6">
        <v>55316</v>
      </c>
      <c r="P14" s="6">
        <v>56794</v>
      </c>
      <c r="Q14" s="6">
        <v>58072</v>
      </c>
      <c r="R14" s="6">
        <v>60068</v>
      </c>
      <c r="S14" s="6">
        <v>61747</v>
      </c>
      <c r="T14" s="6">
        <v>63540</v>
      </c>
      <c r="U14" s="6">
        <v>65211</v>
      </c>
      <c r="V14" s="6">
        <v>66865</v>
      </c>
      <c r="W14" s="6">
        <v>68273</v>
      </c>
      <c r="X14" s="6">
        <v>69640</v>
      </c>
      <c r="Y14" s="6">
        <v>70834</v>
      </c>
      <c r="Z14" s="6">
        <v>72166</v>
      </c>
    </row>
    <row r="15" spans="1:27" x14ac:dyDescent="0.25">
      <c r="A15" t="s">
        <v>18</v>
      </c>
      <c r="B15" s="7">
        <v>790457</v>
      </c>
      <c r="C15" s="7">
        <v>830186</v>
      </c>
      <c r="D15" s="7">
        <v>872338</v>
      </c>
      <c r="E15" s="7">
        <v>908289</v>
      </c>
      <c r="F15" s="7">
        <v>951694</v>
      </c>
      <c r="G15" s="7">
        <v>1002353</v>
      </c>
      <c r="H15" s="7">
        <v>1039599</v>
      </c>
      <c r="I15" s="7">
        <v>1080137</v>
      </c>
      <c r="J15" s="7">
        <v>1114574</v>
      </c>
      <c r="K15" s="7">
        <v>1147681</v>
      </c>
      <c r="L15" s="7">
        <v>1179511</v>
      </c>
      <c r="M15" s="7">
        <v>1213802</v>
      </c>
      <c r="N15" s="7">
        <v>1246849</v>
      </c>
      <c r="O15" s="7">
        <v>1281817</v>
      </c>
      <c r="P15" s="7">
        <v>1318953</v>
      </c>
      <c r="Q15" s="7">
        <v>1354732</v>
      </c>
      <c r="R15" s="7">
        <v>1396535</v>
      </c>
      <c r="S15" s="7">
        <v>1433494</v>
      </c>
      <c r="T15" s="7">
        <v>1480015</v>
      </c>
      <c r="U15" s="7">
        <v>1522548</v>
      </c>
      <c r="V15" s="7">
        <v>1565772</v>
      </c>
      <c r="W15" s="7">
        <v>1612174</v>
      </c>
      <c r="X15" s="7">
        <v>1660268</v>
      </c>
      <c r="Y15" s="7">
        <v>1697356</v>
      </c>
      <c r="Z15" s="7">
        <v>1739496</v>
      </c>
      <c r="AA15" s="3"/>
    </row>
    <row r="16" spans="1:27" x14ac:dyDescent="0.25">
      <c r="A16" t="s">
        <v>16</v>
      </c>
      <c r="B16" s="1">
        <f t="shared" ref="B16:Z16" si="0">SUM(B2:B13)</f>
        <v>355107</v>
      </c>
      <c r="C16" s="1">
        <f t="shared" si="0"/>
        <v>375055</v>
      </c>
      <c r="D16" s="1">
        <f t="shared" si="0"/>
        <v>392591</v>
      </c>
      <c r="E16" s="1">
        <f t="shared" si="0"/>
        <v>408834</v>
      </c>
      <c r="F16" s="1">
        <f t="shared" si="0"/>
        <v>427277</v>
      </c>
      <c r="G16" s="1">
        <f t="shared" si="0"/>
        <v>447802</v>
      </c>
      <c r="H16" s="1">
        <f t="shared" si="0"/>
        <v>463307</v>
      </c>
      <c r="I16" s="1">
        <f t="shared" si="0"/>
        <v>481399</v>
      </c>
      <c r="J16" s="1">
        <f t="shared" si="0"/>
        <v>498336</v>
      </c>
      <c r="K16" s="1">
        <f t="shared" si="0"/>
        <v>515496</v>
      </c>
      <c r="L16" s="1">
        <f t="shared" si="0"/>
        <v>531276</v>
      </c>
      <c r="M16" s="1">
        <f t="shared" si="0"/>
        <v>547885</v>
      </c>
      <c r="N16" s="1">
        <f t="shared" si="0"/>
        <v>564815</v>
      </c>
      <c r="O16" s="1">
        <f t="shared" si="0"/>
        <v>582209</v>
      </c>
      <c r="P16" s="1">
        <f t="shared" si="0"/>
        <v>598798</v>
      </c>
      <c r="Q16" s="1">
        <f t="shared" si="0"/>
        <v>613444</v>
      </c>
      <c r="R16" s="1">
        <f t="shared" si="0"/>
        <v>631150</v>
      </c>
      <c r="S16" s="1">
        <f t="shared" si="0"/>
        <v>647428</v>
      </c>
      <c r="T16" s="1">
        <f t="shared" si="0"/>
        <v>668459</v>
      </c>
      <c r="U16" s="1">
        <f t="shared" si="0"/>
        <v>687983</v>
      </c>
      <c r="V16" s="1">
        <f t="shared" si="0"/>
        <v>705763</v>
      </c>
      <c r="W16" s="1">
        <f t="shared" si="0"/>
        <v>722022</v>
      </c>
      <c r="X16" s="1">
        <f t="shared" si="0"/>
        <v>742770</v>
      </c>
      <c r="Y16" s="1">
        <f t="shared" si="0"/>
        <v>758680</v>
      </c>
      <c r="Z16" s="1">
        <f t="shared" si="0"/>
        <v>777889</v>
      </c>
    </row>
    <row r="17" spans="1:26" x14ac:dyDescent="0.25">
      <c r="A17" t="s">
        <v>17</v>
      </c>
      <c r="B17" s="1">
        <f t="shared" ref="B17:Z17" si="1">SUM(B2+B7+B10)</f>
        <v>213691</v>
      </c>
      <c r="C17" s="1">
        <f t="shared" si="1"/>
        <v>226294</v>
      </c>
      <c r="D17" s="1">
        <f t="shared" si="1"/>
        <v>237770</v>
      </c>
      <c r="E17" s="1">
        <f t="shared" si="1"/>
        <v>247517</v>
      </c>
      <c r="F17" s="1">
        <f t="shared" si="1"/>
        <v>258960</v>
      </c>
      <c r="G17" s="1">
        <f t="shared" si="1"/>
        <v>271887</v>
      </c>
      <c r="H17" s="1">
        <f t="shared" si="1"/>
        <v>282644</v>
      </c>
      <c r="I17" s="1">
        <f t="shared" si="1"/>
        <v>294747</v>
      </c>
      <c r="J17" s="1">
        <f t="shared" si="1"/>
        <v>306400</v>
      </c>
      <c r="K17" s="1">
        <f t="shared" si="1"/>
        <v>317992</v>
      </c>
      <c r="L17" s="1">
        <f t="shared" si="1"/>
        <v>328898</v>
      </c>
      <c r="M17" s="1">
        <f t="shared" si="1"/>
        <v>340748</v>
      </c>
      <c r="N17" s="1">
        <f t="shared" si="1"/>
        <v>351824</v>
      </c>
      <c r="O17" s="1">
        <f t="shared" si="1"/>
        <v>363562</v>
      </c>
      <c r="P17" s="1">
        <f t="shared" si="1"/>
        <v>374643</v>
      </c>
      <c r="Q17" s="1">
        <f t="shared" si="1"/>
        <v>385457</v>
      </c>
      <c r="R17" s="1">
        <f t="shared" si="1"/>
        <v>396562</v>
      </c>
      <c r="S17" s="1">
        <f t="shared" si="1"/>
        <v>406674</v>
      </c>
      <c r="T17" s="1">
        <f t="shared" si="1"/>
        <v>420372</v>
      </c>
      <c r="U17" s="1">
        <f t="shared" si="1"/>
        <v>432639</v>
      </c>
      <c r="V17" s="1">
        <f t="shared" si="1"/>
        <v>443266</v>
      </c>
      <c r="W17" s="1">
        <f t="shared" si="1"/>
        <v>452863</v>
      </c>
      <c r="X17" s="1">
        <f t="shared" si="1"/>
        <v>466996</v>
      </c>
      <c r="Y17" s="1">
        <f t="shared" si="1"/>
        <v>478208</v>
      </c>
      <c r="Z17" s="1">
        <f t="shared" si="1"/>
        <v>490121</v>
      </c>
    </row>
    <row r="18" spans="1:26" x14ac:dyDescent="0.25">
      <c r="A18" t="s">
        <v>13</v>
      </c>
      <c r="B18" s="1">
        <f t="shared" ref="B18:Z18" si="2">SUM(B2+B3+B7+B10)</f>
        <v>246413</v>
      </c>
      <c r="C18" s="1">
        <f t="shared" si="2"/>
        <v>260746</v>
      </c>
      <c r="D18" s="1">
        <f t="shared" si="2"/>
        <v>272161</v>
      </c>
      <c r="E18" s="1">
        <f t="shared" si="2"/>
        <v>283009</v>
      </c>
      <c r="F18" s="1">
        <f t="shared" si="2"/>
        <v>295438</v>
      </c>
      <c r="G18" s="1">
        <f t="shared" si="2"/>
        <v>309457</v>
      </c>
      <c r="H18" s="1">
        <f t="shared" si="2"/>
        <v>320719</v>
      </c>
      <c r="I18" s="1">
        <f t="shared" si="2"/>
        <v>333658</v>
      </c>
      <c r="J18" s="1">
        <f t="shared" si="2"/>
        <v>346288</v>
      </c>
      <c r="K18" s="1">
        <f t="shared" si="2"/>
        <v>359101</v>
      </c>
      <c r="L18" s="1">
        <f t="shared" si="2"/>
        <v>371092</v>
      </c>
      <c r="M18" s="1">
        <f t="shared" si="2"/>
        <v>383782</v>
      </c>
      <c r="N18" s="1">
        <f t="shared" si="2"/>
        <v>395939</v>
      </c>
      <c r="O18" s="1">
        <f t="shared" si="2"/>
        <v>408733</v>
      </c>
      <c r="P18" s="1">
        <f t="shared" si="2"/>
        <v>420757</v>
      </c>
      <c r="Q18" s="1">
        <f t="shared" si="2"/>
        <v>432354</v>
      </c>
      <c r="R18" s="1">
        <f t="shared" si="2"/>
        <v>444662</v>
      </c>
      <c r="S18" s="1">
        <f t="shared" si="2"/>
        <v>456040</v>
      </c>
      <c r="T18" s="1">
        <f t="shared" si="2"/>
        <v>471230</v>
      </c>
      <c r="U18" s="1">
        <f t="shared" si="2"/>
        <v>485180</v>
      </c>
      <c r="V18" s="1">
        <f t="shared" si="2"/>
        <v>497243</v>
      </c>
      <c r="W18" s="1">
        <f t="shared" si="2"/>
        <v>508658</v>
      </c>
      <c r="X18" s="1">
        <f t="shared" si="2"/>
        <v>524606</v>
      </c>
      <c r="Y18" s="1">
        <f t="shared" si="2"/>
        <v>537150</v>
      </c>
      <c r="Z18" s="1">
        <f t="shared" si="2"/>
        <v>550570</v>
      </c>
    </row>
    <row r="19" spans="1:26" x14ac:dyDescent="0.25">
      <c r="A19" t="s">
        <v>14</v>
      </c>
      <c r="B19" s="1">
        <f t="shared" ref="B19:Z19" si="3">+B4+B5+B6+B8+B9+B11+B12+B13</f>
        <v>108694</v>
      </c>
      <c r="C19" s="1">
        <f t="shared" si="3"/>
        <v>114309</v>
      </c>
      <c r="D19" s="1">
        <f t="shared" si="3"/>
        <v>120430</v>
      </c>
      <c r="E19" s="1">
        <f t="shared" si="3"/>
        <v>125825</v>
      </c>
      <c r="F19" s="1">
        <f t="shared" si="3"/>
        <v>131839</v>
      </c>
      <c r="G19" s="1">
        <f t="shared" si="3"/>
        <v>138345</v>
      </c>
      <c r="H19" s="1">
        <f t="shared" si="3"/>
        <v>142588</v>
      </c>
      <c r="I19" s="1">
        <f t="shared" si="3"/>
        <v>147741</v>
      </c>
      <c r="J19" s="1">
        <f t="shared" si="3"/>
        <v>152048</v>
      </c>
      <c r="K19" s="1">
        <f t="shared" si="3"/>
        <v>156395</v>
      </c>
      <c r="L19" s="1">
        <f t="shared" si="3"/>
        <v>160184</v>
      </c>
      <c r="M19" s="1">
        <f t="shared" si="3"/>
        <v>164103</v>
      </c>
      <c r="N19" s="1">
        <f t="shared" si="3"/>
        <v>168876</v>
      </c>
      <c r="O19" s="1">
        <f t="shared" si="3"/>
        <v>173476</v>
      </c>
      <c r="P19" s="1">
        <f t="shared" si="3"/>
        <v>178041</v>
      </c>
      <c r="Q19" s="1">
        <f t="shared" si="3"/>
        <v>181090</v>
      </c>
      <c r="R19" s="1">
        <f t="shared" si="3"/>
        <v>186488</v>
      </c>
      <c r="S19" s="1">
        <f t="shared" si="3"/>
        <v>191388</v>
      </c>
      <c r="T19" s="1">
        <f t="shared" si="3"/>
        <v>197229</v>
      </c>
      <c r="U19" s="1">
        <f t="shared" si="3"/>
        <v>202803</v>
      </c>
      <c r="V19" s="1">
        <f t="shared" si="3"/>
        <v>208520</v>
      </c>
      <c r="W19" s="1">
        <f t="shared" si="3"/>
        <v>213364</v>
      </c>
      <c r="X19" s="1">
        <f t="shared" si="3"/>
        <v>218164</v>
      </c>
      <c r="Y19" s="1">
        <f t="shared" si="3"/>
        <v>221530</v>
      </c>
      <c r="Z19" s="1">
        <f t="shared" si="3"/>
        <v>227319</v>
      </c>
    </row>
    <row r="20" spans="1:26" x14ac:dyDescent="0.25">
      <c r="A20" t="s">
        <v>20</v>
      </c>
      <c r="B20" s="1">
        <f t="shared" ref="B20:Z20" si="4">+B6+B8+B9+B11+B12+B13</f>
        <v>82947</v>
      </c>
      <c r="C20" s="1">
        <f t="shared" si="4"/>
        <v>86981</v>
      </c>
      <c r="D20" s="1">
        <f t="shared" si="4"/>
        <v>91499</v>
      </c>
      <c r="E20" s="1">
        <f t="shared" si="4"/>
        <v>95504</v>
      </c>
      <c r="F20" s="1">
        <f t="shared" si="4"/>
        <v>100034</v>
      </c>
      <c r="G20" s="1">
        <f t="shared" si="4"/>
        <v>105180</v>
      </c>
      <c r="H20" s="1">
        <f t="shared" si="4"/>
        <v>108134</v>
      </c>
      <c r="I20" s="1">
        <f t="shared" si="4"/>
        <v>111908</v>
      </c>
      <c r="J20" s="1">
        <f t="shared" si="4"/>
        <v>115016</v>
      </c>
      <c r="K20" s="1">
        <f t="shared" si="4"/>
        <v>117970</v>
      </c>
      <c r="L20" s="1">
        <f t="shared" si="4"/>
        <v>120501</v>
      </c>
      <c r="M20" s="1">
        <f t="shared" si="4"/>
        <v>123432</v>
      </c>
      <c r="N20" s="1">
        <f t="shared" si="4"/>
        <v>126829</v>
      </c>
      <c r="O20" s="1">
        <f t="shared" si="4"/>
        <v>130046</v>
      </c>
      <c r="P20" s="1">
        <f t="shared" si="4"/>
        <v>133394</v>
      </c>
      <c r="Q20" s="1">
        <f t="shared" si="4"/>
        <v>135413</v>
      </c>
      <c r="R20" s="1">
        <f t="shared" si="4"/>
        <v>139171</v>
      </c>
      <c r="S20" s="1">
        <f t="shared" si="4"/>
        <v>142753</v>
      </c>
      <c r="T20" s="1">
        <f t="shared" si="4"/>
        <v>147028</v>
      </c>
      <c r="U20" s="1">
        <f t="shared" si="4"/>
        <v>151291</v>
      </c>
      <c r="V20" s="1">
        <f t="shared" si="4"/>
        <v>155704</v>
      </c>
      <c r="W20" s="1">
        <f t="shared" si="4"/>
        <v>159549</v>
      </c>
      <c r="X20" s="1">
        <f t="shared" si="4"/>
        <v>163315</v>
      </c>
      <c r="Y20" s="1">
        <f t="shared" si="4"/>
        <v>165777</v>
      </c>
      <c r="Z20" s="1">
        <f t="shared" si="4"/>
        <v>170557</v>
      </c>
    </row>
    <row r="21" spans="1:26" x14ac:dyDescent="0.25">
      <c r="A21" t="s">
        <v>34</v>
      </c>
      <c r="B21" s="1">
        <f t="shared" ref="B21:Z21" si="5">+B20+B5</f>
        <v>90879</v>
      </c>
      <c r="C21" s="1">
        <f t="shared" si="5"/>
        <v>95546</v>
      </c>
      <c r="D21" s="1">
        <f t="shared" si="5"/>
        <v>100731</v>
      </c>
      <c r="E21" s="1">
        <f t="shared" si="5"/>
        <v>105376</v>
      </c>
      <c r="F21" s="1">
        <f t="shared" si="5"/>
        <v>110551</v>
      </c>
      <c r="G21" s="1">
        <f t="shared" si="5"/>
        <v>116309</v>
      </c>
      <c r="H21" s="1">
        <f t="shared" si="5"/>
        <v>119855</v>
      </c>
      <c r="I21" s="1">
        <f t="shared" si="5"/>
        <v>124130</v>
      </c>
      <c r="J21" s="1">
        <f t="shared" si="5"/>
        <v>127751</v>
      </c>
      <c r="K21" s="1">
        <f t="shared" si="5"/>
        <v>131177</v>
      </c>
      <c r="L21" s="1">
        <f t="shared" si="5"/>
        <v>134137</v>
      </c>
      <c r="M21" s="1">
        <f t="shared" si="5"/>
        <v>137391</v>
      </c>
      <c r="N21" s="1">
        <f t="shared" si="5"/>
        <v>141280</v>
      </c>
      <c r="O21" s="1">
        <f t="shared" si="5"/>
        <v>144897</v>
      </c>
      <c r="P21" s="1">
        <f t="shared" si="5"/>
        <v>148769</v>
      </c>
      <c r="Q21" s="1">
        <f t="shared" si="5"/>
        <v>151296</v>
      </c>
      <c r="R21" s="1">
        <f t="shared" si="5"/>
        <v>155666</v>
      </c>
      <c r="S21" s="1">
        <f t="shared" si="5"/>
        <v>159722</v>
      </c>
      <c r="T21" s="1">
        <f t="shared" si="5"/>
        <v>164522</v>
      </c>
      <c r="U21" s="1">
        <f t="shared" si="5"/>
        <v>169372</v>
      </c>
      <c r="V21" s="1">
        <f t="shared" si="5"/>
        <v>174288</v>
      </c>
      <c r="W21" s="1">
        <f t="shared" si="5"/>
        <v>178708</v>
      </c>
      <c r="X21" s="1">
        <f t="shared" si="5"/>
        <v>183001</v>
      </c>
      <c r="Y21" s="1">
        <f t="shared" si="5"/>
        <v>185855</v>
      </c>
      <c r="Z21" s="1">
        <f t="shared" si="5"/>
        <v>191068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25747</v>
      </c>
      <c r="C23" s="1">
        <f t="shared" si="6"/>
        <v>27328</v>
      </c>
      <c r="D23" s="1">
        <f t="shared" si="6"/>
        <v>28931</v>
      </c>
      <c r="E23" s="1">
        <f t="shared" si="6"/>
        <v>30321</v>
      </c>
      <c r="F23" s="1">
        <f t="shared" si="6"/>
        <v>31805</v>
      </c>
      <c r="G23" s="1">
        <f t="shared" si="6"/>
        <v>33165</v>
      </c>
      <c r="H23" s="1">
        <f t="shared" si="6"/>
        <v>34454</v>
      </c>
      <c r="I23" s="1">
        <f t="shared" si="6"/>
        <v>35833</v>
      </c>
      <c r="J23" s="1">
        <f t="shared" si="6"/>
        <v>37032</v>
      </c>
      <c r="K23" s="1">
        <f t="shared" si="6"/>
        <v>38425</v>
      </c>
      <c r="L23" s="1">
        <f t="shared" si="6"/>
        <v>39683</v>
      </c>
      <c r="M23" s="1">
        <f t="shared" si="6"/>
        <v>40671</v>
      </c>
      <c r="N23" s="1">
        <f t="shared" si="6"/>
        <v>42047</v>
      </c>
      <c r="O23" s="1">
        <f t="shared" si="6"/>
        <v>43430</v>
      </c>
      <c r="P23" s="1">
        <f t="shared" si="6"/>
        <v>44647</v>
      </c>
      <c r="Q23" s="1">
        <f t="shared" si="6"/>
        <v>45677</v>
      </c>
      <c r="R23" s="1">
        <f t="shared" si="6"/>
        <v>47317</v>
      </c>
      <c r="S23" s="1">
        <f t="shared" si="6"/>
        <v>48635</v>
      </c>
      <c r="T23" s="1">
        <f t="shared" si="6"/>
        <v>50201</v>
      </c>
      <c r="U23" s="1">
        <f t="shared" si="6"/>
        <v>51512</v>
      </c>
      <c r="V23" s="1">
        <f t="shared" si="6"/>
        <v>52816</v>
      </c>
      <c r="W23" s="1">
        <f t="shared" si="6"/>
        <v>53815</v>
      </c>
      <c r="X23" s="1">
        <f t="shared" si="6"/>
        <v>54849</v>
      </c>
      <c r="Y23" s="1">
        <f t="shared" si="6"/>
        <v>55753</v>
      </c>
      <c r="Z23" s="1">
        <f t="shared" si="6"/>
        <v>56762</v>
      </c>
    </row>
    <row r="24" spans="1:26" x14ac:dyDescent="0.25">
      <c r="A24" t="s">
        <v>35</v>
      </c>
      <c r="B24" s="1">
        <f t="shared" ref="B24:Z24" si="7">SUM(B14-B4)</f>
        <v>15602</v>
      </c>
      <c r="C24" s="1">
        <f t="shared" si="7"/>
        <v>16502</v>
      </c>
      <c r="D24" s="1">
        <f t="shared" si="7"/>
        <v>17582</v>
      </c>
      <c r="E24" s="1">
        <f t="shared" si="7"/>
        <v>18530</v>
      </c>
      <c r="F24" s="1">
        <f t="shared" si="7"/>
        <v>19634</v>
      </c>
      <c r="G24" s="1">
        <f t="shared" si="7"/>
        <v>20669</v>
      </c>
      <c r="H24" s="1">
        <f t="shared" si="7"/>
        <v>21597</v>
      </c>
      <c r="I24" s="1">
        <f t="shared" si="7"/>
        <v>22507</v>
      </c>
      <c r="J24" s="1">
        <f t="shared" si="7"/>
        <v>23284</v>
      </c>
      <c r="K24" s="1">
        <f t="shared" si="7"/>
        <v>24007</v>
      </c>
      <c r="L24" s="1">
        <f t="shared" si="7"/>
        <v>24724</v>
      </c>
      <c r="M24" s="1">
        <f t="shared" si="7"/>
        <v>25335</v>
      </c>
      <c r="N24" s="1">
        <f t="shared" si="7"/>
        <v>26026</v>
      </c>
      <c r="O24" s="1">
        <f t="shared" si="7"/>
        <v>26737</v>
      </c>
      <c r="P24" s="1">
        <f t="shared" si="7"/>
        <v>27522</v>
      </c>
      <c r="Q24" s="1">
        <f t="shared" si="7"/>
        <v>28278</v>
      </c>
      <c r="R24" s="1">
        <f t="shared" si="7"/>
        <v>29246</v>
      </c>
      <c r="S24" s="1">
        <f t="shared" si="7"/>
        <v>30081</v>
      </c>
      <c r="T24" s="1">
        <f t="shared" si="7"/>
        <v>30833</v>
      </c>
      <c r="U24" s="1">
        <f t="shared" si="7"/>
        <v>31780</v>
      </c>
      <c r="V24" s="1">
        <f t="shared" si="7"/>
        <v>32633</v>
      </c>
      <c r="W24" s="1">
        <f t="shared" si="7"/>
        <v>33617</v>
      </c>
      <c r="X24" s="1">
        <f t="shared" si="7"/>
        <v>34477</v>
      </c>
      <c r="Y24" s="1">
        <f t="shared" si="7"/>
        <v>35159</v>
      </c>
      <c r="Z24" s="1">
        <f t="shared" si="7"/>
        <v>35915</v>
      </c>
    </row>
    <row r="25" spans="1:26" x14ac:dyDescent="0.25">
      <c r="A25" t="s">
        <v>36</v>
      </c>
      <c r="B25" s="1">
        <f t="shared" ref="B25:Z25" si="8">SUM(B14-B5)</f>
        <v>25485</v>
      </c>
      <c r="C25" s="1">
        <f t="shared" si="8"/>
        <v>26700</v>
      </c>
      <c r="D25" s="1">
        <f t="shared" si="8"/>
        <v>28049</v>
      </c>
      <c r="E25" s="1">
        <f t="shared" si="8"/>
        <v>29107</v>
      </c>
      <c r="F25" s="1">
        <f t="shared" si="8"/>
        <v>30405</v>
      </c>
      <c r="G25" s="1">
        <f t="shared" si="8"/>
        <v>31576</v>
      </c>
      <c r="H25" s="1">
        <f t="shared" si="8"/>
        <v>32609</v>
      </c>
      <c r="I25" s="1">
        <f t="shared" si="8"/>
        <v>33896</v>
      </c>
      <c r="J25" s="1">
        <f t="shared" si="8"/>
        <v>34846</v>
      </c>
      <c r="K25" s="1">
        <f t="shared" si="8"/>
        <v>36018</v>
      </c>
      <c r="L25" s="1">
        <f t="shared" si="8"/>
        <v>37135</v>
      </c>
      <c r="M25" s="1">
        <f t="shared" si="8"/>
        <v>38088</v>
      </c>
      <c r="N25" s="1">
        <f t="shared" si="8"/>
        <v>39171</v>
      </c>
      <c r="O25" s="1">
        <f t="shared" si="8"/>
        <v>40465</v>
      </c>
      <c r="P25" s="1">
        <f t="shared" si="8"/>
        <v>41419</v>
      </c>
      <c r="Q25" s="1">
        <f t="shared" si="8"/>
        <v>42189</v>
      </c>
      <c r="R25" s="1">
        <f t="shared" si="8"/>
        <v>43573</v>
      </c>
      <c r="S25" s="1">
        <f t="shared" si="8"/>
        <v>44778</v>
      </c>
      <c r="T25" s="1">
        <f t="shared" si="8"/>
        <v>46046</v>
      </c>
      <c r="U25" s="1">
        <f t="shared" si="8"/>
        <v>47130</v>
      </c>
      <c r="V25" s="1">
        <f t="shared" si="8"/>
        <v>48281</v>
      </c>
      <c r="W25" s="1">
        <f t="shared" si="8"/>
        <v>49114</v>
      </c>
      <c r="X25" s="1">
        <f t="shared" si="8"/>
        <v>49954</v>
      </c>
      <c r="Y25" s="1">
        <f t="shared" si="8"/>
        <v>50756</v>
      </c>
      <c r="Z25" s="1">
        <f t="shared" si="8"/>
        <v>51655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B260-4EAA-4071-9ED2-08965B3F08D8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18036</v>
      </c>
      <c r="C2">
        <v>16291</v>
      </c>
      <c r="D2" s="1">
        <v>14866</v>
      </c>
      <c r="E2" s="1">
        <v>14803</v>
      </c>
      <c r="F2" s="1">
        <v>15404</v>
      </c>
      <c r="G2" s="1">
        <v>16936</v>
      </c>
      <c r="H2" s="1">
        <v>18002</v>
      </c>
      <c r="I2" s="1">
        <v>18835</v>
      </c>
      <c r="J2" s="1">
        <v>18563</v>
      </c>
      <c r="K2" s="1">
        <v>18780</v>
      </c>
      <c r="L2" s="1">
        <v>19910</v>
      </c>
      <c r="M2" s="1">
        <v>20188</v>
      </c>
      <c r="N2" s="1">
        <v>20152</v>
      </c>
      <c r="O2" s="1">
        <v>20248</v>
      </c>
      <c r="P2" s="1">
        <v>20849</v>
      </c>
      <c r="Q2" s="1">
        <v>20587</v>
      </c>
      <c r="R2" s="1">
        <v>20874</v>
      </c>
      <c r="S2" s="1">
        <v>22770</v>
      </c>
      <c r="T2" s="1">
        <v>20557</v>
      </c>
      <c r="U2" s="1">
        <v>19848</v>
      </c>
      <c r="V2" s="1">
        <v>20106</v>
      </c>
      <c r="W2" s="1">
        <v>20934</v>
      </c>
      <c r="X2" s="1">
        <v>21011</v>
      </c>
      <c r="Y2" s="1">
        <v>20290</v>
      </c>
      <c r="Z2" s="1">
        <v>20197</v>
      </c>
    </row>
    <row r="3" spans="1:27" x14ac:dyDescent="0.25">
      <c r="A3" t="s">
        <v>2</v>
      </c>
      <c r="B3">
        <v>7533</v>
      </c>
      <c r="C3">
        <v>7424</v>
      </c>
      <c r="D3" s="1">
        <v>7048</v>
      </c>
      <c r="E3" s="1">
        <v>6648</v>
      </c>
      <c r="F3" s="1">
        <v>7064</v>
      </c>
      <c r="G3" s="1">
        <v>7417</v>
      </c>
      <c r="H3" s="1">
        <v>7598</v>
      </c>
      <c r="I3" s="1">
        <v>7630</v>
      </c>
      <c r="J3" s="1">
        <v>7717</v>
      </c>
      <c r="K3" s="1">
        <v>7913</v>
      </c>
      <c r="L3" s="1">
        <v>7802</v>
      </c>
      <c r="M3" s="1">
        <v>7683</v>
      </c>
      <c r="N3" s="1">
        <v>8024</v>
      </c>
      <c r="O3" s="1">
        <v>8324</v>
      </c>
      <c r="P3" s="1">
        <v>8642</v>
      </c>
      <c r="Q3" s="1">
        <v>9108</v>
      </c>
      <c r="R3" s="1">
        <v>9535</v>
      </c>
      <c r="S3" s="1">
        <v>10340</v>
      </c>
      <c r="T3" s="1">
        <v>10551</v>
      </c>
      <c r="U3" s="1">
        <v>10952</v>
      </c>
      <c r="V3" s="1">
        <v>11105</v>
      </c>
      <c r="W3" s="1">
        <v>11431</v>
      </c>
      <c r="X3" s="1">
        <v>11898</v>
      </c>
      <c r="Y3" s="1">
        <v>11724</v>
      </c>
      <c r="Z3" s="1">
        <v>11228</v>
      </c>
    </row>
    <row r="4" spans="1:27" x14ac:dyDescent="0.25">
      <c r="A4" t="s">
        <v>3</v>
      </c>
      <c r="B4">
        <v>4708</v>
      </c>
      <c r="C4">
        <v>4841</v>
      </c>
      <c r="D4" s="1">
        <v>4679</v>
      </c>
      <c r="E4" s="1">
        <v>4742</v>
      </c>
      <c r="F4" s="1">
        <v>4748</v>
      </c>
      <c r="G4" s="1">
        <v>4804</v>
      </c>
      <c r="H4" s="1">
        <v>5038</v>
      </c>
      <c r="I4" s="1">
        <v>5418</v>
      </c>
      <c r="J4" s="1">
        <v>5050</v>
      </c>
      <c r="K4" s="1">
        <v>5175</v>
      </c>
      <c r="L4" s="1">
        <v>5325</v>
      </c>
      <c r="M4" s="1">
        <v>5313</v>
      </c>
      <c r="N4" s="1">
        <v>5230</v>
      </c>
      <c r="O4" s="1">
        <v>5132</v>
      </c>
      <c r="P4" s="1">
        <v>5445</v>
      </c>
      <c r="Q4" s="1">
        <v>5189</v>
      </c>
      <c r="R4" s="1">
        <v>5625</v>
      </c>
      <c r="S4" s="1">
        <v>5739</v>
      </c>
      <c r="T4" s="1">
        <v>5675</v>
      </c>
      <c r="U4" s="1">
        <v>5440</v>
      </c>
      <c r="V4" s="1">
        <v>6243</v>
      </c>
      <c r="W4" s="1">
        <v>6183</v>
      </c>
      <c r="X4" s="1">
        <v>6371</v>
      </c>
      <c r="Y4" s="1">
        <v>6215</v>
      </c>
      <c r="Z4" s="1">
        <v>6096</v>
      </c>
    </row>
    <row r="5" spans="1:27" x14ac:dyDescent="0.25">
      <c r="A5" t="s">
        <v>4</v>
      </c>
      <c r="B5">
        <v>2560</v>
      </c>
      <c r="C5">
        <v>2782</v>
      </c>
      <c r="D5" s="1">
        <v>2647</v>
      </c>
      <c r="E5" s="1">
        <v>2739</v>
      </c>
      <c r="F5" s="1">
        <v>2765</v>
      </c>
      <c r="G5" s="1">
        <v>2616</v>
      </c>
      <c r="H5" s="1">
        <v>2896</v>
      </c>
      <c r="I5" s="1">
        <v>3059</v>
      </c>
      <c r="J5" s="1">
        <v>3141</v>
      </c>
      <c r="K5" s="1">
        <v>2939</v>
      </c>
      <c r="L5" s="1">
        <v>2926</v>
      </c>
      <c r="M5" s="1">
        <v>3018</v>
      </c>
      <c r="N5" s="1">
        <v>3323</v>
      </c>
      <c r="O5" s="1">
        <v>3344</v>
      </c>
      <c r="P5" s="1">
        <v>3347</v>
      </c>
      <c r="Q5" s="1">
        <v>3336</v>
      </c>
      <c r="R5" s="1">
        <v>3194</v>
      </c>
      <c r="S5" s="1">
        <v>3543</v>
      </c>
      <c r="T5" s="1">
        <v>3128</v>
      </c>
      <c r="U5" s="1">
        <v>3430</v>
      </c>
      <c r="V5" s="1">
        <v>3399</v>
      </c>
      <c r="W5" s="1">
        <v>3744</v>
      </c>
      <c r="X5" s="1">
        <v>3723</v>
      </c>
      <c r="Y5" s="1">
        <v>3412</v>
      </c>
      <c r="Z5" s="1">
        <v>3236</v>
      </c>
    </row>
    <row r="6" spans="1:27" x14ac:dyDescent="0.25">
      <c r="A6" t="s">
        <v>5</v>
      </c>
      <c r="B6">
        <v>3274</v>
      </c>
      <c r="C6">
        <v>3210</v>
      </c>
      <c r="D6" s="1">
        <v>3079</v>
      </c>
      <c r="E6" s="1">
        <v>3146</v>
      </c>
      <c r="F6" s="1">
        <v>3142</v>
      </c>
      <c r="G6" s="1">
        <v>3586</v>
      </c>
      <c r="H6" s="1">
        <v>3744</v>
      </c>
      <c r="I6" s="1">
        <v>3814</v>
      </c>
      <c r="J6" s="1">
        <v>3389</v>
      </c>
      <c r="K6" s="1">
        <v>3314</v>
      </c>
      <c r="L6" s="1">
        <v>3578</v>
      </c>
      <c r="M6" s="1">
        <v>3660</v>
      </c>
      <c r="N6" s="1">
        <v>3656</v>
      </c>
      <c r="O6" s="1">
        <v>3519</v>
      </c>
      <c r="P6" s="1">
        <v>3594</v>
      </c>
      <c r="Q6" s="1">
        <v>3607</v>
      </c>
      <c r="R6" s="1">
        <v>3702</v>
      </c>
      <c r="S6" s="1">
        <v>3923</v>
      </c>
      <c r="T6" s="1">
        <v>3955</v>
      </c>
      <c r="U6" s="1">
        <v>3819</v>
      </c>
      <c r="V6" s="1">
        <v>4222</v>
      </c>
      <c r="W6" s="1">
        <v>4598</v>
      </c>
      <c r="X6" s="1">
        <v>4538</v>
      </c>
      <c r="Y6" s="1">
        <v>4210</v>
      </c>
      <c r="Z6" s="1">
        <v>4367</v>
      </c>
    </row>
    <row r="7" spans="1:27" x14ac:dyDescent="0.25">
      <c r="A7" t="s">
        <v>6</v>
      </c>
      <c r="B7">
        <v>4761</v>
      </c>
      <c r="C7">
        <v>4774</v>
      </c>
      <c r="D7" s="1">
        <v>4767</v>
      </c>
      <c r="E7" s="1">
        <v>4614</v>
      </c>
      <c r="F7" s="1">
        <v>4620</v>
      </c>
      <c r="G7" s="1">
        <v>4844</v>
      </c>
      <c r="H7" s="1">
        <v>5212</v>
      </c>
      <c r="I7" s="1">
        <v>5191</v>
      </c>
      <c r="J7" s="1">
        <v>5276</v>
      </c>
      <c r="K7" s="1">
        <v>5497</v>
      </c>
      <c r="L7" s="1">
        <v>5555</v>
      </c>
      <c r="M7" s="1">
        <v>5207</v>
      </c>
      <c r="N7" s="1">
        <v>5243</v>
      </c>
      <c r="O7" s="1">
        <v>5713</v>
      </c>
      <c r="P7" s="1">
        <v>5993</v>
      </c>
      <c r="Q7" s="1">
        <v>6147</v>
      </c>
      <c r="R7" s="1">
        <v>6195</v>
      </c>
      <c r="S7" s="1">
        <v>6386</v>
      </c>
      <c r="T7" s="1">
        <v>6224</v>
      </c>
      <c r="U7" s="1">
        <v>6104</v>
      </c>
      <c r="V7" s="1">
        <v>6572</v>
      </c>
      <c r="W7" s="1">
        <v>6754</v>
      </c>
      <c r="X7" s="1">
        <v>6686</v>
      </c>
      <c r="Y7" s="1">
        <v>6805</v>
      </c>
      <c r="Z7" s="1">
        <v>6833</v>
      </c>
    </row>
    <row r="8" spans="1:27" x14ac:dyDescent="0.25">
      <c r="A8" t="s">
        <v>7</v>
      </c>
      <c r="B8">
        <v>3172</v>
      </c>
      <c r="C8">
        <v>2936</v>
      </c>
      <c r="D8" s="1">
        <v>3156</v>
      </c>
      <c r="E8" s="1">
        <v>3075</v>
      </c>
      <c r="F8" s="1">
        <v>3173</v>
      </c>
      <c r="G8" s="1">
        <v>3122</v>
      </c>
      <c r="H8" s="1">
        <v>3372</v>
      </c>
      <c r="I8" s="1">
        <v>3578</v>
      </c>
      <c r="J8" s="1">
        <v>3379</v>
      </c>
      <c r="K8" s="1">
        <v>3453</v>
      </c>
      <c r="L8" s="1">
        <v>3423</v>
      </c>
      <c r="M8" s="1">
        <v>3465</v>
      </c>
      <c r="N8" s="1">
        <v>3589</v>
      </c>
      <c r="O8" s="1">
        <v>3746</v>
      </c>
      <c r="P8" s="1">
        <v>3968</v>
      </c>
      <c r="Q8" s="1">
        <v>3772</v>
      </c>
      <c r="R8" s="1">
        <v>3947</v>
      </c>
      <c r="S8" s="1">
        <v>4108</v>
      </c>
      <c r="T8" s="1">
        <v>3997</v>
      </c>
      <c r="U8" s="1">
        <v>4029</v>
      </c>
      <c r="V8" s="1">
        <v>4186</v>
      </c>
      <c r="W8" s="1">
        <v>4338</v>
      </c>
      <c r="X8" s="1">
        <v>4157</v>
      </c>
      <c r="Y8" s="1">
        <v>4535</v>
      </c>
      <c r="Z8" s="1">
        <v>4489</v>
      </c>
    </row>
    <row r="9" spans="1:27" x14ac:dyDescent="0.25">
      <c r="A9" t="s">
        <v>8</v>
      </c>
      <c r="B9">
        <v>2101</v>
      </c>
      <c r="C9">
        <v>2100</v>
      </c>
      <c r="D9" s="1">
        <v>1885</v>
      </c>
      <c r="E9" s="1">
        <v>1882</v>
      </c>
      <c r="F9" s="1">
        <v>1944</v>
      </c>
      <c r="G9" s="1">
        <v>1991</v>
      </c>
      <c r="H9" s="1">
        <v>2131</v>
      </c>
      <c r="I9" s="1">
        <v>2183</v>
      </c>
      <c r="J9" s="1">
        <v>2089</v>
      </c>
      <c r="K9" s="1">
        <v>2055</v>
      </c>
      <c r="L9" s="1">
        <v>2106</v>
      </c>
      <c r="M9" s="1">
        <v>2147</v>
      </c>
      <c r="N9" s="1">
        <v>2180</v>
      </c>
      <c r="O9" s="1">
        <v>2097</v>
      </c>
      <c r="P9" s="1">
        <v>2505</v>
      </c>
      <c r="Q9" s="1">
        <v>2863</v>
      </c>
      <c r="R9" s="1">
        <v>2677</v>
      </c>
      <c r="S9" s="1">
        <v>2629</v>
      </c>
      <c r="T9" s="1">
        <v>2583</v>
      </c>
      <c r="U9" s="1">
        <v>2634</v>
      </c>
      <c r="V9" s="1">
        <v>2967</v>
      </c>
      <c r="W9" s="1">
        <v>3077</v>
      </c>
      <c r="X9" s="1">
        <v>2905</v>
      </c>
      <c r="Y9" s="1">
        <v>2764</v>
      </c>
      <c r="Z9" s="1">
        <v>3068</v>
      </c>
    </row>
    <row r="10" spans="1:27" x14ac:dyDescent="0.25">
      <c r="A10" t="s">
        <v>9</v>
      </c>
      <c r="B10">
        <v>12562</v>
      </c>
      <c r="C10">
        <v>12096</v>
      </c>
      <c r="D10" s="1">
        <v>11337</v>
      </c>
      <c r="E10" s="1">
        <v>11154</v>
      </c>
      <c r="F10" s="1">
        <v>11525</v>
      </c>
      <c r="G10" s="1">
        <v>12035</v>
      </c>
      <c r="H10" s="1">
        <v>12269</v>
      </c>
      <c r="I10" s="1">
        <v>11951</v>
      </c>
      <c r="J10" s="1">
        <v>11926</v>
      </c>
      <c r="K10" s="1">
        <v>11683</v>
      </c>
      <c r="L10" s="1">
        <v>11952</v>
      </c>
      <c r="M10" s="1">
        <v>12707</v>
      </c>
      <c r="N10" s="1">
        <v>12311</v>
      </c>
      <c r="O10" s="1">
        <v>12705</v>
      </c>
      <c r="P10" s="1">
        <v>13336</v>
      </c>
      <c r="Q10" s="1">
        <v>12932</v>
      </c>
      <c r="R10" s="1">
        <v>12676</v>
      </c>
      <c r="S10" s="1">
        <v>12921</v>
      </c>
      <c r="T10" s="1">
        <v>12833</v>
      </c>
      <c r="U10" s="1">
        <v>12508</v>
      </c>
      <c r="V10" s="1">
        <v>13327</v>
      </c>
      <c r="W10" s="1">
        <v>14055</v>
      </c>
      <c r="X10" s="1">
        <v>14272</v>
      </c>
      <c r="Y10" s="1">
        <v>14693</v>
      </c>
      <c r="Z10" s="1">
        <v>14673</v>
      </c>
    </row>
    <row r="11" spans="1:27" x14ac:dyDescent="0.25">
      <c r="A11" t="s">
        <v>10</v>
      </c>
      <c r="B11">
        <v>4044</v>
      </c>
      <c r="C11">
        <v>3781</v>
      </c>
      <c r="D11" s="1">
        <v>3869</v>
      </c>
      <c r="E11" s="1">
        <v>3791</v>
      </c>
      <c r="F11" s="1">
        <v>3758</v>
      </c>
      <c r="G11" s="1">
        <v>3846</v>
      </c>
      <c r="H11" s="1">
        <v>3918</v>
      </c>
      <c r="I11" s="1">
        <v>3989</v>
      </c>
      <c r="J11" s="1">
        <v>3899</v>
      </c>
      <c r="K11" s="1">
        <v>3881</v>
      </c>
      <c r="L11" s="1">
        <v>4070</v>
      </c>
      <c r="M11" s="1">
        <v>4254</v>
      </c>
      <c r="N11" s="1">
        <v>4170</v>
      </c>
      <c r="O11" s="1">
        <v>4256</v>
      </c>
      <c r="P11" s="1">
        <v>4553</v>
      </c>
      <c r="Q11" s="1">
        <v>4601</v>
      </c>
      <c r="R11" s="1">
        <v>4839</v>
      </c>
      <c r="S11" s="1">
        <v>5593</v>
      </c>
      <c r="T11" s="1">
        <v>5228</v>
      </c>
      <c r="U11" s="1">
        <v>5077</v>
      </c>
      <c r="V11" s="1">
        <v>4929</v>
      </c>
      <c r="W11" s="1">
        <v>5338</v>
      </c>
      <c r="X11" s="1">
        <v>5571</v>
      </c>
      <c r="Y11" s="1">
        <v>5530</v>
      </c>
      <c r="Z11" s="1">
        <v>5542</v>
      </c>
    </row>
    <row r="12" spans="1:27" x14ac:dyDescent="0.25">
      <c r="A12" t="s">
        <v>11</v>
      </c>
      <c r="B12">
        <v>3628</v>
      </c>
      <c r="C12">
        <v>3907</v>
      </c>
      <c r="D12" s="1">
        <v>3491</v>
      </c>
      <c r="E12" s="1">
        <v>3501</v>
      </c>
      <c r="F12" s="1">
        <v>3512</v>
      </c>
      <c r="G12" s="1">
        <v>3489</v>
      </c>
      <c r="H12" s="1">
        <v>3611</v>
      </c>
      <c r="I12" s="1">
        <v>3449</v>
      </c>
      <c r="J12" s="1">
        <v>3573</v>
      </c>
      <c r="K12" s="1">
        <v>3449</v>
      </c>
      <c r="L12" s="1">
        <v>3544</v>
      </c>
      <c r="M12" s="1">
        <v>3692</v>
      </c>
      <c r="N12" s="1">
        <v>3938</v>
      </c>
      <c r="O12" s="1">
        <v>4043</v>
      </c>
      <c r="P12" s="1">
        <v>3967</v>
      </c>
      <c r="Q12" s="1">
        <v>4201</v>
      </c>
      <c r="R12" s="1">
        <v>4325</v>
      </c>
      <c r="S12" s="1">
        <v>4767</v>
      </c>
      <c r="T12" s="1">
        <v>4715</v>
      </c>
      <c r="U12" s="1">
        <v>4717</v>
      </c>
      <c r="V12" s="1">
        <v>4951</v>
      </c>
      <c r="W12" s="1">
        <v>5215</v>
      </c>
      <c r="X12" s="1">
        <v>5446</v>
      </c>
      <c r="Y12" s="1">
        <v>4877</v>
      </c>
      <c r="Z12" s="1">
        <v>5063</v>
      </c>
    </row>
    <row r="13" spans="1:27" x14ac:dyDescent="0.25">
      <c r="A13" t="s">
        <v>12</v>
      </c>
      <c r="B13">
        <v>4142</v>
      </c>
      <c r="C13">
        <v>3910</v>
      </c>
      <c r="D13" s="1">
        <v>4529</v>
      </c>
      <c r="E13" s="1">
        <v>4377</v>
      </c>
      <c r="F13" s="1">
        <v>4384</v>
      </c>
      <c r="G13" s="1">
        <v>4640</v>
      </c>
      <c r="H13" s="1">
        <v>4030</v>
      </c>
      <c r="I13" s="1">
        <v>4280</v>
      </c>
      <c r="J13" s="1">
        <v>4209</v>
      </c>
      <c r="K13" s="1">
        <v>4286</v>
      </c>
      <c r="L13" s="1">
        <v>4518</v>
      </c>
      <c r="M13" s="1">
        <v>4287</v>
      </c>
      <c r="N13" s="1">
        <v>4265</v>
      </c>
      <c r="O13" s="1">
        <v>4096</v>
      </c>
      <c r="P13" s="1">
        <v>4419</v>
      </c>
      <c r="Q13" s="1">
        <v>4454</v>
      </c>
      <c r="R13" s="1">
        <v>4688</v>
      </c>
      <c r="S13" s="1">
        <v>4616</v>
      </c>
      <c r="T13" s="1">
        <v>4802</v>
      </c>
      <c r="U13" s="1">
        <v>4721</v>
      </c>
      <c r="V13" s="1">
        <v>4879</v>
      </c>
      <c r="W13" s="1">
        <v>4705</v>
      </c>
      <c r="X13" s="1">
        <v>4862</v>
      </c>
      <c r="Y13" s="1">
        <v>4775</v>
      </c>
      <c r="Z13" s="1">
        <v>4957</v>
      </c>
    </row>
    <row r="14" spans="1:27" x14ac:dyDescent="0.25">
      <c r="A14" t="s">
        <v>21</v>
      </c>
      <c r="B14">
        <v>9853</v>
      </c>
      <c r="C14">
        <v>10307</v>
      </c>
      <c r="D14">
        <v>9851</v>
      </c>
      <c r="E14">
        <v>9903</v>
      </c>
      <c r="F14">
        <v>9992</v>
      </c>
      <c r="G14">
        <v>9941</v>
      </c>
      <c r="H14">
        <v>10533</v>
      </c>
      <c r="I14">
        <v>11135</v>
      </c>
      <c r="J14">
        <v>10728</v>
      </c>
      <c r="K14">
        <v>10628</v>
      </c>
      <c r="L14">
        <v>10928</v>
      </c>
      <c r="M14">
        <v>11120</v>
      </c>
      <c r="N14">
        <v>11407</v>
      </c>
      <c r="O14">
        <v>11547</v>
      </c>
      <c r="P14">
        <v>11831</v>
      </c>
      <c r="Q14">
        <v>11551</v>
      </c>
      <c r="R14">
        <v>11824</v>
      </c>
      <c r="S14">
        <v>12481</v>
      </c>
      <c r="T14">
        <v>11752</v>
      </c>
      <c r="U14">
        <v>11701</v>
      </c>
      <c r="V14">
        <v>12421</v>
      </c>
      <c r="W14">
        <v>12990</v>
      </c>
      <c r="X14">
        <v>13051</v>
      </c>
      <c r="Y14">
        <v>12331</v>
      </c>
      <c r="Z14">
        <v>11898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t="s">
        <v>16</v>
      </c>
      <c r="B16" s="1">
        <f t="shared" ref="B16:Z16" si="0">SUM(B2:B13)</f>
        <v>70521</v>
      </c>
      <c r="C16" s="1">
        <f t="shared" si="0"/>
        <v>68052</v>
      </c>
      <c r="D16" s="1">
        <f t="shared" si="0"/>
        <v>65353</v>
      </c>
      <c r="E16" s="1">
        <f t="shared" si="0"/>
        <v>64472</v>
      </c>
      <c r="F16" s="1">
        <f t="shared" si="0"/>
        <v>66039</v>
      </c>
      <c r="G16" s="1">
        <f t="shared" si="0"/>
        <v>69326</v>
      </c>
      <c r="H16" s="1">
        <f t="shared" si="0"/>
        <v>71821</v>
      </c>
      <c r="I16" s="1">
        <f t="shared" si="0"/>
        <v>73377</v>
      </c>
      <c r="J16" s="1">
        <f t="shared" si="0"/>
        <v>72211</v>
      </c>
      <c r="K16" s="1">
        <f t="shared" si="0"/>
        <v>72425</v>
      </c>
      <c r="L16" s="1">
        <f t="shared" si="0"/>
        <v>74709</v>
      </c>
      <c r="M16" s="1">
        <f t="shared" si="0"/>
        <v>75621</v>
      </c>
      <c r="N16" s="1">
        <f t="shared" si="0"/>
        <v>76081</v>
      </c>
      <c r="O16" s="1">
        <f t="shared" si="0"/>
        <v>77223</v>
      </c>
      <c r="P16" s="1">
        <f t="shared" si="0"/>
        <v>80618</v>
      </c>
      <c r="Q16" s="1">
        <f t="shared" si="0"/>
        <v>80797</v>
      </c>
      <c r="R16" s="1">
        <f t="shared" si="0"/>
        <v>82277</v>
      </c>
      <c r="S16" s="1">
        <f t="shared" si="0"/>
        <v>87335</v>
      </c>
      <c r="T16" s="1">
        <f t="shared" si="0"/>
        <v>84248</v>
      </c>
      <c r="U16" s="1">
        <f t="shared" si="0"/>
        <v>83279</v>
      </c>
      <c r="V16" s="1">
        <f t="shared" si="0"/>
        <v>86886</v>
      </c>
      <c r="W16" s="1">
        <f t="shared" si="0"/>
        <v>90372</v>
      </c>
      <c r="X16" s="1">
        <f t="shared" si="0"/>
        <v>91440</v>
      </c>
      <c r="Y16" s="1">
        <f t="shared" si="0"/>
        <v>89830</v>
      </c>
      <c r="Z16" s="1">
        <f t="shared" si="0"/>
        <v>89749</v>
      </c>
    </row>
    <row r="17" spans="1:26" x14ac:dyDescent="0.25">
      <c r="A17" t="s">
        <v>17</v>
      </c>
      <c r="B17" s="1">
        <f t="shared" ref="B17:Z17" si="1">SUM(B2+B7+B10)</f>
        <v>35359</v>
      </c>
      <c r="C17" s="1">
        <f t="shared" si="1"/>
        <v>33161</v>
      </c>
      <c r="D17" s="1">
        <f t="shared" si="1"/>
        <v>30970</v>
      </c>
      <c r="E17" s="1">
        <f t="shared" si="1"/>
        <v>30571</v>
      </c>
      <c r="F17" s="1">
        <f t="shared" si="1"/>
        <v>31549</v>
      </c>
      <c r="G17" s="1">
        <f t="shared" si="1"/>
        <v>33815</v>
      </c>
      <c r="H17" s="1">
        <f t="shared" si="1"/>
        <v>35483</v>
      </c>
      <c r="I17" s="1">
        <f t="shared" si="1"/>
        <v>35977</v>
      </c>
      <c r="J17" s="1">
        <f t="shared" si="1"/>
        <v>35765</v>
      </c>
      <c r="K17" s="1">
        <f t="shared" si="1"/>
        <v>35960</v>
      </c>
      <c r="L17" s="1">
        <f t="shared" si="1"/>
        <v>37417</v>
      </c>
      <c r="M17" s="1">
        <f t="shared" si="1"/>
        <v>38102</v>
      </c>
      <c r="N17" s="1">
        <f t="shared" si="1"/>
        <v>37706</v>
      </c>
      <c r="O17" s="1">
        <f t="shared" si="1"/>
        <v>38666</v>
      </c>
      <c r="P17" s="1">
        <f t="shared" si="1"/>
        <v>40178</v>
      </c>
      <c r="Q17" s="1">
        <f t="shared" si="1"/>
        <v>39666</v>
      </c>
      <c r="R17" s="1">
        <f t="shared" si="1"/>
        <v>39745</v>
      </c>
      <c r="S17" s="1">
        <f t="shared" si="1"/>
        <v>42077</v>
      </c>
      <c r="T17" s="1">
        <f t="shared" si="1"/>
        <v>39614</v>
      </c>
      <c r="U17" s="1">
        <f t="shared" si="1"/>
        <v>38460</v>
      </c>
      <c r="V17" s="1">
        <f t="shared" si="1"/>
        <v>40005</v>
      </c>
      <c r="W17" s="1">
        <f t="shared" si="1"/>
        <v>41743</v>
      </c>
      <c r="X17" s="1">
        <f t="shared" si="1"/>
        <v>41969</v>
      </c>
      <c r="Y17" s="1">
        <f t="shared" si="1"/>
        <v>41788</v>
      </c>
      <c r="Z17" s="1">
        <f t="shared" si="1"/>
        <v>41703</v>
      </c>
    </row>
    <row r="18" spans="1:26" x14ac:dyDescent="0.25">
      <c r="A18" t="s">
        <v>13</v>
      </c>
      <c r="B18" s="1">
        <f t="shared" ref="B18:Z18" si="2">SUM(B2+B3+B7+B10)</f>
        <v>42892</v>
      </c>
      <c r="C18" s="1">
        <f t="shared" si="2"/>
        <v>40585</v>
      </c>
      <c r="D18" s="1">
        <f t="shared" si="2"/>
        <v>38018</v>
      </c>
      <c r="E18" s="1">
        <f t="shared" si="2"/>
        <v>37219</v>
      </c>
      <c r="F18" s="1">
        <f t="shared" si="2"/>
        <v>38613</v>
      </c>
      <c r="G18" s="1">
        <f t="shared" si="2"/>
        <v>41232</v>
      </c>
      <c r="H18" s="1">
        <f t="shared" si="2"/>
        <v>43081</v>
      </c>
      <c r="I18" s="1">
        <f t="shared" si="2"/>
        <v>43607</v>
      </c>
      <c r="J18" s="1">
        <f t="shared" si="2"/>
        <v>43482</v>
      </c>
      <c r="K18" s="1">
        <f t="shared" si="2"/>
        <v>43873</v>
      </c>
      <c r="L18" s="1">
        <f t="shared" si="2"/>
        <v>45219</v>
      </c>
      <c r="M18" s="1">
        <f t="shared" si="2"/>
        <v>45785</v>
      </c>
      <c r="N18" s="1">
        <f t="shared" si="2"/>
        <v>45730</v>
      </c>
      <c r="O18" s="1">
        <f t="shared" si="2"/>
        <v>46990</v>
      </c>
      <c r="P18" s="1">
        <f t="shared" si="2"/>
        <v>48820</v>
      </c>
      <c r="Q18" s="1">
        <f t="shared" si="2"/>
        <v>48774</v>
      </c>
      <c r="R18" s="1">
        <f t="shared" si="2"/>
        <v>49280</v>
      </c>
      <c r="S18" s="1">
        <f t="shared" si="2"/>
        <v>52417</v>
      </c>
      <c r="T18" s="1">
        <f t="shared" si="2"/>
        <v>50165</v>
      </c>
      <c r="U18" s="1">
        <f t="shared" si="2"/>
        <v>49412</v>
      </c>
      <c r="V18" s="1">
        <f t="shared" si="2"/>
        <v>51110</v>
      </c>
      <c r="W18" s="1">
        <f t="shared" si="2"/>
        <v>53174</v>
      </c>
      <c r="X18" s="1">
        <f t="shared" si="2"/>
        <v>53867</v>
      </c>
      <c r="Y18" s="1">
        <f t="shared" si="2"/>
        <v>53512</v>
      </c>
      <c r="Z18" s="1">
        <f t="shared" si="2"/>
        <v>52931</v>
      </c>
    </row>
    <row r="19" spans="1:26" x14ac:dyDescent="0.25">
      <c r="A19" t="s">
        <v>14</v>
      </c>
      <c r="B19" s="1">
        <f t="shared" ref="B19:Z19" si="3">+B4+B5+B6+B8+B9+B11+B12+B13</f>
        <v>27629</v>
      </c>
      <c r="C19" s="1">
        <f t="shared" si="3"/>
        <v>27467</v>
      </c>
      <c r="D19" s="1">
        <f t="shared" si="3"/>
        <v>27335</v>
      </c>
      <c r="E19" s="1">
        <f t="shared" si="3"/>
        <v>27253</v>
      </c>
      <c r="F19" s="1">
        <f t="shared" si="3"/>
        <v>27426</v>
      </c>
      <c r="G19" s="1">
        <f t="shared" si="3"/>
        <v>28094</v>
      </c>
      <c r="H19" s="1">
        <f t="shared" si="3"/>
        <v>28740</v>
      </c>
      <c r="I19" s="1">
        <f t="shared" si="3"/>
        <v>29770</v>
      </c>
      <c r="J19" s="1">
        <f t="shared" si="3"/>
        <v>28729</v>
      </c>
      <c r="K19" s="1">
        <f t="shared" si="3"/>
        <v>28552</v>
      </c>
      <c r="L19" s="1">
        <f t="shared" si="3"/>
        <v>29490</v>
      </c>
      <c r="M19" s="1">
        <f t="shared" si="3"/>
        <v>29836</v>
      </c>
      <c r="N19" s="1">
        <f t="shared" si="3"/>
        <v>30351</v>
      </c>
      <c r="O19" s="1">
        <f t="shared" si="3"/>
        <v>30233</v>
      </c>
      <c r="P19" s="1">
        <f t="shared" si="3"/>
        <v>31798</v>
      </c>
      <c r="Q19" s="1">
        <f t="shared" si="3"/>
        <v>32023</v>
      </c>
      <c r="R19" s="1">
        <f t="shared" si="3"/>
        <v>32997</v>
      </c>
      <c r="S19" s="1">
        <f t="shared" si="3"/>
        <v>34918</v>
      </c>
      <c r="T19" s="1">
        <f t="shared" si="3"/>
        <v>34083</v>
      </c>
      <c r="U19" s="1">
        <f t="shared" si="3"/>
        <v>33867</v>
      </c>
      <c r="V19" s="1">
        <f t="shared" si="3"/>
        <v>35776</v>
      </c>
      <c r="W19" s="1">
        <f t="shared" si="3"/>
        <v>37198</v>
      </c>
      <c r="X19" s="1">
        <f t="shared" si="3"/>
        <v>37573</v>
      </c>
      <c r="Y19" s="1">
        <f t="shared" si="3"/>
        <v>36318</v>
      </c>
      <c r="Z19" s="1">
        <f t="shared" si="3"/>
        <v>36818</v>
      </c>
    </row>
    <row r="20" spans="1:26" x14ac:dyDescent="0.25">
      <c r="A20" t="s">
        <v>20</v>
      </c>
      <c r="B20" s="1">
        <f t="shared" ref="B20:Z20" si="4">+B6+B8+B9+B11+B12+B13</f>
        <v>20361</v>
      </c>
      <c r="C20" s="1">
        <f t="shared" si="4"/>
        <v>19844</v>
      </c>
      <c r="D20" s="1">
        <f t="shared" si="4"/>
        <v>20009</v>
      </c>
      <c r="E20" s="1">
        <f t="shared" si="4"/>
        <v>19772</v>
      </c>
      <c r="F20" s="1">
        <f t="shared" si="4"/>
        <v>19913</v>
      </c>
      <c r="G20" s="1">
        <f t="shared" si="4"/>
        <v>20674</v>
      </c>
      <c r="H20" s="1">
        <f t="shared" si="4"/>
        <v>20806</v>
      </c>
      <c r="I20" s="1">
        <f t="shared" si="4"/>
        <v>21293</v>
      </c>
      <c r="J20" s="1">
        <f t="shared" si="4"/>
        <v>20538</v>
      </c>
      <c r="K20" s="1">
        <f t="shared" si="4"/>
        <v>20438</v>
      </c>
      <c r="L20" s="1">
        <f t="shared" si="4"/>
        <v>21239</v>
      </c>
      <c r="M20" s="1">
        <f t="shared" si="4"/>
        <v>21505</v>
      </c>
      <c r="N20" s="1">
        <f t="shared" si="4"/>
        <v>21798</v>
      </c>
      <c r="O20" s="1">
        <f t="shared" si="4"/>
        <v>21757</v>
      </c>
      <c r="P20" s="1">
        <f t="shared" si="4"/>
        <v>23006</v>
      </c>
      <c r="Q20" s="1">
        <f t="shared" si="4"/>
        <v>23498</v>
      </c>
      <c r="R20" s="1">
        <f t="shared" si="4"/>
        <v>24178</v>
      </c>
      <c r="S20" s="1">
        <f t="shared" si="4"/>
        <v>25636</v>
      </c>
      <c r="T20" s="1">
        <f t="shared" si="4"/>
        <v>25280</v>
      </c>
      <c r="U20" s="1">
        <f t="shared" si="4"/>
        <v>24997</v>
      </c>
      <c r="V20" s="1">
        <f t="shared" si="4"/>
        <v>26134</v>
      </c>
      <c r="W20" s="1">
        <f t="shared" si="4"/>
        <v>27271</v>
      </c>
      <c r="X20" s="1">
        <f t="shared" si="4"/>
        <v>27479</v>
      </c>
      <c r="Y20" s="1">
        <f t="shared" si="4"/>
        <v>26691</v>
      </c>
      <c r="Z20" s="1">
        <f t="shared" si="4"/>
        <v>27486</v>
      </c>
    </row>
    <row r="21" spans="1:26" x14ac:dyDescent="0.25">
      <c r="A21" t="s">
        <v>34</v>
      </c>
      <c r="B21" s="1">
        <f t="shared" ref="B21:Z21" si="5">+B20+B5</f>
        <v>22921</v>
      </c>
      <c r="C21" s="1">
        <f t="shared" si="5"/>
        <v>22626</v>
      </c>
      <c r="D21" s="1">
        <f t="shared" si="5"/>
        <v>22656</v>
      </c>
      <c r="E21" s="1">
        <f t="shared" si="5"/>
        <v>22511</v>
      </c>
      <c r="F21" s="1">
        <f t="shared" si="5"/>
        <v>22678</v>
      </c>
      <c r="G21" s="1">
        <f t="shared" si="5"/>
        <v>23290</v>
      </c>
      <c r="H21" s="1">
        <f t="shared" si="5"/>
        <v>23702</v>
      </c>
      <c r="I21" s="1">
        <f t="shared" si="5"/>
        <v>24352</v>
      </c>
      <c r="J21" s="1">
        <f t="shared" si="5"/>
        <v>23679</v>
      </c>
      <c r="K21" s="1">
        <f t="shared" si="5"/>
        <v>23377</v>
      </c>
      <c r="L21" s="1">
        <f t="shared" si="5"/>
        <v>24165</v>
      </c>
      <c r="M21" s="1">
        <f t="shared" si="5"/>
        <v>24523</v>
      </c>
      <c r="N21" s="1">
        <f t="shared" si="5"/>
        <v>25121</v>
      </c>
      <c r="O21" s="1">
        <f t="shared" si="5"/>
        <v>25101</v>
      </c>
      <c r="P21" s="1">
        <f t="shared" si="5"/>
        <v>26353</v>
      </c>
      <c r="Q21" s="1">
        <f t="shared" si="5"/>
        <v>26834</v>
      </c>
      <c r="R21" s="1">
        <f t="shared" si="5"/>
        <v>27372</v>
      </c>
      <c r="S21" s="1">
        <f t="shared" si="5"/>
        <v>29179</v>
      </c>
      <c r="T21" s="1">
        <f t="shared" si="5"/>
        <v>28408</v>
      </c>
      <c r="U21" s="1">
        <f t="shared" si="5"/>
        <v>28427</v>
      </c>
      <c r="V21" s="1">
        <f t="shared" si="5"/>
        <v>29533</v>
      </c>
      <c r="W21" s="1">
        <f t="shared" si="5"/>
        <v>31015</v>
      </c>
      <c r="X21" s="1">
        <f t="shared" si="5"/>
        <v>31202</v>
      </c>
      <c r="Y21" s="1">
        <f t="shared" si="5"/>
        <v>30103</v>
      </c>
      <c r="Z21" s="1">
        <f t="shared" si="5"/>
        <v>30722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7268</v>
      </c>
      <c r="C23" s="1">
        <f t="shared" si="6"/>
        <v>7623</v>
      </c>
      <c r="D23" s="1">
        <f t="shared" si="6"/>
        <v>7326</v>
      </c>
      <c r="E23" s="1">
        <f t="shared" si="6"/>
        <v>7481</v>
      </c>
      <c r="F23" s="1">
        <f t="shared" si="6"/>
        <v>7513</v>
      </c>
      <c r="G23" s="1">
        <f t="shared" si="6"/>
        <v>7420</v>
      </c>
      <c r="H23" s="1">
        <f t="shared" si="6"/>
        <v>7934</v>
      </c>
      <c r="I23" s="1">
        <f t="shared" si="6"/>
        <v>8477</v>
      </c>
      <c r="J23" s="1">
        <f t="shared" si="6"/>
        <v>8191</v>
      </c>
      <c r="K23" s="1">
        <f t="shared" si="6"/>
        <v>8114</v>
      </c>
      <c r="L23" s="1">
        <f t="shared" si="6"/>
        <v>8251</v>
      </c>
      <c r="M23" s="1">
        <f t="shared" si="6"/>
        <v>8331</v>
      </c>
      <c r="N23" s="1">
        <f t="shared" si="6"/>
        <v>8553</v>
      </c>
      <c r="O23" s="1">
        <f t="shared" si="6"/>
        <v>8476</v>
      </c>
      <c r="P23" s="1">
        <f t="shared" si="6"/>
        <v>8792</v>
      </c>
      <c r="Q23" s="1">
        <f t="shared" si="6"/>
        <v>8525</v>
      </c>
      <c r="R23" s="1">
        <f t="shared" si="6"/>
        <v>8819</v>
      </c>
      <c r="S23" s="1">
        <f t="shared" si="6"/>
        <v>9282</v>
      </c>
      <c r="T23" s="1">
        <f t="shared" si="6"/>
        <v>8803</v>
      </c>
      <c r="U23" s="1">
        <f t="shared" si="6"/>
        <v>8870</v>
      </c>
      <c r="V23" s="1">
        <f t="shared" si="6"/>
        <v>9642</v>
      </c>
      <c r="W23" s="1">
        <f t="shared" si="6"/>
        <v>9927</v>
      </c>
      <c r="X23" s="1">
        <f t="shared" si="6"/>
        <v>10094</v>
      </c>
      <c r="Y23" s="1">
        <f t="shared" si="6"/>
        <v>9627</v>
      </c>
      <c r="Z23" s="1">
        <f t="shared" si="6"/>
        <v>9332</v>
      </c>
    </row>
    <row r="24" spans="1:26" x14ac:dyDescent="0.25">
      <c r="A24" t="s">
        <v>35</v>
      </c>
      <c r="B24" s="1">
        <f t="shared" ref="B24:Z24" si="7">SUM(B14-B4)</f>
        <v>5145</v>
      </c>
      <c r="C24" s="1">
        <f t="shared" si="7"/>
        <v>5466</v>
      </c>
      <c r="D24" s="1">
        <f t="shared" si="7"/>
        <v>5172</v>
      </c>
      <c r="E24" s="1">
        <f t="shared" si="7"/>
        <v>5161</v>
      </c>
      <c r="F24" s="1">
        <f t="shared" si="7"/>
        <v>5244</v>
      </c>
      <c r="G24" s="1">
        <f t="shared" si="7"/>
        <v>5137</v>
      </c>
      <c r="H24" s="1">
        <f t="shared" si="7"/>
        <v>5495</v>
      </c>
      <c r="I24" s="1">
        <f t="shared" si="7"/>
        <v>5717</v>
      </c>
      <c r="J24" s="1">
        <f t="shared" si="7"/>
        <v>5678</v>
      </c>
      <c r="K24" s="1">
        <f t="shared" si="7"/>
        <v>5453</v>
      </c>
      <c r="L24" s="1">
        <f t="shared" si="7"/>
        <v>5603</v>
      </c>
      <c r="M24" s="1">
        <f t="shared" si="7"/>
        <v>5807</v>
      </c>
      <c r="N24" s="1">
        <f t="shared" si="7"/>
        <v>6177</v>
      </c>
      <c r="O24" s="1">
        <f t="shared" si="7"/>
        <v>6415</v>
      </c>
      <c r="P24" s="1">
        <f t="shared" si="7"/>
        <v>6386</v>
      </c>
      <c r="Q24" s="1">
        <f t="shared" si="7"/>
        <v>6362</v>
      </c>
      <c r="R24" s="1">
        <f t="shared" si="7"/>
        <v>6199</v>
      </c>
      <c r="S24" s="1">
        <f t="shared" si="7"/>
        <v>6742</v>
      </c>
      <c r="T24" s="1">
        <f t="shared" si="7"/>
        <v>6077</v>
      </c>
      <c r="U24" s="1">
        <f t="shared" si="7"/>
        <v>6261</v>
      </c>
      <c r="V24" s="1">
        <f t="shared" si="7"/>
        <v>6178</v>
      </c>
      <c r="W24" s="1">
        <f t="shared" si="7"/>
        <v>6807</v>
      </c>
      <c r="X24" s="1">
        <f t="shared" si="7"/>
        <v>6680</v>
      </c>
      <c r="Y24" s="1">
        <f t="shared" si="7"/>
        <v>6116</v>
      </c>
      <c r="Z24" s="1">
        <f t="shared" si="7"/>
        <v>5802</v>
      </c>
    </row>
    <row r="25" spans="1:26" x14ac:dyDescent="0.25">
      <c r="A25" t="s">
        <v>36</v>
      </c>
      <c r="B25" s="1">
        <f t="shared" ref="B25:Z25" si="8">SUM(B14-B5)</f>
        <v>7293</v>
      </c>
      <c r="C25" s="1">
        <f t="shared" si="8"/>
        <v>7525</v>
      </c>
      <c r="D25" s="1">
        <f t="shared" si="8"/>
        <v>7204</v>
      </c>
      <c r="E25" s="1">
        <f t="shared" si="8"/>
        <v>7164</v>
      </c>
      <c r="F25" s="1">
        <f t="shared" si="8"/>
        <v>7227</v>
      </c>
      <c r="G25" s="1">
        <f t="shared" si="8"/>
        <v>7325</v>
      </c>
      <c r="H25" s="1">
        <f t="shared" si="8"/>
        <v>7637</v>
      </c>
      <c r="I25" s="1">
        <f t="shared" si="8"/>
        <v>8076</v>
      </c>
      <c r="J25" s="1">
        <f t="shared" si="8"/>
        <v>7587</v>
      </c>
      <c r="K25" s="1">
        <f t="shared" si="8"/>
        <v>7689</v>
      </c>
      <c r="L25" s="1">
        <f t="shared" si="8"/>
        <v>8002</v>
      </c>
      <c r="M25" s="1">
        <f t="shared" si="8"/>
        <v>8102</v>
      </c>
      <c r="N25" s="1">
        <f t="shared" si="8"/>
        <v>8084</v>
      </c>
      <c r="O25" s="1">
        <f t="shared" si="8"/>
        <v>8203</v>
      </c>
      <c r="P25" s="1">
        <f t="shared" si="8"/>
        <v>8484</v>
      </c>
      <c r="Q25" s="1">
        <f t="shared" si="8"/>
        <v>8215</v>
      </c>
      <c r="R25" s="1">
        <f t="shared" si="8"/>
        <v>8630</v>
      </c>
      <c r="S25" s="1">
        <f t="shared" si="8"/>
        <v>8938</v>
      </c>
      <c r="T25" s="1">
        <f t="shared" si="8"/>
        <v>8624</v>
      </c>
      <c r="U25" s="1">
        <f t="shared" si="8"/>
        <v>8271</v>
      </c>
      <c r="V25" s="1">
        <f t="shared" si="8"/>
        <v>9022</v>
      </c>
      <c r="W25" s="1">
        <f t="shared" si="8"/>
        <v>9246</v>
      </c>
      <c r="X25" s="1">
        <f t="shared" si="8"/>
        <v>9328</v>
      </c>
      <c r="Y25" s="1">
        <f t="shared" si="8"/>
        <v>8919</v>
      </c>
      <c r="Z25" s="1">
        <f t="shared" si="8"/>
        <v>8662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0FC9-9B2A-4D3F-ADC1-A3B1EF0E639B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>
        <v>4088</v>
      </c>
      <c r="E2" s="1">
        <v>4159</v>
      </c>
      <c r="F2" s="1">
        <v>4329</v>
      </c>
      <c r="G2" s="1">
        <v>4751</v>
      </c>
      <c r="H2" s="1">
        <v>5035</v>
      </c>
      <c r="I2" s="1">
        <v>5205</v>
      </c>
      <c r="J2" s="1">
        <v>5196</v>
      </c>
      <c r="K2" s="1">
        <v>5257</v>
      </c>
      <c r="L2" s="1">
        <v>5643</v>
      </c>
      <c r="M2" s="1">
        <v>5909</v>
      </c>
      <c r="N2" s="1">
        <v>5797</v>
      </c>
      <c r="O2" s="1">
        <v>5818</v>
      </c>
      <c r="P2" s="1">
        <v>5944</v>
      </c>
      <c r="Q2" s="1">
        <v>6020</v>
      </c>
      <c r="R2" s="1">
        <v>5976</v>
      </c>
      <c r="S2" s="1">
        <v>6774</v>
      </c>
      <c r="T2" s="1">
        <v>6127</v>
      </c>
      <c r="U2" s="1">
        <v>6196</v>
      </c>
      <c r="V2" s="1">
        <v>6209</v>
      </c>
      <c r="W2" s="1">
        <v>6506</v>
      </c>
      <c r="X2" s="1">
        <v>6628</v>
      </c>
      <c r="Y2" s="1">
        <v>6346</v>
      </c>
      <c r="Z2" s="1">
        <v>6314</v>
      </c>
    </row>
    <row r="3" spans="1:27" x14ac:dyDescent="0.25">
      <c r="A3" t="s">
        <v>2</v>
      </c>
      <c r="D3" s="1">
        <v>1560</v>
      </c>
      <c r="E3" s="1">
        <v>1302</v>
      </c>
      <c r="F3" s="1">
        <v>1390</v>
      </c>
      <c r="G3" s="1">
        <v>1444</v>
      </c>
      <c r="H3" s="1">
        <v>1522</v>
      </c>
      <c r="I3" s="1">
        <v>1595</v>
      </c>
      <c r="J3" s="1">
        <v>1578</v>
      </c>
      <c r="K3" s="1">
        <v>1575</v>
      </c>
      <c r="L3" s="1">
        <v>1589</v>
      </c>
      <c r="M3" s="1">
        <v>1540</v>
      </c>
      <c r="N3" s="1">
        <v>1611</v>
      </c>
      <c r="O3" s="1">
        <v>1673</v>
      </c>
      <c r="P3" s="1">
        <v>1869</v>
      </c>
      <c r="Q3" s="1">
        <v>2031</v>
      </c>
      <c r="R3" s="1">
        <v>2355</v>
      </c>
      <c r="S3" s="1">
        <v>2631</v>
      </c>
      <c r="T3" s="1">
        <v>2624</v>
      </c>
      <c r="U3" s="1">
        <v>2768</v>
      </c>
      <c r="V3" s="1">
        <v>2647</v>
      </c>
      <c r="W3" s="1">
        <v>2833</v>
      </c>
      <c r="X3" s="1">
        <v>2951</v>
      </c>
      <c r="Y3" s="1">
        <v>2744</v>
      </c>
      <c r="Z3" s="1">
        <v>2563</v>
      </c>
    </row>
    <row r="4" spans="1:27" x14ac:dyDescent="0.25">
      <c r="A4" t="s">
        <v>3</v>
      </c>
      <c r="D4" s="1">
        <v>761</v>
      </c>
      <c r="E4" s="1">
        <v>759</v>
      </c>
      <c r="F4" s="1">
        <v>786</v>
      </c>
      <c r="G4" s="1">
        <v>762</v>
      </c>
      <c r="H4" s="1">
        <v>841</v>
      </c>
      <c r="I4" s="1">
        <v>990</v>
      </c>
      <c r="J4" s="1">
        <v>910</v>
      </c>
      <c r="K4" s="1">
        <v>859</v>
      </c>
      <c r="L4" s="1">
        <v>939</v>
      </c>
      <c r="M4" s="1">
        <v>939</v>
      </c>
      <c r="N4" s="1">
        <v>892</v>
      </c>
      <c r="O4" s="1">
        <v>854</v>
      </c>
      <c r="P4" s="1">
        <v>943</v>
      </c>
      <c r="Q4" s="1">
        <v>912</v>
      </c>
      <c r="R4" s="1">
        <v>1018</v>
      </c>
      <c r="S4" s="1">
        <v>1053</v>
      </c>
      <c r="T4" s="1">
        <v>1088</v>
      </c>
      <c r="U4" s="1">
        <v>982</v>
      </c>
      <c r="V4" s="1">
        <v>1157</v>
      </c>
      <c r="W4" s="1">
        <v>1210</v>
      </c>
      <c r="X4" s="1">
        <v>1268</v>
      </c>
      <c r="Y4" s="1">
        <v>1196</v>
      </c>
      <c r="Z4" s="1">
        <v>1092</v>
      </c>
    </row>
    <row r="5" spans="1:27" x14ac:dyDescent="0.25">
      <c r="A5" t="s">
        <v>4</v>
      </c>
      <c r="D5" s="1">
        <v>667</v>
      </c>
      <c r="E5" s="1">
        <v>686</v>
      </c>
      <c r="F5" s="1">
        <v>663</v>
      </c>
      <c r="G5" s="1">
        <v>627</v>
      </c>
      <c r="H5" s="1">
        <v>734</v>
      </c>
      <c r="I5" s="1">
        <v>808</v>
      </c>
      <c r="J5" s="1">
        <v>827</v>
      </c>
      <c r="K5" s="1">
        <v>714</v>
      </c>
      <c r="L5" s="1">
        <v>773</v>
      </c>
      <c r="M5" s="1">
        <v>779</v>
      </c>
      <c r="N5" s="1">
        <v>845</v>
      </c>
      <c r="O5" s="1">
        <v>884</v>
      </c>
      <c r="P5" s="1">
        <v>959</v>
      </c>
      <c r="Q5" s="1">
        <v>928</v>
      </c>
      <c r="R5" s="1">
        <v>903</v>
      </c>
      <c r="S5" s="1">
        <v>1071</v>
      </c>
      <c r="T5" s="1">
        <v>925</v>
      </c>
      <c r="U5" s="1">
        <v>1061</v>
      </c>
      <c r="V5" s="1">
        <v>1036</v>
      </c>
      <c r="W5" s="1">
        <v>1164</v>
      </c>
      <c r="X5" s="1">
        <v>1242</v>
      </c>
      <c r="Y5" s="1">
        <v>1126</v>
      </c>
      <c r="Z5" s="1">
        <v>1028</v>
      </c>
    </row>
    <row r="6" spans="1:27" x14ac:dyDescent="0.25">
      <c r="A6" t="s">
        <v>5</v>
      </c>
      <c r="D6" s="1">
        <v>672</v>
      </c>
      <c r="E6" s="1">
        <v>722</v>
      </c>
      <c r="F6" s="1">
        <v>638</v>
      </c>
      <c r="G6" s="1">
        <v>734</v>
      </c>
      <c r="H6" s="1">
        <v>816</v>
      </c>
      <c r="I6" s="1">
        <v>819</v>
      </c>
      <c r="J6" s="1">
        <v>696</v>
      </c>
      <c r="K6" s="1">
        <v>684</v>
      </c>
      <c r="L6" s="1">
        <v>769</v>
      </c>
      <c r="M6" s="1">
        <v>809</v>
      </c>
      <c r="N6" s="1">
        <v>777</v>
      </c>
      <c r="O6" s="1">
        <v>787</v>
      </c>
      <c r="P6" s="1">
        <v>860</v>
      </c>
      <c r="Q6" s="1">
        <v>819</v>
      </c>
      <c r="R6" s="1">
        <v>852</v>
      </c>
      <c r="S6" s="1">
        <v>925</v>
      </c>
      <c r="T6" s="1">
        <v>996</v>
      </c>
      <c r="U6" s="1">
        <v>941</v>
      </c>
      <c r="V6" s="1">
        <v>1014</v>
      </c>
      <c r="W6" s="1">
        <v>1157</v>
      </c>
      <c r="X6" s="1">
        <v>1144</v>
      </c>
      <c r="Y6" s="1">
        <v>1059</v>
      </c>
      <c r="Z6" s="1">
        <v>1093</v>
      </c>
    </row>
    <row r="7" spans="1:27" x14ac:dyDescent="0.25">
      <c r="A7" t="s">
        <v>6</v>
      </c>
      <c r="D7" s="1">
        <v>1198</v>
      </c>
      <c r="E7" s="1">
        <v>1205</v>
      </c>
      <c r="F7" s="1">
        <v>1168</v>
      </c>
      <c r="G7" s="1">
        <v>1212</v>
      </c>
      <c r="H7" s="1">
        <v>1417</v>
      </c>
      <c r="I7" s="1">
        <v>1403</v>
      </c>
      <c r="J7" s="1">
        <v>1384</v>
      </c>
      <c r="K7" s="1">
        <v>1385</v>
      </c>
      <c r="L7" s="1">
        <v>1558</v>
      </c>
      <c r="M7" s="1">
        <v>1423</v>
      </c>
      <c r="N7" s="1">
        <v>1446</v>
      </c>
      <c r="O7" s="1">
        <v>1659</v>
      </c>
      <c r="P7" s="1">
        <v>1733</v>
      </c>
      <c r="Q7" s="1">
        <v>1850</v>
      </c>
      <c r="R7" s="1">
        <v>1800</v>
      </c>
      <c r="S7" s="1">
        <v>2041</v>
      </c>
      <c r="T7" s="1">
        <v>1949</v>
      </c>
      <c r="U7" s="1">
        <v>2041</v>
      </c>
      <c r="V7" s="1">
        <v>2235</v>
      </c>
      <c r="W7" s="1">
        <v>2291</v>
      </c>
      <c r="X7" s="1">
        <v>2339</v>
      </c>
      <c r="Y7" s="1">
        <v>2335</v>
      </c>
      <c r="Z7" s="1">
        <v>2391</v>
      </c>
    </row>
    <row r="8" spans="1:27" x14ac:dyDescent="0.25">
      <c r="A8" t="s">
        <v>7</v>
      </c>
      <c r="D8" s="1">
        <v>433</v>
      </c>
      <c r="E8" s="1">
        <v>386</v>
      </c>
      <c r="F8" s="1">
        <v>433</v>
      </c>
      <c r="G8" s="1">
        <v>396</v>
      </c>
      <c r="H8" s="1">
        <v>476</v>
      </c>
      <c r="I8" s="1">
        <v>524</v>
      </c>
      <c r="J8" s="1">
        <v>486</v>
      </c>
      <c r="K8" s="1">
        <v>428</v>
      </c>
      <c r="L8" s="1">
        <v>436</v>
      </c>
      <c r="M8" s="1">
        <v>432</v>
      </c>
      <c r="N8" s="1">
        <v>464</v>
      </c>
      <c r="O8" s="1">
        <v>421</v>
      </c>
      <c r="P8" s="1">
        <v>504</v>
      </c>
      <c r="Q8" s="1">
        <v>459</v>
      </c>
      <c r="R8" s="1">
        <v>567</v>
      </c>
      <c r="S8" s="1">
        <v>635</v>
      </c>
      <c r="T8" s="1">
        <v>586</v>
      </c>
      <c r="U8" s="1">
        <v>540</v>
      </c>
      <c r="V8" s="1">
        <v>486</v>
      </c>
      <c r="W8" s="1">
        <v>663</v>
      </c>
      <c r="X8" s="1">
        <v>573</v>
      </c>
      <c r="Y8" s="1">
        <v>669</v>
      </c>
      <c r="Z8" s="1">
        <v>522</v>
      </c>
    </row>
    <row r="9" spans="1:27" x14ac:dyDescent="0.25">
      <c r="A9" t="s">
        <v>8</v>
      </c>
      <c r="D9" s="1">
        <v>609</v>
      </c>
      <c r="E9" s="1">
        <v>573</v>
      </c>
      <c r="F9" s="1">
        <v>612</v>
      </c>
      <c r="G9" s="1">
        <v>589</v>
      </c>
      <c r="H9" s="1">
        <v>629</v>
      </c>
      <c r="I9" s="1">
        <v>673</v>
      </c>
      <c r="J9" s="1">
        <v>632</v>
      </c>
      <c r="K9" s="1">
        <v>547</v>
      </c>
      <c r="L9" s="1">
        <v>587</v>
      </c>
      <c r="M9" s="1">
        <v>649</v>
      </c>
      <c r="N9" s="1">
        <v>654</v>
      </c>
      <c r="O9" s="1">
        <v>638</v>
      </c>
      <c r="P9" s="1">
        <v>744</v>
      </c>
      <c r="Q9" s="1">
        <v>886</v>
      </c>
      <c r="R9" s="1">
        <v>863</v>
      </c>
      <c r="S9" s="1">
        <v>883</v>
      </c>
      <c r="T9" s="1">
        <v>820</v>
      </c>
      <c r="U9" s="1">
        <v>890</v>
      </c>
      <c r="V9" s="1">
        <v>949</v>
      </c>
      <c r="W9" s="1">
        <v>1097</v>
      </c>
      <c r="X9" s="1">
        <v>988</v>
      </c>
      <c r="Y9" s="1">
        <v>960</v>
      </c>
      <c r="Z9" s="1">
        <v>1087</v>
      </c>
    </row>
    <row r="10" spans="1:27" x14ac:dyDescent="0.25">
      <c r="A10" t="s">
        <v>9</v>
      </c>
      <c r="D10" s="1">
        <v>2560</v>
      </c>
      <c r="E10" s="1">
        <v>2567</v>
      </c>
      <c r="F10" s="1">
        <v>2612</v>
      </c>
      <c r="G10" s="1">
        <v>2738</v>
      </c>
      <c r="H10" s="1">
        <v>2695</v>
      </c>
      <c r="I10" s="1">
        <v>2680</v>
      </c>
      <c r="J10" s="1">
        <v>2691</v>
      </c>
      <c r="K10" s="1">
        <v>2593</v>
      </c>
      <c r="L10" s="1">
        <v>2858</v>
      </c>
      <c r="M10" s="1">
        <v>3143</v>
      </c>
      <c r="N10" s="1">
        <v>2988</v>
      </c>
      <c r="O10" s="1">
        <v>3079</v>
      </c>
      <c r="P10" s="1">
        <v>3348</v>
      </c>
      <c r="Q10" s="1">
        <v>3247</v>
      </c>
      <c r="R10" s="1">
        <v>3336</v>
      </c>
      <c r="S10" s="1">
        <v>3531</v>
      </c>
      <c r="T10" s="1">
        <v>3607</v>
      </c>
      <c r="U10" s="1">
        <v>3529</v>
      </c>
      <c r="V10" s="1">
        <v>3712</v>
      </c>
      <c r="W10" s="1">
        <v>3946</v>
      </c>
      <c r="X10" s="1">
        <v>4067</v>
      </c>
      <c r="Y10" s="1">
        <v>4171</v>
      </c>
      <c r="Z10" s="1">
        <v>4027</v>
      </c>
    </row>
    <row r="11" spans="1:27" x14ac:dyDescent="0.25">
      <c r="A11" t="s">
        <v>10</v>
      </c>
      <c r="D11" s="1">
        <v>852</v>
      </c>
      <c r="E11" s="1">
        <v>880</v>
      </c>
      <c r="F11" s="1">
        <v>801</v>
      </c>
      <c r="G11" s="1">
        <v>825</v>
      </c>
      <c r="H11" s="1">
        <v>873</v>
      </c>
      <c r="I11" s="1">
        <v>909</v>
      </c>
      <c r="J11" s="1">
        <v>866</v>
      </c>
      <c r="K11" s="1">
        <v>837</v>
      </c>
      <c r="L11" s="1">
        <v>886</v>
      </c>
      <c r="M11" s="1">
        <v>969</v>
      </c>
      <c r="N11" s="1">
        <v>903</v>
      </c>
      <c r="O11" s="1">
        <v>960</v>
      </c>
      <c r="P11" s="1">
        <v>1018</v>
      </c>
      <c r="Q11" s="1">
        <v>1065</v>
      </c>
      <c r="R11" s="1">
        <v>1056</v>
      </c>
      <c r="S11" s="1">
        <v>1347</v>
      </c>
      <c r="T11" s="1">
        <v>1265</v>
      </c>
      <c r="U11" s="1">
        <v>1226</v>
      </c>
      <c r="V11" s="1">
        <v>1164</v>
      </c>
      <c r="W11" s="1">
        <v>1336</v>
      </c>
      <c r="X11" s="1">
        <v>1341</v>
      </c>
      <c r="Y11" s="1">
        <v>1382</v>
      </c>
      <c r="Z11" s="1">
        <v>1376</v>
      </c>
    </row>
    <row r="12" spans="1:27" x14ac:dyDescent="0.25">
      <c r="A12" t="s">
        <v>11</v>
      </c>
      <c r="D12" s="1">
        <v>975</v>
      </c>
      <c r="E12" s="1">
        <v>956</v>
      </c>
      <c r="F12" s="1">
        <v>945</v>
      </c>
      <c r="G12" s="1">
        <v>965</v>
      </c>
      <c r="H12" s="1">
        <v>1041</v>
      </c>
      <c r="I12" s="1">
        <v>992</v>
      </c>
      <c r="J12" s="1">
        <v>1015</v>
      </c>
      <c r="K12" s="1">
        <v>965</v>
      </c>
      <c r="L12" s="1">
        <v>1009</v>
      </c>
      <c r="M12" s="1">
        <v>1064</v>
      </c>
      <c r="N12" s="1">
        <v>1132</v>
      </c>
      <c r="O12" s="1">
        <v>1182</v>
      </c>
      <c r="P12" s="1">
        <v>1179</v>
      </c>
      <c r="Q12" s="1">
        <v>1266</v>
      </c>
      <c r="R12" s="1">
        <v>1315</v>
      </c>
      <c r="S12" s="1">
        <v>1447</v>
      </c>
      <c r="T12" s="1">
        <v>1502</v>
      </c>
      <c r="U12" s="1">
        <v>1505</v>
      </c>
      <c r="V12" s="1">
        <v>1602</v>
      </c>
      <c r="W12" s="1">
        <v>1755</v>
      </c>
      <c r="X12" s="1">
        <v>1875</v>
      </c>
      <c r="Y12" s="1">
        <v>1665</v>
      </c>
      <c r="Z12" s="1">
        <v>1842</v>
      </c>
    </row>
    <row r="13" spans="1:27" x14ac:dyDescent="0.25">
      <c r="A13" t="s">
        <v>12</v>
      </c>
      <c r="D13" s="1">
        <v>667</v>
      </c>
      <c r="E13" s="1">
        <v>726</v>
      </c>
      <c r="F13" s="1">
        <v>718</v>
      </c>
      <c r="G13" s="1">
        <v>737</v>
      </c>
      <c r="H13" s="1">
        <v>641</v>
      </c>
      <c r="I13" s="1">
        <v>696</v>
      </c>
      <c r="J13" s="1">
        <v>727</v>
      </c>
      <c r="K13" s="1">
        <v>688</v>
      </c>
      <c r="L13" s="1">
        <v>764</v>
      </c>
      <c r="M13" s="1">
        <v>797</v>
      </c>
      <c r="N13" s="1">
        <v>768</v>
      </c>
      <c r="O13" s="1">
        <v>772</v>
      </c>
      <c r="P13" s="1">
        <v>854</v>
      </c>
      <c r="Q13" s="1">
        <v>812</v>
      </c>
      <c r="R13" s="1">
        <v>960</v>
      </c>
      <c r="S13" s="1">
        <v>932</v>
      </c>
      <c r="T13" s="1">
        <v>958</v>
      </c>
      <c r="U13" s="1">
        <v>929</v>
      </c>
      <c r="V13" s="1">
        <v>981</v>
      </c>
      <c r="W13" s="1">
        <v>969</v>
      </c>
      <c r="X13" s="1">
        <v>1016</v>
      </c>
      <c r="Y13" s="1">
        <v>955</v>
      </c>
      <c r="Z13" s="1">
        <v>980</v>
      </c>
    </row>
    <row r="14" spans="1:27" x14ac:dyDescent="0.25">
      <c r="A14" t="s">
        <v>21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t="s">
        <v>16</v>
      </c>
      <c r="B16" s="1"/>
      <c r="C16" s="1"/>
      <c r="D16" s="1">
        <f t="shared" ref="D16:Z16" si="0">SUM(D2:D13)</f>
        <v>15042</v>
      </c>
      <c r="E16" s="1">
        <f t="shared" si="0"/>
        <v>14921</v>
      </c>
      <c r="F16" s="1">
        <f t="shared" si="0"/>
        <v>15095</v>
      </c>
      <c r="G16" s="1">
        <f t="shared" si="0"/>
        <v>15780</v>
      </c>
      <c r="H16" s="1">
        <f t="shared" si="0"/>
        <v>16720</v>
      </c>
      <c r="I16" s="1">
        <f t="shared" si="0"/>
        <v>17294</v>
      </c>
      <c r="J16" s="1">
        <f t="shared" si="0"/>
        <v>17008</v>
      </c>
      <c r="K16" s="1">
        <f t="shared" si="0"/>
        <v>16532</v>
      </c>
      <c r="L16" s="1">
        <f t="shared" si="0"/>
        <v>17811</v>
      </c>
      <c r="M16" s="1">
        <f t="shared" si="0"/>
        <v>18453</v>
      </c>
      <c r="N16" s="1">
        <f t="shared" si="0"/>
        <v>18277</v>
      </c>
      <c r="O16" s="1">
        <f t="shared" si="0"/>
        <v>18727</v>
      </c>
      <c r="P16" s="1">
        <f t="shared" si="0"/>
        <v>19955</v>
      </c>
      <c r="Q16" s="1">
        <f t="shared" si="0"/>
        <v>20295</v>
      </c>
      <c r="R16" s="1">
        <f t="shared" si="0"/>
        <v>21001</v>
      </c>
      <c r="S16" s="1">
        <f t="shared" si="0"/>
        <v>23270</v>
      </c>
      <c r="T16" s="1">
        <f t="shared" si="0"/>
        <v>22447</v>
      </c>
      <c r="U16" s="1">
        <f t="shared" si="0"/>
        <v>22608</v>
      </c>
      <c r="V16" s="1">
        <f t="shared" si="0"/>
        <v>23192</v>
      </c>
      <c r="W16" s="1">
        <f t="shared" si="0"/>
        <v>24927</v>
      </c>
      <c r="X16" s="1">
        <f t="shared" si="0"/>
        <v>25432</v>
      </c>
      <c r="Y16" s="1">
        <f t="shared" si="0"/>
        <v>24608</v>
      </c>
      <c r="Z16" s="1">
        <f t="shared" si="0"/>
        <v>24315</v>
      </c>
    </row>
    <row r="17" spans="1:26" x14ac:dyDescent="0.25">
      <c r="A17" t="s">
        <v>17</v>
      </c>
      <c r="B17" s="1"/>
      <c r="C17" s="1"/>
      <c r="D17" s="1">
        <f t="shared" ref="D17:Z17" si="1">SUM(D2+D7+D10)</f>
        <v>7846</v>
      </c>
      <c r="E17" s="1">
        <f t="shared" si="1"/>
        <v>7931</v>
      </c>
      <c r="F17" s="1">
        <f t="shared" si="1"/>
        <v>8109</v>
      </c>
      <c r="G17" s="1">
        <f t="shared" si="1"/>
        <v>8701</v>
      </c>
      <c r="H17" s="1">
        <f t="shared" si="1"/>
        <v>9147</v>
      </c>
      <c r="I17" s="1">
        <f t="shared" si="1"/>
        <v>9288</v>
      </c>
      <c r="J17" s="1">
        <f t="shared" si="1"/>
        <v>9271</v>
      </c>
      <c r="K17" s="1">
        <f t="shared" si="1"/>
        <v>9235</v>
      </c>
      <c r="L17" s="1">
        <f t="shared" si="1"/>
        <v>10059</v>
      </c>
      <c r="M17" s="1">
        <f t="shared" si="1"/>
        <v>10475</v>
      </c>
      <c r="N17" s="1">
        <f t="shared" si="1"/>
        <v>10231</v>
      </c>
      <c r="O17" s="1">
        <f t="shared" si="1"/>
        <v>10556</v>
      </c>
      <c r="P17" s="1">
        <f t="shared" si="1"/>
        <v>11025</v>
      </c>
      <c r="Q17" s="1">
        <f t="shared" si="1"/>
        <v>11117</v>
      </c>
      <c r="R17" s="1">
        <f t="shared" si="1"/>
        <v>11112</v>
      </c>
      <c r="S17" s="1">
        <f t="shared" si="1"/>
        <v>12346</v>
      </c>
      <c r="T17" s="1">
        <f t="shared" si="1"/>
        <v>11683</v>
      </c>
      <c r="U17" s="1">
        <f t="shared" si="1"/>
        <v>11766</v>
      </c>
      <c r="V17" s="1">
        <f t="shared" si="1"/>
        <v>12156</v>
      </c>
      <c r="W17" s="1">
        <f t="shared" si="1"/>
        <v>12743</v>
      </c>
      <c r="X17" s="1">
        <f t="shared" si="1"/>
        <v>13034</v>
      </c>
      <c r="Y17" s="1">
        <f t="shared" si="1"/>
        <v>12852</v>
      </c>
      <c r="Z17" s="1">
        <f t="shared" si="1"/>
        <v>12732</v>
      </c>
    </row>
    <row r="18" spans="1:26" x14ac:dyDescent="0.25">
      <c r="A18" t="s">
        <v>13</v>
      </c>
      <c r="B18" s="1"/>
      <c r="C18" s="1"/>
      <c r="D18" s="1">
        <f t="shared" ref="D18:Z18" si="2">SUM(D2+D3+D7+D10)</f>
        <v>9406</v>
      </c>
      <c r="E18" s="1">
        <f t="shared" si="2"/>
        <v>9233</v>
      </c>
      <c r="F18" s="1">
        <f t="shared" si="2"/>
        <v>9499</v>
      </c>
      <c r="G18" s="1">
        <f t="shared" si="2"/>
        <v>10145</v>
      </c>
      <c r="H18" s="1">
        <f t="shared" si="2"/>
        <v>10669</v>
      </c>
      <c r="I18" s="1">
        <f t="shared" si="2"/>
        <v>10883</v>
      </c>
      <c r="J18" s="1">
        <f t="shared" si="2"/>
        <v>10849</v>
      </c>
      <c r="K18" s="1">
        <f t="shared" si="2"/>
        <v>10810</v>
      </c>
      <c r="L18" s="1">
        <f t="shared" si="2"/>
        <v>11648</v>
      </c>
      <c r="M18" s="1">
        <f t="shared" si="2"/>
        <v>12015</v>
      </c>
      <c r="N18" s="1">
        <f t="shared" si="2"/>
        <v>11842</v>
      </c>
      <c r="O18" s="1">
        <f t="shared" si="2"/>
        <v>12229</v>
      </c>
      <c r="P18" s="1">
        <f t="shared" si="2"/>
        <v>12894</v>
      </c>
      <c r="Q18" s="1">
        <f t="shared" si="2"/>
        <v>13148</v>
      </c>
      <c r="R18" s="1">
        <f t="shared" si="2"/>
        <v>13467</v>
      </c>
      <c r="S18" s="1">
        <f t="shared" si="2"/>
        <v>14977</v>
      </c>
      <c r="T18" s="1">
        <f t="shared" si="2"/>
        <v>14307</v>
      </c>
      <c r="U18" s="1">
        <f t="shared" si="2"/>
        <v>14534</v>
      </c>
      <c r="V18" s="1">
        <f t="shared" si="2"/>
        <v>14803</v>
      </c>
      <c r="W18" s="1">
        <f t="shared" si="2"/>
        <v>15576</v>
      </c>
      <c r="X18" s="1">
        <f t="shared" si="2"/>
        <v>15985</v>
      </c>
      <c r="Y18" s="1">
        <f t="shared" si="2"/>
        <v>15596</v>
      </c>
      <c r="Z18" s="1">
        <f t="shared" si="2"/>
        <v>15295</v>
      </c>
    </row>
    <row r="19" spans="1:26" x14ac:dyDescent="0.25">
      <c r="A19" t="s">
        <v>14</v>
      </c>
      <c r="B19" s="1"/>
      <c r="C19" s="1"/>
      <c r="D19" s="1">
        <f t="shared" ref="D19:Z19" si="3">+D4+D5+D6+D8+D9+D11+D12+D13</f>
        <v>5636</v>
      </c>
      <c r="E19" s="1">
        <f t="shared" si="3"/>
        <v>5688</v>
      </c>
      <c r="F19" s="1">
        <f t="shared" si="3"/>
        <v>5596</v>
      </c>
      <c r="G19" s="1">
        <f t="shared" si="3"/>
        <v>5635</v>
      </c>
      <c r="H19" s="1">
        <f t="shared" si="3"/>
        <v>6051</v>
      </c>
      <c r="I19" s="1">
        <f t="shared" si="3"/>
        <v>6411</v>
      </c>
      <c r="J19" s="1">
        <f t="shared" si="3"/>
        <v>6159</v>
      </c>
      <c r="K19" s="1">
        <f t="shared" si="3"/>
        <v>5722</v>
      </c>
      <c r="L19" s="1">
        <f t="shared" si="3"/>
        <v>6163</v>
      </c>
      <c r="M19" s="1">
        <f t="shared" si="3"/>
        <v>6438</v>
      </c>
      <c r="N19" s="1">
        <f t="shared" si="3"/>
        <v>6435</v>
      </c>
      <c r="O19" s="1">
        <f t="shared" si="3"/>
        <v>6498</v>
      </c>
      <c r="P19" s="1">
        <f t="shared" si="3"/>
        <v>7061</v>
      </c>
      <c r="Q19" s="1">
        <f t="shared" si="3"/>
        <v>7147</v>
      </c>
      <c r="R19" s="1">
        <f t="shared" si="3"/>
        <v>7534</v>
      </c>
      <c r="S19" s="1">
        <f t="shared" si="3"/>
        <v>8293</v>
      </c>
      <c r="T19" s="1">
        <f t="shared" si="3"/>
        <v>8140</v>
      </c>
      <c r="U19" s="1">
        <f t="shared" si="3"/>
        <v>8074</v>
      </c>
      <c r="V19" s="1">
        <f t="shared" si="3"/>
        <v>8389</v>
      </c>
      <c r="W19" s="1">
        <f t="shared" si="3"/>
        <v>9351</v>
      </c>
      <c r="X19" s="1">
        <f t="shared" si="3"/>
        <v>9447</v>
      </c>
      <c r="Y19" s="1">
        <f t="shared" si="3"/>
        <v>9012</v>
      </c>
      <c r="Z19" s="1">
        <f t="shared" si="3"/>
        <v>9020</v>
      </c>
    </row>
    <row r="20" spans="1:26" x14ac:dyDescent="0.25">
      <c r="A20" t="s">
        <v>20</v>
      </c>
      <c r="B20" s="1"/>
      <c r="C20" s="1"/>
      <c r="D20" s="1">
        <f t="shared" ref="D20:Z20" si="4">+D6+D8+D9+D11+D12+D13</f>
        <v>4208</v>
      </c>
      <c r="E20" s="1">
        <f t="shared" si="4"/>
        <v>4243</v>
      </c>
      <c r="F20" s="1">
        <f t="shared" si="4"/>
        <v>4147</v>
      </c>
      <c r="G20" s="1">
        <f t="shared" si="4"/>
        <v>4246</v>
      </c>
      <c r="H20" s="1">
        <f t="shared" si="4"/>
        <v>4476</v>
      </c>
      <c r="I20" s="1">
        <f t="shared" si="4"/>
        <v>4613</v>
      </c>
      <c r="J20" s="1">
        <f t="shared" si="4"/>
        <v>4422</v>
      </c>
      <c r="K20" s="1">
        <f t="shared" si="4"/>
        <v>4149</v>
      </c>
      <c r="L20" s="1">
        <f t="shared" si="4"/>
        <v>4451</v>
      </c>
      <c r="M20" s="1">
        <f t="shared" si="4"/>
        <v>4720</v>
      </c>
      <c r="N20" s="1">
        <f t="shared" si="4"/>
        <v>4698</v>
      </c>
      <c r="O20" s="1">
        <f t="shared" si="4"/>
        <v>4760</v>
      </c>
      <c r="P20" s="1">
        <f t="shared" si="4"/>
        <v>5159</v>
      </c>
      <c r="Q20" s="1">
        <f t="shared" si="4"/>
        <v>5307</v>
      </c>
      <c r="R20" s="1">
        <f t="shared" si="4"/>
        <v>5613</v>
      </c>
      <c r="S20" s="1">
        <f t="shared" si="4"/>
        <v>6169</v>
      </c>
      <c r="T20" s="1">
        <f t="shared" si="4"/>
        <v>6127</v>
      </c>
      <c r="U20" s="1">
        <f t="shared" si="4"/>
        <v>6031</v>
      </c>
      <c r="V20" s="1">
        <f t="shared" si="4"/>
        <v>6196</v>
      </c>
      <c r="W20" s="1">
        <f t="shared" si="4"/>
        <v>6977</v>
      </c>
      <c r="X20" s="1">
        <f t="shared" si="4"/>
        <v>6937</v>
      </c>
      <c r="Y20" s="1">
        <f t="shared" si="4"/>
        <v>6690</v>
      </c>
      <c r="Z20" s="1">
        <f t="shared" si="4"/>
        <v>6900</v>
      </c>
    </row>
    <row r="21" spans="1:26" x14ac:dyDescent="0.25">
      <c r="A21" t="s">
        <v>34</v>
      </c>
      <c r="B21" s="1"/>
      <c r="C21" s="1"/>
      <c r="D21" s="1">
        <f t="shared" ref="D21:Z21" si="5">+D20+D5</f>
        <v>4875</v>
      </c>
      <c r="E21" s="1">
        <f t="shared" si="5"/>
        <v>4929</v>
      </c>
      <c r="F21" s="1">
        <f t="shared" si="5"/>
        <v>4810</v>
      </c>
      <c r="G21" s="1">
        <f t="shared" si="5"/>
        <v>4873</v>
      </c>
      <c r="H21" s="1">
        <f t="shared" si="5"/>
        <v>5210</v>
      </c>
      <c r="I21" s="1">
        <f t="shared" si="5"/>
        <v>5421</v>
      </c>
      <c r="J21" s="1">
        <f t="shared" si="5"/>
        <v>5249</v>
      </c>
      <c r="K21" s="1">
        <f t="shared" si="5"/>
        <v>4863</v>
      </c>
      <c r="L21" s="1">
        <f t="shared" si="5"/>
        <v>5224</v>
      </c>
      <c r="M21" s="1">
        <f t="shared" si="5"/>
        <v>5499</v>
      </c>
      <c r="N21" s="1">
        <f t="shared" si="5"/>
        <v>5543</v>
      </c>
      <c r="O21" s="1">
        <f t="shared" si="5"/>
        <v>5644</v>
      </c>
      <c r="P21" s="1">
        <f t="shared" si="5"/>
        <v>6118</v>
      </c>
      <c r="Q21" s="1">
        <f t="shared" si="5"/>
        <v>6235</v>
      </c>
      <c r="R21" s="1">
        <f t="shared" si="5"/>
        <v>6516</v>
      </c>
      <c r="S21" s="1">
        <f t="shared" si="5"/>
        <v>7240</v>
      </c>
      <c r="T21" s="1">
        <f t="shared" si="5"/>
        <v>7052</v>
      </c>
      <c r="U21" s="1">
        <f t="shared" si="5"/>
        <v>7092</v>
      </c>
      <c r="V21" s="1">
        <f t="shared" si="5"/>
        <v>7232</v>
      </c>
      <c r="W21" s="1">
        <f t="shared" si="5"/>
        <v>8141</v>
      </c>
      <c r="X21" s="1">
        <f t="shared" si="5"/>
        <v>8179</v>
      </c>
      <c r="Y21" s="1">
        <f t="shared" si="5"/>
        <v>7816</v>
      </c>
      <c r="Z21" s="1">
        <f t="shared" si="5"/>
        <v>7928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/>
      <c r="C23" s="1"/>
      <c r="D23" s="1">
        <f t="shared" ref="D23:Z23" si="6">+D4+D5</f>
        <v>1428</v>
      </c>
      <c r="E23" s="1">
        <f t="shared" si="6"/>
        <v>1445</v>
      </c>
      <c r="F23" s="1">
        <f t="shared" si="6"/>
        <v>1449</v>
      </c>
      <c r="G23" s="1">
        <f t="shared" si="6"/>
        <v>1389</v>
      </c>
      <c r="H23" s="1">
        <f t="shared" si="6"/>
        <v>1575</v>
      </c>
      <c r="I23" s="1">
        <f t="shared" si="6"/>
        <v>1798</v>
      </c>
      <c r="J23" s="1">
        <f t="shared" si="6"/>
        <v>1737</v>
      </c>
      <c r="K23" s="1">
        <f t="shared" si="6"/>
        <v>1573</v>
      </c>
      <c r="L23" s="1">
        <f t="shared" si="6"/>
        <v>1712</v>
      </c>
      <c r="M23" s="1">
        <f t="shared" si="6"/>
        <v>1718</v>
      </c>
      <c r="N23" s="1">
        <f t="shared" si="6"/>
        <v>1737</v>
      </c>
      <c r="O23" s="1">
        <f t="shared" si="6"/>
        <v>1738</v>
      </c>
      <c r="P23" s="1">
        <f t="shared" si="6"/>
        <v>1902</v>
      </c>
      <c r="Q23" s="1">
        <f t="shared" si="6"/>
        <v>1840</v>
      </c>
      <c r="R23" s="1">
        <f t="shared" si="6"/>
        <v>1921</v>
      </c>
      <c r="S23" s="1">
        <f t="shared" si="6"/>
        <v>2124</v>
      </c>
      <c r="T23" s="1">
        <f t="shared" si="6"/>
        <v>2013</v>
      </c>
      <c r="U23" s="1">
        <f t="shared" si="6"/>
        <v>2043</v>
      </c>
      <c r="V23" s="1">
        <f t="shared" si="6"/>
        <v>2193</v>
      </c>
      <c r="W23" s="1">
        <f t="shared" si="6"/>
        <v>2374</v>
      </c>
      <c r="X23" s="1">
        <f t="shared" si="6"/>
        <v>2510</v>
      </c>
      <c r="Y23" s="1">
        <f t="shared" si="6"/>
        <v>2322</v>
      </c>
      <c r="Z23" s="1">
        <f t="shared" si="6"/>
        <v>2120</v>
      </c>
    </row>
    <row r="24" spans="1:26" x14ac:dyDescent="0.25">
      <c r="A24" t="s">
        <v>35</v>
      </c>
      <c r="B24" s="1"/>
      <c r="C24" s="1"/>
      <c r="D24" s="15">
        <f t="shared" ref="D24:Z24" si="7">+D5</f>
        <v>667</v>
      </c>
      <c r="E24" s="15">
        <f t="shared" si="7"/>
        <v>686</v>
      </c>
      <c r="F24" s="15">
        <f t="shared" si="7"/>
        <v>663</v>
      </c>
      <c r="G24" s="15">
        <f t="shared" si="7"/>
        <v>627</v>
      </c>
      <c r="H24" s="15">
        <f t="shared" si="7"/>
        <v>734</v>
      </c>
      <c r="I24" s="15">
        <f t="shared" si="7"/>
        <v>808</v>
      </c>
      <c r="J24" s="15">
        <f t="shared" si="7"/>
        <v>827</v>
      </c>
      <c r="K24" s="15">
        <f t="shared" si="7"/>
        <v>714</v>
      </c>
      <c r="L24" s="15">
        <f t="shared" si="7"/>
        <v>773</v>
      </c>
      <c r="M24" s="15">
        <f t="shared" si="7"/>
        <v>779</v>
      </c>
      <c r="N24" s="15">
        <f t="shared" si="7"/>
        <v>845</v>
      </c>
      <c r="O24" s="15">
        <f t="shared" si="7"/>
        <v>884</v>
      </c>
      <c r="P24" s="15">
        <f t="shared" si="7"/>
        <v>959</v>
      </c>
      <c r="Q24" s="15">
        <f t="shared" si="7"/>
        <v>928</v>
      </c>
      <c r="R24" s="15">
        <f t="shared" si="7"/>
        <v>903</v>
      </c>
      <c r="S24" s="15">
        <f t="shared" si="7"/>
        <v>1071</v>
      </c>
      <c r="T24" s="15">
        <f t="shared" si="7"/>
        <v>925</v>
      </c>
      <c r="U24" s="15">
        <f t="shared" si="7"/>
        <v>1061</v>
      </c>
      <c r="V24" s="15">
        <f t="shared" si="7"/>
        <v>1036</v>
      </c>
      <c r="W24" s="15">
        <f t="shared" si="7"/>
        <v>1164</v>
      </c>
      <c r="X24" s="15">
        <f t="shared" si="7"/>
        <v>1242</v>
      </c>
      <c r="Y24" s="15">
        <f t="shared" si="7"/>
        <v>1126</v>
      </c>
      <c r="Z24" s="15">
        <f t="shared" si="7"/>
        <v>1028</v>
      </c>
    </row>
    <row r="25" spans="1:26" x14ac:dyDescent="0.25">
      <c r="A25" t="s">
        <v>36</v>
      </c>
      <c r="B25" s="1"/>
      <c r="C25" s="1"/>
      <c r="D25" s="15">
        <f t="shared" ref="D25:Z25" si="8">+D4</f>
        <v>761</v>
      </c>
      <c r="E25" s="15">
        <f t="shared" si="8"/>
        <v>759</v>
      </c>
      <c r="F25" s="15">
        <f t="shared" si="8"/>
        <v>786</v>
      </c>
      <c r="G25" s="15">
        <f t="shared" si="8"/>
        <v>762</v>
      </c>
      <c r="H25" s="15">
        <f t="shared" si="8"/>
        <v>841</v>
      </c>
      <c r="I25" s="15">
        <f t="shared" si="8"/>
        <v>990</v>
      </c>
      <c r="J25" s="15">
        <f t="shared" si="8"/>
        <v>910</v>
      </c>
      <c r="K25" s="15">
        <f t="shared" si="8"/>
        <v>859</v>
      </c>
      <c r="L25" s="15">
        <f t="shared" si="8"/>
        <v>939</v>
      </c>
      <c r="M25" s="15">
        <f t="shared" si="8"/>
        <v>939</v>
      </c>
      <c r="N25" s="15">
        <f t="shared" si="8"/>
        <v>892</v>
      </c>
      <c r="O25" s="15">
        <f t="shared" si="8"/>
        <v>854</v>
      </c>
      <c r="P25" s="15">
        <f t="shared" si="8"/>
        <v>943</v>
      </c>
      <c r="Q25" s="15">
        <f t="shared" si="8"/>
        <v>912</v>
      </c>
      <c r="R25" s="15">
        <f t="shared" si="8"/>
        <v>1018</v>
      </c>
      <c r="S25" s="15">
        <f t="shared" si="8"/>
        <v>1053</v>
      </c>
      <c r="T25" s="15">
        <f t="shared" si="8"/>
        <v>1088</v>
      </c>
      <c r="U25" s="15">
        <f t="shared" si="8"/>
        <v>982</v>
      </c>
      <c r="V25" s="15">
        <f t="shared" si="8"/>
        <v>1157</v>
      </c>
      <c r="W25" s="15">
        <f t="shared" si="8"/>
        <v>1210</v>
      </c>
      <c r="X25" s="15">
        <f t="shared" si="8"/>
        <v>1268</v>
      </c>
      <c r="Y25" s="15">
        <f t="shared" si="8"/>
        <v>1196</v>
      </c>
      <c r="Z25" s="15">
        <f t="shared" si="8"/>
        <v>1092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309A-C57D-4F10-BF2F-9AE73AB4D550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5">
      <c r="A14" t="s">
        <v>21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t="s">
        <v>16</v>
      </c>
      <c r="B16" s="1">
        <f t="shared" ref="B16:Z16" si="0">SUM(B2:B13)</f>
        <v>0</v>
      </c>
      <c r="C16" s="1">
        <f t="shared" si="0"/>
        <v>0</v>
      </c>
      <c r="D16" s="1">
        <f t="shared" si="0"/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0"/>
        <v>0</v>
      </c>
      <c r="J16" s="1">
        <f t="shared" si="0"/>
        <v>0</v>
      </c>
      <c r="K16" s="1">
        <f t="shared" si="0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  <c r="T16" s="1">
        <f t="shared" si="0"/>
        <v>0</v>
      </c>
      <c r="U16" s="1">
        <f t="shared" si="0"/>
        <v>0</v>
      </c>
      <c r="V16" s="1">
        <f t="shared" si="0"/>
        <v>0</v>
      </c>
      <c r="W16" s="1">
        <f t="shared" si="0"/>
        <v>0</v>
      </c>
      <c r="X16" s="1">
        <f t="shared" si="0"/>
        <v>0</v>
      </c>
      <c r="Y16" s="1">
        <f t="shared" si="0"/>
        <v>0</v>
      </c>
      <c r="Z16" s="1">
        <f t="shared" si="0"/>
        <v>0</v>
      </c>
    </row>
    <row r="17" spans="1:26" x14ac:dyDescent="0.25">
      <c r="A17" t="s">
        <v>17</v>
      </c>
      <c r="B17" s="1">
        <f t="shared" ref="B17:Z17" si="1">SUM(B2+B7+B10)</f>
        <v>0</v>
      </c>
      <c r="C17" s="1">
        <f t="shared" si="1"/>
        <v>0</v>
      </c>
      <c r="D17" s="1">
        <f t="shared" si="1"/>
        <v>0</v>
      </c>
      <c r="E17" s="1">
        <f t="shared" si="1"/>
        <v>0</v>
      </c>
      <c r="F17" s="1">
        <f t="shared" si="1"/>
        <v>0</v>
      </c>
      <c r="G17" s="1">
        <f t="shared" si="1"/>
        <v>0</v>
      </c>
      <c r="H17" s="1">
        <f t="shared" si="1"/>
        <v>0</v>
      </c>
      <c r="I17" s="1">
        <f t="shared" si="1"/>
        <v>0</v>
      </c>
      <c r="J17" s="1">
        <f t="shared" si="1"/>
        <v>0</v>
      </c>
      <c r="K17" s="1">
        <f t="shared" si="1"/>
        <v>0</v>
      </c>
      <c r="L17" s="1">
        <f t="shared" si="1"/>
        <v>0</v>
      </c>
      <c r="M17" s="1">
        <f t="shared" si="1"/>
        <v>0</v>
      </c>
      <c r="N17" s="1">
        <f t="shared" si="1"/>
        <v>0</v>
      </c>
      <c r="O17" s="1">
        <f t="shared" si="1"/>
        <v>0</v>
      </c>
      <c r="P17" s="1">
        <f t="shared" si="1"/>
        <v>0</v>
      </c>
      <c r="Q17" s="1">
        <f t="shared" si="1"/>
        <v>0</v>
      </c>
      <c r="R17" s="1">
        <f t="shared" si="1"/>
        <v>0</v>
      </c>
      <c r="S17" s="1">
        <f t="shared" si="1"/>
        <v>0</v>
      </c>
      <c r="T17" s="1">
        <f t="shared" si="1"/>
        <v>0</v>
      </c>
      <c r="U17" s="1">
        <f t="shared" si="1"/>
        <v>0</v>
      </c>
      <c r="V17" s="1">
        <f t="shared" si="1"/>
        <v>0</v>
      </c>
      <c r="W17" s="1">
        <f t="shared" si="1"/>
        <v>0</v>
      </c>
      <c r="X17" s="1">
        <f t="shared" si="1"/>
        <v>0</v>
      </c>
      <c r="Y17" s="1">
        <f t="shared" si="1"/>
        <v>0</v>
      </c>
      <c r="Z17" s="1">
        <f t="shared" si="1"/>
        <v>0</v>
      </c>
    </row>
    <row r="18" spans="1:26" x14ac:dyDescent="0.25">
      <c r="A18" t="s">
        <v>13</v>
      </c>
      <c r="B18" s="1">
        <f t="shared" ref="B18:Z18" si="2">SUM(B2+B3+B7+B10)</f>
        <v>0</v>
      </c>
      <c r="C18" s="1">
        <f t="shared" si="2"/>
        <v>0</v>
      </c>
      <c r="D18" s="1">
        <f t="shared" si="2"/>
        <v>0</v>
      </c>
      <c r="E18" s="1">
        <f t="shared" si="2"/>
        <v>0</v>
      </c>
      <c r="F18" s="1">
        <f t="shared" si="2"/>
        <v>0</v>
      </c>
      <c r="G18" s="1">
        <f t="shared" si="2"/>
        <v>0</v>
      </c>
      <c r="H18" s="1">
        <f t="shared" si="2"/>
        <v>0</v>
      </c>
      <c r="I18" s="1">
        <f t="shared" si="2"/>
        <v>0</v>
      </c>
      <c r="J18" s="1">
        <f t="shared" si="2"/>
        <v>0</v>
      </c>
      <c r="K18" s="1">
        <f t="shared" si="2"/>
        <v>0</v>
      </c>
      <c r="L18" s="1">
        <f t="shared" si="2"/>
        <v>0</v>
      </c>
      <c r="M18" s="1">
        <f t="shared" si="2"/>
        <v>0</v>
      </c>
      <c r="N18" s="1">
        <f t="shared" si="2"/>
        <v>0</v>
      </c>
      <c r="O18" s="1">
        <f t="shared" si="2"/>
        <v>0</v>
      </c>
      <c r="P18" s="1">
        <f t="shared" si="2"/>
        <v>0</v>
      </c>
      <c r="Q18" s="1">
        <f t="shared" si="2"/>
        <v>0</v>
      </c>
      <c r="R18" s="1">
        <f t="shared" si="2"/>
        <v>0</v>
      </c>
      <c r="S18" s="1">
        <f t="shared" si="2"/>
        <v>0</v>
      </c>
      <c r="T18" s="1">
        <f t="shared" si="2"/>
        <v>0</v>
      </c>
      <c r="U18" s="1">
        <f t="shared" si="2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0</v>
      </c>
    </row>
    <row r="19" spans="1:26" x14ac:dyDescent="0.25">
      <c r="A19" t="s">
        <v>14</v>
      </c>
      <c r="B19" s="1">
        <f t="shared" ref="B19:Z19" si="3">+B4+B5+B6+B8+B9+B11+B12+B13</f>
        <v>0</v>
      </c>
      <c r="C19" s="1">
        <f t="shared" si="3"/>
        <v>0</v>
      </c>
      <c r="D19" s="1">
        <f t="shared" si="3"/>
        <v>0</v>
      </c>
      <c r="E19" s="1">
        <f t="shared" si="3"/>
        <v>0</v>
      </c>
      <c r="F19" s="1">
        <f t="shared" si="3"/>
        <v>0</v>
      </c>
      <c r="G19" s="1">
        <f t="shared" si="3"/>
        <v>0</v>
      </c>
      <c r="H19" s="1">
        <f t="shared" si="3"/>
        <v>0</v>
      </c>
      <c r="I19" s="1">
        <f t="shared" si="3"/>
        <v>0</v>
      </c>
      <c r="J19" s="1">
        <f t="shared" si="3"/>
        <v>0</v>
      </c>
      <c r="K19" s="1">
        <f t="shared" si="3"/>
        <v>0</v>
      </c>
      <c r="L19" s="1">
        <f t="shared" si="3"/>
        <v>0</v>
      </c>
      <c r="M19" s="1">
        <f t="shared" si="3"/>
        <v>0</v>
      </c>
      <c r="N19" s="1">
        <f t="shared" si="3"/>
        <v>0</v>
      </c>
      <c r="O19" s="1">
        <f t="shared" si="3"/>
        <v>0</v>
      </c>
      <c r="P19" s="1">
        <f t="shared" si="3"/>
        <v>0</v>
      </c>
      <c r="Q19" s="1">
        <f t="shared" si="3"/>
        <v>0</v>
      </c>
      <c r="R19" s="1">
        <f t="shared" si="3"/>
        <v>0</v>
      </c>
      <c r="S19" s="1">
        <f t="shared" si="3"/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0</v>
      </c>
      <c r="Z19" s="1">
        <f t="shared" si="3"/>
        <v>0</v>
      </c>
    </row>
    <row r="20" spans="1:26" x14ac:dyDescent="0.25">
      <c r="A20" t="s">
        <v>20</v>
      </c>
      <c r="B20" s="1">
        <f t="shared" ref="B20:Z20" si="4">+B6+B8+B9+B11+B12+B13</f>
        <v>0</v>
      </c>
      <c r="C20" s="1">
        <f t="shared" si="4"/>
        <v>0</v>
      </c>
      <c r="D20" s="1">
        <f t="shared" si="4"/>
        <v>0</v>
      </c>
      <c r="E20" s="1">
        <f t="shared" si="4"/>
        <v>0</v>
      </c>
      <c r="F20" s="1">
        <f t="shared" si="4"/>
        <v>0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  <c r="M20" s="1">
        <f t="shared" si="4"/>
        <v>0</v>
      </c>
      <c r="N20" s="1">
        <f t="shared" si="4"/>
        <v>0</v>
      </c>
      <c r="O20" s="1">
        <f t="shared" si="4"/>
        <v>0</v>
      </c>
      <c r="P20" s="1">
        <f t="shared" si="4"/>
        <v>0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si="4"/>
        <v>0</v>
      </c>
      <c r="W20" s="1">
        <f t="shared" si="4"/>
        <v>0</v>
      </c>
      <c r="X20" s="1">
        <f t="shared" si="4"/>
        <v>0</v>
      </c>
      <c r="Y20" s="1">
        <f t="shared" si="4"/>
        <v>0</v>
      </c>
      <c r="Z20" s="1">
        <f t="shared" si="4"/>
        <v>0</v>
      </c>
    </row>
    <row r="21" spans="1:26" x14ac:dyDescent="0.25">
      <c r="A21" t="s">
        <v>34</v>
      </c>
      <c r="B21" s="1">
        <f t="shared" ref="B21:Z21" si="5">+B20+B5</f>
        <v>0</v>
      </c>
      <c r="C21" s="1">
        <f t="shared" si="5"/>
        <v>0</v>
      </c>
      <c r="D21" s="1">
        <f t="shared" si="5"/>
        <v>0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  <c r="O21" s="1">
        <f t="shared" si="5"/>
        <v>0</v>
      </c>
      <c r="P21" s="1">
        <f t="shared" si="5"/>
        <v>0</v>
      </c>
      <c r="Q21" s="1">
        <f t="shared" si="5"/>
        <v>0</v>
      </c>
      <c r="R21" s="1">
        <f t="shared" si="5"/>
        <v>0</v>
      </c>
      <c r="S21" s="1">
        <f t="shared" si="5"/>
        <v>0</v>
      </c>
      <c r="T21" s="1">
        <f t="shared" si="5"/>
        <v>0</v>
      </c>
      <c r="U21" s="1">
        <f t="shared" si="5"/>
        <v>0</v>
      </c>
      <c r="V21" s="1">
        <f t="shared" si="5"/>
        <v>0</v>
      </c>
      <c r="W21" s="1">
        <f t="shared" si="5"/>
        <v>0</v>
      </c>
      <c r="X21" s="1">
        <f t="shared" si="5"/>
        <v>0</v>
      </c>
      <c r="Y21" s="1">
        <f t="shared" si="5"/>
        <v>0</v>
      </c>
      <c r="Z21" s="1">
        <f t="shared" si="5"/>
        <v>0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0</v>
      </c>
      <c r="C23" s="1">
        <f t="shared" si="6"/>
        <v>0</v>
      </c>
      <c r="D23" s="1">
        <f t="shared" si="6"/>
        <v>0</v>
      </c>
      <c r="E23" s="1">
        <f t="shared" si="6"/>
        <v>0</v>
      </c>
      <c r="F23" s="1">
        <f t="shared" si="6"/>
        <v>0</v>
      </c>
      <c r="G23" s="1">
        <f t="shared" si="6"/>
        <v>0</v>
      </c>
      <c r="H23" s="1">
        <f t="shared" si="6"/>
        <v>0</v>
      </c>
      <c r="I23" s="1">
        <f t="shared" si="6"/>
        <v>0</v>
      </c>
      <c r="J23" s="1">
        <f t="shared" si="6"/>
        <v>0</v>
      </c>
      <c r="K23" s="1">
        <f t="shared" si="6"/>
        <v>0</v>
      </c>
      <c r="L23" s="1">
        <f t="shared" si="6"/>
        <v>0</v>
      </c>
      <c r="M23" s="1">
        <f t="shared" si="6"/>
        <v>0</v>
      </c>
      <c r="N23" s="1">
        <f t="shared" si="6"/>
        <v>0</v>
      </c>
      <c r="O23" s="1">
        <f t="shared" si="6"/>
        <v>0</v>
      </c>
      <c r="P23" s="1">
        <f t="shared" si="6"/>
        <v>0</v>
      </c>
      <c r="Q23" s="1">
        <f t="shared" si="6"/>
        <v>0</v>
      </c>
      <c r="R23" s="1">
        <f t="shared" si="6"/>
        <v>0</v>
      </c>
      <c r="S23" s="1">
        <f t="shared" si="6"/>
        <v>0</v>
      </c>
      <c r="T23" s="1">
        <f t="shared" si="6"/>
        <v>0</v>
      </c>
      <c r="U23" s="1">
        <f t="shared" si="6"/>
        <v>0</v>
      </c>
      <c r="V23" s="1">
        <f t="shared" si="6"/>
        <v>0</v>
      </c>
      <c r="W23" s="1">
        <f t="shared" si="6"/>
        <v>0</v>
      </c>
      <c r="X23" s="1">
        <f t="shared" si="6"/>
        <v>0</v>
      </c>
      <c r="Y23" s="1">
        <f t="shared" si="6"/>
        <v>0</v>
      </c>
      <c r="Z23" s="1">
        <f t="shared" si="6"/>
        <v>0</v>
      </c>
    </row>
    <row r="24" spans="1:26" x14ac:dyDescent="0.25">
      <c r="A24" t="s">
        <v>35</v>
      </c>
      <c r="B24" s="1">
        <f t="shared" ref="B24:Z24" si="7">SUM(B14-B4)</f>
        <v>0</v>
      </c>
      <c r="C24" s="1">
        <f t="shared" si="7"/>
        <v>0</v>
      </c>
      <c r="D24" s="1">
        <f t="shared" si="7"/>
        <v>0</v>
      </c>
      <c r="E24" s="1">
        <f t="shared" si="7"/>
        <v>0</v>
      </c>
      <c r="F24" s="1">
        <f t="shared" si="7"/>
        <v>0</v>
      </c>
      <c r="G24" s="1">
        <f t="shared" si="7"/>
        <v>0</v>
      </c>
      <c r="H24" s="1">
        <f t="shared" si="7"/>
        <v>0</v>
      </c>
      <c r="I24" s="1">
        <f t="shared" si="7"/>
        <v>0</v>
      </c>
      <c r="J24" s="1">
        <f t="shared" si="7"/>
        <v>0</v>
      </c>
      <c r="K24" s="1">
        <f t="shared" si="7"/>
        <v>0</v>
      </c>
      <c r="L24" s="1">
        <f t="shared" si="7"/>
        <v>0</v>
      </c>
      <c r="M24" s="1">
        <f t="shared" si="7"/>
        <v>0</v>
      </c>
      <c r="N24" s="1">
        <f t="shared" si="7"/>
        <v>0</v>
      </c>
      <c r="O24" s="1">
        <f t="shared" si="7"/>
        <v>0</v>
      </c>
      <c r="P24" s="1">
        <f t="shared" si="7"/>
        <v>0</v>
      </c>
      <c r="Q24" s="1">
        <f t="shared" si="7"/>
        <v>0</v>
      </c>
      <c r="R24" s="1">
        <f t="shared" si="7"/>
        <v>0</v>
      </c>
      <c r="S24" s="1">
        <f t="shared" si="7"/>
        <v>0</v>
      </c>
      <c r="T24" s="1">
        <f t="shared" si="7"/>
        <v>0</v>
      </c>
      <c r="U24" s="1">
        <f t="shared" si="7"/>
        <v>0</v>
      </c>
      <c r="V24" s="1">
        <f t="shared" si="7"/>
        <v>0</v>
      </c>
      <c r="W24" s="1">
        <f t="shared" si="7"/>
        <v>0</v>
      </c>
      <c r="X24" s="1">
        <f t="shared" si="7"/>
        <v>0</v>
      </c>
      <c r="Y24" s="1">
        <f t="shared" si="7"/>
        <v>0</v>
      </c>
      <c r="Z24" s="1">
        <f t="shared" si="7"/>
        <v>0</v>
      </c>
    </row>
    <row r="25" spans="1:26" x14ac:dyDescent="0.25">
      <c r="A25" t="s">
        <v>36</v>
      </c>
      <c r="B25" s="1">
        <f t="shared" ref="B25:Z25" si="8">SUM(B14-B5)</f>
        <v>0</v>
      </c>
      <c r="C25" s="1">
        <f t="shared" si="8"/>
        <v>0</v>
      </c>
      <c r="D25" s="1">
        <f t="shared" si="8"/>
        <v>0</v>
      </c>
      <c r="E25" s="1">
        <f t="shared" si="8"/>
        <v>0</v>
      </c>
      <c r="F25" s="1">
        <f t="shared" si="8"/>
        <v>0</v>
      </c>
      <c r="G25" s="1">
        <f t="shared" si="8"/>
        <v>0</v>
      </c>
      <c r="H25" s="1">
        <f t="shared" si="8"/>
        <v>0</v>
      </c>
      <c r="I25" s="1">
        <f t="shared" si="8"/>
        <v>0</v>
      </c>
      <c r="J25" s="1">
        <f t="shared" si="8"/>
        <v>0</v>
      </c>
      <c r="K25" s="1">
        <f t="shared" si="8"/>
        <v>0</v>
      </c>
      <c r="L25" s="1">
        <f t="shared" si="8"/>
        <v>0</v>
      </c>
      <c r="M25" s="1">
        <f t="shared" si="8"/>
        <v>0</v>
      </c>
      <c r="N25" s="1">
        <f t="shared" si="8"/>
        <v>0</v>
      </c>
      <c r="O25" s="1">
        <f t="shared" si="8"/>
        <v>0</v>
      </c>
      <c r="P25" s="1">
        <f t="shared" si="8"/>
        <v>0</v>
      </c>
      <c r="Q25" s="1">
        <f t="shared" si="8"/>
        <v>0</v>
      </c>
      <c r="R25" s="1">
        <f t="shared" si="8"/>
        <v>0</v>
      </c>
      <c r="S25" s="1">
        <f t="shared" si="8"/>
        <v>0</v>
      </c>
      <c r="T25" s="1">
        <f t="shared" si="8"/>
        <v>0</v>
      </c>
      <c r="U25" s="1">
        <f t="shared" si="8"/>
        <v>0</v>
      </c>
      <c r="V25" s="1">
        <f t="shared" si="8"/>
        <v>0</v>
      </c>
      <c r="W25" s="1">
        <f t="shared" si="8"/>
        <v>0</v>
      </c>
      <c r="X25" s="1">
        <f t="shared" si="8"/>
        <v>0</v>
      </c>
      <c r="Y25" s="1">
        <f t="shared" si="8"/>
        <v>0</v>
      </c>
      <c r="Z25" s="1">
        <f t="shared" si="8"/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7FB9-04A8-41E8-A07F-50AF8A26D9F2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5">
      <c r="A14" t="s">
        <v>21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t="s">
        <v>16</v>
      </c>
      <c r="B16" s="1"/>
      <c r="C16" s="1"/>
      <c r="D16" s="1">
        <f t="shared" ref="D16:Z16" si="0">SUM(D2:D13)</f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0"/>
        <v>0</v>
      </c>
      <c r="J16" s="1">
        <f t="shared" si="0"/>
        <v>0</v>
      </c>
      <c r="K16" s="1">
        <f t="shared" si="0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  <c r="T16" s="1">
        <f t="shared" si="0"/>
        <v>0</v>
      </c>
      <c r="U16" s="1">
        <f t="shared" si="0"/>
        <v>0</v>
      </c>
      <c r="V16" s="1">
        <f t="shared" si="0"/>
        <v>0</v>
      </c>
      <c r="W16" s="1">
        <f t="shared" si="0"/>
        <v>0</v>
      </c>
      <c r="X16" s="1">
        <f t="shared" si="0"/>
        <v>0</v>
      </c>
      <c r="Y16" s="1">
        <f t="shared" si="0"/>
        <v>0</v>
      </c>
      <c r="Z16" s="1">
        <f t="shared" si="0"/>
        <v>0</v>
      </c>
    </row>
    <row r="17" spans="1:26" x14ac:dyDescent="0.25">
      <c r="A17" t="s">
        <v>17</v>
      </c>
      <c r="B17" s="1"/>
      <c r="C17" s="1"/>
      <c r="D17" s="1">
        <f t="shared" ref="D17:Z17" si="1">SUM(D2+D7+D10)</f>
        <v>0</v>
      </c>
      <c r="E17" s="1">
        <f t="shared" si="1"/>
        <v>0</v>
      </c>
      <c r="F17" s="1">
        <f t="shared" si="1"/>
        <v>0</v>
      </c>
      <c r="G17" s="1">
        <f t="shared" si="1"/>
        <v>0</v>
      </c>
      <c r="H17" s="1">
        <f t="shared" si="1"/>
        <v>0</v>
      </c>
      <c r="I17" s="1">
        <f t="shared" si="1"/>
        <v>0</v>
      </c>
      <c r="J17" s="1">
        <f t="shared" si="1"/>
        <v>0</v>
      </c>
      <c r="K17" s="1">
        <f t="shared" si="1"/>
        <v>0</v>
      </c>
      <c r="L17" s="1">
        <f t="shared" si="1"/>
        <v>0</v>
      </c>
      <c r="M17" s="1">
        <f t="shared" si="1"/>
        <v>0</v>
      </c>
      <c r="N17" s="1">
        <f t="shared" si="1"/>
        <v>0</v>
      </c>
      <c r="O17" s="1">
        <f t="shared" si="1"/>
        <v>0</v>
      </c>
      <c r="P17" s="1">
        <f t="shared" si="1"/>
        <v>0</v>
      </c>
      <c r="Q17" s="1">
        <f t="shared" si="1"/>
        <v>0</v>
      </c>
      <c r="R17" s="1">
        <f t="shared" si="1"/>
        <v>0</v>
      </c>
      <c r="S17" s="1">
        <f t="shared" si="1"/>
        <v>0</v>
      </c>
      <c r="T17" s="1">
        <f t="shared" si="1"/>
        <v>0</v>
      </c>
      <c r="U17" s="1">
        <f t="shared" si="1"/>
        <v>0</v>
      </c>
      <c r="V17" s="1">
        <f t="shared" si="1"/>
        <v>0</v>
      </c>
      <c r="W17" s="1">
        <f t="shared" si="1"/>
        <v>0</v>
      </c>
      <c r="X17" s="1">
        <f t="shared" si="1"/>
        <v>0</v>
      </c>
      <c r="Y17" s="1">
        <f t="shared" si="1"/>
        <v>0</v>
      </c>
      <c r="Z17" s="1">
        <f t="shared" si="1"/>
        <v>0</v>
      </c>
    </row>
    <row r="18" spans="1:26" x14ac:dyDescent="0.25">
      <c r="A18" t="s">
        <v>13</v>
      </c>
      <c r="B18" s="1"/>
      <c r="C18" s="1"/>
      <c r="D18" s="1">
        <f t="shared" ref="D18:Z18" si="2">SUM(D2+D3+D7+D10)</f>
        <v>0</v>
      </c>
      <c r="E18" s="1">
        <f t="shared" si="2"/>
        <v>0</v>
      </c>
      <c r="F18" s="1">
        <f t="shared" si="2"/>
        <v>0</v>
      </c>
      <c r="G18" s="1">
        <f t="shared" si="2"/>
        <v>0</v>
      </c>
      <c r="H18" s="1">
        <f t="shared" si="2"/>
        <v>0</v>
      </c>
      <c r="I18" s="1">
        <f t="shared" si="2"/>
        <v>0</v>
      </c>
      <c r="J18" s="1">
        <f t="shared" si="2"/>
        <v>0</v>
      </c>
      <c r="K18" s="1">
        <f t="shared" si="2"/>
        <v>0</v>
      </c>
      <c r="L18" s="1">
        <f t="shared" si="2"/>
        <v>0</v>
      </c>
      <c r="M18" s="1">
        <f t="shared" si="2"/>
        <v>0</v>
      </c>
      <c r="N18" s="1">
        <f t="shared" si="2"/>
        <v>0</v>
      </c>
      <c r="O18" s="1">
        <f t="shared" si="2"/>
        <v>0</v>
      </c>
      <c r="P18" s="1">
        <f t="shared" si="2"/>
        <v>0</v>
      </c>
      <c r="Q18" s="1">
        <f t="shared" si="2"/>
        <v>0</v>
      </c>
      <c r="R18" s="1">
        <f t="shared" si="2"/>
        <v>0</v>
      </c>
      <c r="S18" s="1">
        <f t="shared" si="2"/>
        <v>0</v>
      </c>
      <c r="T18" s="1">
        <f t="shared" si="2"/>
        <v>0</v>
      </c>
      <c r="U18" s="1">
        <f t="shared" si="2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0</v>
      </c>
    </row>
    <row r="19" spans="1:26" x14ac:dyDescent="0.25">
      <c r="A19" t="s">
        <v>14</v>
      </c>
      <c r="B19" s="1"/>
      <c r="C19" s="1"/>
      <c r="D19" s="1">
        <f t="shared" ref="D19:Z19" si="3">+D4+D5+D6+D8+D9+D11+D12+D13</f>
        <v>0</v>
      </c>
      <c r="E19" s="1">
        <f t="shared" si="3"/>
        <v>0</v>
      </c>
      <c r="F19" s="1">
        <f t="shared" si="3"/>
        <v>0</v>
      </c>
      <c r="G19" s="1">
        <f t="shared" si="3"/>
        <v>0</v>
      </c>
      <c r="H19" s="1">
        <f t="shared" si="3"/>
        <v>0</v>
      </c>
      <c r="I19" s="1">
        <f t="shared" si="3"/>
        <v>0</v>
      </c>
      <c r="J19" s="1">
        <f t="shared" si="3"/>
        <v>0</v>
      </c>
      <c r="K19" s="1">
        <f t="shared" si="3"/>
        <v>0</v>
      </c>
      <c r="L19" s="1">
        <f t="shared" si="3"/>
        <v>0</v>
      </c>
      <c r="M19" s="1">
        <f t="shared" si="3"/>
        <v>0</v>
      </c>
      <c r="N19" s="1">
        <f t="shared" si="3"/>
        <v>0</v>
      </c>
      <c r="O19" s="1">
        <f t="shared" si="3"/>
        <v>0</v>
      </c>
      <c r="P19" s="1">
        <f t="shared" si="3"/>
        <v>0</v>
      </c>
      <c r="Q19" s="1">
        <f t="shared" si="3"/>
        <v>0</v>
      </c>
      <c r="R19" s="1">
        <f t="shared" si="3"/>
        <v>0</v>
      </c>
      <c r="S19" s="1">
        <f t="shared" si="3"/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0</v>
      </c>
      <c r="Z19" s="1">
        <f t="shared" si="3"/>
        <v>0</v>
      </c>
    </row>
    <row r="20" spans="1:26" x14ac:dyDescent="0.25">
      <c r="A20" t="s">
        <v>20</v>
      </c>
      <c r="B20" s="1"/>
      <c r="C20" s="1"/>
      <c r="D20" s="1">
        <f t="shared" ref="D20:Z20" si="4">+D6+D8+D9+D11+D12+D13</f>
        <v>0</v>
      </c>
      <c r="E20" s="1">
        <f t="shared" si="4"/>
        <v>0</v>
      </c>
      <c r="F20" s="1">
        <f t="shared" si="4"/>
        <v>0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  <c r="M20" s="1">
        <f t="shared" si="4"/>
        <v>0</v>
      </c>
      <c r="N20" s="1">
        <f t="shared" si="4"/>
        <v>0</v>
      </c>
      <c r="O20" s="1">
        <f t="shared" si="4"/>
        <v>0</v>
      </c>
      <c r="P20" s="1">
        <f t="shared" si="4"/>
        <v>0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si="4"/>
        <v>0</v>
      </c>
      <c r="W20" s="1">
        <f t="shared" si="4"/>
        <v>0</v>
      </c>
      <c r="X20" s="1">
        <f t="shared" si="4"/>
        <v>0</v>
      </c>
      <c r="Y20" s="1">
        <f t="shared" si="4"/>
        <v>0</v>
      </c>
      <c r="Z20" s="1">
        <f t="shared" si="4"/>
        <v>0</v>
      </c>
    </row>
    <row r="21" spans="1:26" x14ac:dyDescent="0.25">
      <c r="A21" t="s">
        <v>34</v>
      </c>
      <c r="B21" s="1"/>
      <c r="C21" s="1"/>
      <c r="D21" s="1">
        <f t="shared" ref="D21:Z21" si="5">+D20+D5</f>
        <v>0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  <c r="O21" s="1">
        <f t="shared" si="5"/>
        <v>0</v>
      </c>
      <c r="P21" s="1">
        <f t="shared" si="5"/>
        <v>0</v>
      </c>
      <c r="Q21" s="1">
        <f t="shared" si="5"/>
        <v>0</v>
      </c>
      <c r="R21" s="1">
        <f t="shared" si="5"/>
        <v>0</v>
      </c>
      <c r="S21" s="1">
        <f t="shared" si="5"/>
        <v>0</v>
      </c>
      <c r="T21" s="1">
        <f t="shared" si="5"/>
        <v>0</v>
      </c>
      <c r="U21" s="1">
        <f t="shared" si="5"/>
        <v>0</v>
      </c>
      <c r="V21" s="1">
        <f t="shared" si="5"/>
        <v>0</v>
      </c>
      <c r="W21" s="1">
        <f t="shared" si="5"/>
        <v>0</v>
      </c>
      <c r="X21" s="1">
        <f t="shared" si="5"/>
        <v>0</v>
      </c>
      <c r="Y21" s="1">
        <f t="shared" si="5"/>
        <v>0</v>
      </c>
      <c r="Z21" s="1">
        <f t="shared" si="5"/>
        <v>0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/>
      <c r="C23" s="1"/>
      <c r="D23" s="1">
        <f t="shared" ref="D23:Z23" si="6">+D4+D5</f>
        <v>0</v>
      </c>
      <c r="E23" s="1">
        <f t="shared" si="6"/>
        <v>0</v>
      </c>
      <c r="F23" s="1">
        <f t="shared" si="6"/>
        <v>0</v>
      </c>
      <c r="G23" s="1">
        <f t="shared" si="6"/>
        <v>0</v>
      </c>
      <c r="H23" s="1">
        <f t="shared" si="6"/>
        <v>0</v>
      </c>
      <c r="I23" s="1">
        <f t="shared" si="6"/>
        <v>0</v>
      </c>
      <c r="J23" s="1">
        <f t="shared" si="6"/>
        <v>0</v>
      </c>
      <c r="K23" s="1">
        <f t="shared" si="6"/>
        <v>0</v>
      </c>
      <c r="L23" s="1">
        <f t="shared" si="6"/>
        <v>0</v>
      </c>
      <c r="M23" s="1">
        <f t="shared" si="6"/>
        <v>0</v>
      </c>
      <c r="N23" s="1">
        <f t="shared" si="6"/>
        <v>0</v>
      </c>
      <c r="O23" s="1">
        <f t="shared" si="6"/>
        <v>0</v>
      </c>
      <c r="P23" s="1">
        <f t="shared" si="6"/>
        <v>0</v>
      </c>
      <c r="Q23" s="1">
        <f t="shared" si="6"/>
        <v>0</v>
      </c>
      <c r="R23" s="1">
        <f t="shared" si="6"/>
        <v>0</v>
      </c>
      <c r="S23" s="1">
        <f t="shared" si="6"/>
        <v>0</v>
      </c>
      <c r="T23" s="1">
        <f t="shared" si="6"/>
        <v>0</v>
      </c>
      <c r="U23" s="1">
        <f t="shared" si="6"/>
        <v>0</v>
      </c>
      <c r="V23" s="1">
        <f t="shared" si="6"/>
        <v>0</v>
      </c>
      <c r="W23" s="1">
        <f t="shared" si="6"/>
        <v>0</v>
      </c>
      <c r="X23" s="1">
        <f t="shared" si="6"/>
        <v>0</v>
      </c>
      <c r="Y23" s="1">
        <f t="shared" si="6"/>
        <v>0</v>
      </c>
      <c r="Z23" s="1">
        <f t="shared" si="6"/>
        <v>0</v>
      </c>
    </row>
    <row r="24" spans="1:26" x14ac:dyDescent="0.25">
      <c r="A24" t="s">
        <v>35</v>
      </c>
      <c r="B24" s="1"/>
      <c r="C24" s="1"/>
      <c r="D24" s="15">
        <f t="shared" ref="D24:Z24" si="7">+D5</f>
        <v>0</v>
      </c>
      <c r="E24" s="15">
        <f t="shared" si="7"/>
        <v>0</v>
      </c>
      <c r="F24" s="15">
        <f t="shared" si="7"/>
        <v>0</v>
      </c>
      <c r="G24" s="15">
        <f t="shared" si="7"/>
        <v>0</v>
      </c>
      <c r="H24" s="15">
        <f t="shared" si="7"/>
        <v>0</v>
      </c>
      <c r="I24" s="15">
        <f t="shared" si="7"/>
        <v>0</v>
      </c>
      <c r="J24" s="15">
        <f t="shared" si="7"/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0</v>
      </c>
      <c r="R24" s="15">
        <f t="shared" si="7"/>
        <v>0</v>
      </c>
      <c r="S24" s="15">
        <f t="shared" si="7"/>
        <v>0</v>
      </c>
      <c r="T24" s="15">
        <f t="shared" si="7"/>
        <v>0</v>
      </c>
      <c r="U24" s="15">
        <f t="shared" si="7"/>
        <v>0</v>
      </c>
      <c r="V24" s="15">
        <f t="shared" si="7"/>
        <v>0</v>
      </c>
      <c r="W24" s="15">
        <f t="shared" si="7"/>
        <v>0</v>
      </c>
      <c r="X24" s="15">
        <f t="shared" si="7"/>
        <v>0</v>
      </c>
      <c r="Y24" s="15">
        <f t="shared" si="7"/>
        <v>0</v>
      </c>
      <c r="Z24" s="15">
        <f t="shared" si="7"/>
        <v>0</v>
      </c>
    </row>
    <row r="25" spans="1:26" x14ac:dyDescent="0.25">
      <c r="A25" t="s">
        <v>36</v>
      </c>
      <c r="B25" s="1"/>
      <c r="C25" s="1"/>
      <c r="D25" s="15">
        <f t="shared" ref="D25:Z25" si="8">+D4</f>
        <v>0</v>
      </c>
      <c r="E25" s="15">
        <f t="shared" si="8"/>
        <v>0</v>
      </c>
      <c r="F25" s="15">
        <f t="shared" si="8"/>
        <v>0</v>
      </c>
      <c r="G25" s="15">
        <f t="shared" si="8"/>
        <v>0</v>
      </c>
      <c r="H25" s="15">
        <f t="shared" si="8"/>
        <v>0</v>
      </c>
      <c r="I25" s="15">
        <f t="shared" si="8"/>
        <v>0</v>
      </c>
      <c r="J25" s="15">
        <f t="shared" si="8"/>
        <v>0</v>
      </c>
      <c r="K25" s="15">
        <f t="shared" si="8"/>
        <v>0</v>
      </c>
      <c r="L25" s="15">
        <f t="shared" si="8"/>
        <v>0</v>
      </c>
      <c r="M25" s="15">
        <f t="shared" si="8"/>
        <v>0</v>
      </c>
      <c r="N25" s="15">
        <f t="shared" si="8"/>
        <v>0</v>
      </c>
      <c r="O25" s="15">
        <f t="shared" si="8"/>
        <v>0</v>
      </c>
      <c r="P25" s="15">
        <f t="shared" si="8"/>
        <v>0</v>
      </c>
      <c r="Q25" s="15">
        <f t="shared" si="8"/>
        <v>0</v>
      </c>
      <c r="R25" s="15">
        <f t="shared" si="8"/>
        <v>0</v>
      </c>
      <c r="S25" s="15">
        <f t="shared" si="8"/>
        <v>0</v>
      </c>
      <c r="T25" s="15">
        <f t="shared" si="8"/>
        <v>0</v>
      </c>
      <c r="U25" s="15">
        <f t="shared" si="8"/>
        <v>0</v>
      </c>
      <c r="V25" s="15">
        <f t="shared" si="8"/>
        <v>0</v>
      </c>
      <c r="W25" s="15">
        <f t="shared" si="8"/>
        <v>0</v>
      </c>
      <c r="X25" s="15">
        <f t="shared" si="8"/>
        <v>0</v>
      </c>
      <c r="Y25" s="15">
        <f t="shared" si="8"/>
        <v>0</v>
      </c>
      <c r="Z25" s="15">
        <f t="shared" si="8"/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F68B-F134-4DC5-86DB-EC4D2A258746}">
  <dimension ref="A1:AR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44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44" x14ac:dyDescent="0.25">
      <c r="A2" t="s">
        <v>1</v>
      </c>
      <c r="B2">
        <v>19845</v>
      </c>
      <c r="C2">
        <v>20445</v>
      </c>
      <c r="D2" s="1">
        <v>21693</v>
      </c>
      <c r="E2" s="1">
        <v>23171</v>
      </c>
      <c r="F2" s="1">
        <v>23858</v>
      </c>
      <c r="G2" s="1">
        <v>24153</v>
      </c>
      <c r="H2" s="1">
        <v>24751</v>
      </c>
      <c r="I2" s="1">
        <v>25404</v>
      </c>
      <c r="J2" s="1">
        <v>25993</v>
      </c>
      <c r="K2" s="1">
        <v>28043</v>
      </c>
      <c r="L2" s="1">
        <v>27695</v>
      </c>
      <c r="M2" s="1">
        <v>28043</v>
      </c>
      <c r="N2" s="1">
        <v>28871</v>
      </c>
      <c r="O2" s="1">
        <v>30782</v>
      </c>
      <c r="P2" s="1">
        <v>31545</v>
      </c>
      <c r="Q2" s="1">
        <v>32668</v>
      </c>
      <c r="R2" s="1">
        <v>30774</v>
      </c>
      <c r="S2" s="1">
        <v>32562</v>
      </c>
      <c r="T2" s="1">
        <v>33767</v>
      </c>
      <c r="U2" s="1">
        <v>35206</v>
      </c>
      <c r="V2" s="1">
        <v>37357</v>
      </c>
      <c r="W2" s="1">
        <v>37692</v>
      </c>
      <c r="X2" s="1">
        <v>35848</v>
      </c>
      <c r="Y2" s="1">
        <v>34815</v>
      </c>
      <c r="Z2" s="1">
        <v>35530</v>
      </c>
    </row>
    <row r="3" spans="1:44" x14ac:dyDescent="0.25">
      <c r="A3" t="s">
        <v>2</v>
      </c>
      <c r="B3">
        <v>836</v>
      </c>
      <c r="C3">
        <v>833</v>
      </c>
      <c r="D3" s="1">
        <v>889</v>
      </c>
      <c r="E3" s="1">
        <v>1226</v>
      </c>
      <c r="F3" s="1">
        <v>1259</v>
      </c>
      <c r="G3" s="1">
        <v>1361</v>
      </c>
      <c r="H3" s="1">
        <v>1370</v>
      </c>
      <c r="I3" s="1">
        <v>1525</v>
      </c>
      <c r="J3" s="1">
        <v>1504</v>
      </c>
      <c r="K3" s="1">
        <v>1544</v>
      </c>
      <c r="L3" s="1">
        <v>1447</v>
      </c>
      <c r="M3" s="1">
        <v>1446</v>
      </c>
      <c r="N3" s="1">
        <v>1538</v>
      </c>
      <c r="O3" s="1">
        <v>1546</v>
      </c>
      <c r="P3" s="1">
        <v>1652</v>
      </c>
      <c r="Q3" s="1">
        <v>1625</v>
      </c>
      <c r="R3" s="1">
        <v>1845</v>
      </c>
      <c r="S3" s="1">
        <v>1909</v>
      </c>
      <c r="T3" s="1">
        <v>1961</v>
      </c>
      <c r="U3" s="1">
        <v>2116</v>
      </c>
      <c r="V3" s="1">
        <v>1997</v>
      </c>
      <c r="W3" s="1">
        <v>1977</v>
      </c>
      <c r="X3" s="1">
        <v>2272</v>
      </c>
      <c r="Y3" s="1">
        <v>2101</v>
      </c>
      <c r="Z3" s="1">
        <v>1998</v>
      </c>
    </row>
    <row r="4" spans="1:44" x14ac:dyDescent="0.25">
      <c r="A4" t="s">
        <v>3</v>
      </c>
      <c r="B4">
        <v>1658</v>
      </c>
      <c r="C4">
        <v>1609</v>
      </c>
      <c r="D4" s="1">
        <v>1500</v>
      </c>
      <c r="E4" s="1">
        <v>1588</v>
      </c>
      <c r="F4" s="1">
        <v>1584</v>
      </c>
      <c r="G4" s="1">
        <v>1823</v>
      </c>
      <c r="H4" s="1">
        <v>1739</v>
      </c>
      <c r="I4" s="1">
        <v>1880</v>
      </c>
      <c r="J4" s="1">
        <v>1844</v>
      </c>
      <c r="K4" s="1">
        <v>1827</v>
      </c>
      <c r="L4" s="1">
        <v>1832</v>
      </c>
      <c r="M4" s="1">
        <v>1889</v>
      </c>
      <c r="N4" s="1">
        <v>1829</v>
      </c>
      <c r="O4" s="1">
        <v>1848</v>
      </c>
      <c r="P4" s="1">
        <v>1835</v>
      </c>
      <c r="Q4" s="1">
        <v>1998</v>
      </c>
      <c r="R4" s="1">
        <v>2236</v>
      </c>
      <c r="S4" s="1">
        <v>2247</v>
      </c>
      <c r="T4" s="1">
        <v>2432</v>
      </c>
      <c r="U4" s="1">
        <v>2270</v>
      </c>
      <c r="V4" s="1">
        <v>2362</v>
      </c>
      <c r="W4" s="1">
        <v>2372</v>
      </c>
      <c r="X4" s="1">
        <v>2356</v>
      </c>
      <c r="Y4" s="1">
        <v>2302</v>
      </c>
      <c r="Z4" s="1">
        <v>2185</v>
      </c>
      <c r="AR4" s="1"/>
    </row>
    <row r="5" spans="1:44" x14ac:dyDescent="0.25">
      <c r="A5" t="s">
        <v>4</v>
      </c>
      <c r="B5">
        <v>1402</v>
      </c>
      <c r="C5">
        <v>1457</v>
      </c>
      <c r="D5" s="1">
        <v>1447</v>
      </c>
      <c r="E5" s="1">
        <v>1424</v>
      </c>
      <c r="F5" s="1">
        <v>1463</v>
      </c>
      <c r="G5" s="1">
        <v>1607</v>
      </c>
      <c r="H5" s="1">
        <v>1589</v>
      </c>
      <c r="I5" s="1">
        <v>1754</v>
      </c>
      <c r="J5" s="1">
        <v>1736</v>
      </c>
      <c r="K5" s="1">
        <v>1582</v>
      </c>
      <c r="L5" s="1">
        <v>1578</v>
      </c>
      <c r="M5" s="1">
        <v>1691</v>
      </c>
      <c r="N5" s="1">
        <v>1789</v>
      </c>
      <c r="O5" s="1">
        <v>1549</v>
      </c>
      <c r="P5" s="1">
        <v>1632</v>
      </c>
      <c r="Q5" s="1">
        <v>1852</v>
      </c>
      <c r="R5" s="1">
        <v>1896</v>
      </c>
      <c r="S5" s="1">
        <v>1755</v>
      </c>
      <c r="T5" s="1">
        <v>1822</v>
      </c>
      <c r="U5" s="1">
        <v>1923</v>
      </c>
      <c r="V5" s="1">
        <v>2190</v>
      </c>
      <c r="W5" s="1">
        <v>2050</v>
      </c>
      <c r="X5" s="1">
        <v>2134</v>
      </c>
      <c r="Y5" s="1">
        <v>1994</v>
      </c>
      <c r="Z5" s="1">
        <v>1860</v>
      </c>
      <c r="AR5" s="1"/>
    </row>
    <row r="6" spans="1:44" x14ac:dyDescent="0.25">
      <c r="A6" t="s">
        <v>5</v>
      </c>
      <c r="B6">
        <v>1347</v>
      </c>
      <c r="C6">
        <v>1279</v>
      </c>
      <c r="D6" s="1">
        <v>1265</v>
      </c>
      <c r="E6" s="1">
        <v>1228</v>
      </c>
      <c r="F6" s="1">
        <v>1325</v>
      </c>
      <c r="G6" s="1">
        <v>1334</v>
      </c>
      <c r="H6" s="1">
        <v>1336</v>
      </c>
      <c r="I6" s="1">
        <v>1387</v>
      </c>
      <c r="J6" s="1">
        <v>1438</v>
      </c>
      <c r="K6" s="1">
        <v>1398</v>
      </c>
      <c r="L6" s="1">
        <v>1413</v>
      </c>
      <c r="M6" s="1">
        <v>1423</v>
      </c>
      <c r="N6" s="1">
        <v>1587</v>
      </c>
      <c r="O6" s="1">
        <v>1649</v>
      </c>
      <c r="P6" s="1">
        <v>1691</v>
      </c>
      <c r="Q6" s="1">
        <v>1615</v>
      </c>
      <c r="R6" s="1">
        <v>1734</v>
      </c>
      <c r="S6" s="1">
        <v>1728</v>
      </c>
      <c r="T6" s="1">
        <v>1799</v>
      </c>
      <c r="U6" s="1">
        <v>1832</v>
      </c>
      <c r="V6" s="1">
        <v>1910</v>
      </c>
      <c r="W6" s="1">
        <v>1913</v>
      </c>
      <c r="X6" s="1">
        <v>2008</v>
      </c>
      <c r="Y6" s="1">
        <v>1963</v>
      </c>
      <c r="Z6" s="1">
        <v>1896</v>
      </c>
      <c r="AR6" s="1"/>
    </row>
    <row r="7" spans="1:44" x14ac:dyDescent="0.25">
      <c r="A7" t="s">
        <v>6</v>
      </c>
      <c r="B7">
        <v>6343</v>
      </c>
      <c r="C7">
        <v>6280</v>
      </c>
      <c r="D7" s="1">
        <v>6380</v>
      </c>
      <c r="E7" s="1">
        <v>6189</v>
      </c>
      <c r="F7" s="1">
        <v>6373</v>
      </c>
      <c r="G7" s="1">
        <v>6655</v>
      </c>
      <c r="H7" s="1">
        <v>6691</v>
      </c>
      <c r="I7" s="1">
        <v>7101</v>
      </c>
      <c r="J7" s="1">
        <v>7732</v>
      </c>
      <c r="K7" s="1">
        <v>7879</v>
      </c>
      <c r="L7" s="1">
        <v>7951</v>
      </c>
      <c r="M7" s="1">
        <v>7839</v>
      </c>
      <c r="N7" s="1">
        <v>8128</v>
      </c>
      <c r="O7" s="1">
        <v>8591</v>
      </c>
      <c r="P7" s="1">
        <v>9129</v>
      </c>
      <c r="Q7" s="1">
        <v>8934</v>
      </c>
      <c r="R7" s="1">
        <v>9385</v>
      </c>
      <c r="S7" s="1">
        <v>9510</v>
      </c>
      <c r="T7" s="1">
        <v>10141</v>
      </c>
      <c r="U7" s="1">
        <v>10373</v>
      </c>
      <c r="V7" s="1">
        <v>10734</v>
      </c>
      <c r="W7" s="1">
        <v>10682</v>
      </c>
      <c r="X7" s="1">
        <v>10697</v>
      </c>
      <c r="Y7" s="1">
        <v>10504</v>
      </c>
      <c r="Z7" s="1">
        <v>10192</v>
      </c>
      <c r="AR7" s="1"/>
    </row>
    <row r="8" spans="1:44" x14ac:dyDescent="0.25">
      <c r="A8" t="s">
        <v>7</v>
      </c>
      <c r="B8">
        <v>3690</v>
      </c>
      <c r="C8">
        <v>3458</v>
      </c>
      <c r="D8" s="1">
        <v>3365</v>
      </c>
      <c r="E8" s="1">
        <v>3352</v>
      </c>
      <c r="F8" s="1">
        <v>3688</v>
      </c>
      <c r="G8" s="1">
        <v>3965</v>
      </c>
      <c r="H8" s="1">
        <v>3988</v>
      </c>
      <c r="I8" s="1">
        <v>4627</v>
      </c>
      <c r="J8" s="1">
        <v>4231</v>
      </c>
      <c r="K8" s="1">
        <v>3967</v>
      </c>
      <c r="L8" s="1">
        <v>4141</v>
      </c>
      <c r="M8" s="1">
        <v>4350</v>
      </c>
      <c r="N8" s="1">
        <v>4278</v>
      </c>
      <c r="O8" s="1">
        <v>4432</v>
      </c>
      <c r="P8" s="1">
        <v>4606</v>
      </c>
      <c r="Q8" s="1">
        <v>4985</v>
      </c>
      <c r="R8" s="1">
        <v>4886</v>
      </c>
      <c r="S8" s="1">
        <v>5299</v>
      </c>
      <c r="T8" s="1">
        <v>4893</v>
      </c>
      <c r="U8" s="1">
        <v>5176</v>
      </c>
      <c r="V8" s="1">
        <v>5066</v>
      </c>
      <c r="W8" s="1">
        <v>5577</v>
      </c>
      <c r="X8" s="1">
        <v>4992</v>
      </c>
      <c r="Y8" s="1">
        <v>5913</v>
      </c>
      <c r="Z8" s="1">
        <v>5289</v>
      </c>
      <c r="AR8" s="1"/>
    </row>
    <row r="9" spans="1:44" x14ac:dyDescent="0.25">
      <c r="A9" t="s">
        <v>8</v>
      </c>
      <c r="B9">
        <v>3084</v>
      </c>
      <c r="C9">
        <v>2907</v>
      </c>
      <c r="D9" s="1">
        <v>2951</v>
      </c>
      <c r="E9" s="1">
        <v>2996</v>
      </c>
      <c r="F9" s="1">
        <v>2877</v>
      </c>
      <c r="G9" s="1">
        <v>3132</v>
      </c>
      <c r="H9" s="1">
        <v>3195</v>
      </c>
      <c r="I9" s="1">
        <v>3395</v>
      </c>
      <c r="J9" s="1">
        <v>3534</v>
      </c>
      <c r="K9" s="1">
        <v>3385</v>
      </c>
      <c r="L9" s="1">
        <v>3534</v>
      </c>
      <c r="M9" s="1">
        <v>3574</v>
      </c>
      <c r="N9" s="1">
        <v>3556</v>
      </c>
      <c r="O9" s="1">
        <v>3752</v>
      </c>
      <c r="P9" s="1">
        <v>4295</v>
      </c>
      <c r="Q9" s="1">
        <v>4434</v>
      </c>
      <c r="R9" s="1">
        <v>4296</v>
      </c>
      <c r="S9" s="1">
        <v>4446</v>
      </c>
      <c r="T9" s="1">
        <v>4330</v>
      </c>
      <c r="U9" s="1">
        <v>4812</v>
      </c>
      <c r="V9" s="1">
        <v>4882</v>
      </c>
      <c r="W9" s="1">
        <v>4602</v>
      </c>
      <c r="X9" s="1">
        <v>4779</v>
      </c>
      <c r="Y9" s="1">
        <v>4539</v>
      </c>
      <c r="Z9" s="1">
        <v>4683</v>
      </c>
      <c r="AR9" s="1"/>
    </row>
    <row r="10" spans="1:44" x14ac:dyDescent="0.25">
      <c r="A10" t="s">
        <v>9</v>
      </c>
      <c r="B10">
        <v>10302</v>
      </c>
      <c r="C10">
        <v>9625</v>
      </c>
      <c r="D10" s="1">
        <v>9214</v>
      </c>
      <c r="E10" s="1">
        <v>9133</v>
      </c>
      <c r="F10" s="1">
        <v>10161</v>
      </c>
      <c r="G10" s="1">
        <v>10434</v>
      </c>
      <c r="H10" s="1">
        <v>10417</v>
      </c>
      <c r="I10" s="1">
        <v>10501</v>
      </c>
      <c r="J10" s="1">
        <v>11365</v>
      </c>
      <c r="K10" s="1">
        <v>10902</v>
      </c>
      <c r="L10" s="1">
        <v>11116</v>
      </c>
      <c r="M10" s="1">
        <v>11168</v>
      </c>
      <c r="N10" s="1">
        <v>10990</v>
      </c>
      <c r="O10" s="1">
        <v>11657</v>
      </c>
      <c r="P10" s="1">
        <v>11946</v>
      </c>
      <c r="Q10" s="1">
        <v>11991</v>
      </c>
      <c r="R10" s="1">
        <v>12260</v>
      </c>
      <c r="S10" s="1">
        <v>12139</v>
      </c>
      <c r="T10" s="1">
        <v>12552</v>
      </c>
      <c r="U10" s="1">
        <v>13359</v>
      </c>
      <c r="V10" s="1">
        <v>14247</v>
      </c>
      <c r="W10" s="1">
        <v>14572</v>
      </c>
      <c r="X10" s="1">
        <v>14653</v>
      </c>
      <c r="Y10" s="1">
        <v>14690</v>
      </c>
      <c r="Z10" s="1">
        <v>14019</v>
      </c>
      <c r="AR10" s="1"/>
    </row>
    <row r="11" spans="1:44" x14ac:dyDescent="0.25">
      <c r="A11" t="s">
        <v>10</v>
      </c>
      <c r="B11">
        <v>1743</v>
      </c>
      <c r="C11">
        <v>1786</v>
      </c>
      <c r="D11" s="1">
        <v>1626</v>
      </c>
      <c r="E11" s="1">
        <v>1655</v>
      </c>
      <c r="F11" s="1">
        <v>1806</v>
      </c>
      <c r="G11" s="1">
        <v>1734</v>
      </c>
      <c r="H11" s="1">
        <v>2034</v>
      </c>
      <c r="I11" s="1">
        <v>1933</v>
      </c>
      <c r="J11" s="1">
        <v>2012</v>
      </c>
      <c r="K11" s="1">
        <v>1855</v>
      </c>
      <c r="L11" s="1">
        <v>1855</v>
      </c>
      <c r="M11" s="1">
        <v>1961</v>
      </c>
      <c r="N11" s="1">
        <v>1976</v>
      </c>
      <c r="O11" s="1">
        <v>1878</v>
      </c>
      <c r="P11" s="1">
        <v>2129</v>
      </c>
      <c r="Q11" s="1">
        <v>1947</v>
      </c>
      <c r="R11" s="1">
        <v>2150</v>
      </c>
      <c r="S11" s="1">
        <v>2765</v>
      </c>
      <c r="T11" s="1">
        <v>2766</v>
      </c>
      <c r="U11" s="1">
        <v>2529</v>
      </c>
      <c r="V11" s="1">
        <v>2399</v>
      </c>
      <c r="W11" s="1">
        <v>2187</v>
      </c>
      <c r="X11" s="1">
        <v>2555</v>
      </c>
      <c r="Y11" s="1">
        <v>2440</v>
      </c>
      <c r="Z11" s="1">
        <v>2297</v>
      </c>
      <c r="AR11" s="1"/>
    </row>
    <row r="12" spans="1:44" x14ac:dyDescent="0.25">
      <c r="A12" t="s">
        <v>11</v>
      </c>
      <c r="B12">
        <v>1272</v>
      </c>
      <c r="C12">
        <v>1191</v>
      </c>
      <c r="D12" s="1">
        <v>1187</v>
      </c>
      <c r="E12" s="1">
        <v>1097</v>
      </c>
      <c r="F12" s="1">
        <v>1166</v>
      </c>
      <c r="G12" s="1">
        <v>1238</v>
      </c>
      <c r="H12" s="1">
        <v>1204</v>
      </c>
      <c r="I12" s="1">
        <v>1093</v>
      </c>
      <c r="J12" s="1">
        <v>1154</v>
      </c>
      <c r="K12" s="1">
        <v>1206</v>
      </c>
      <c r="L12" s="1">
        <v>1326</v>
      </c>
      <c r="M12" s="1">
        <v>1393</v>
      </c>
      <c r="N12" s="1">
        <v>1395</v>
      </c>
      <c r="O12" s="1">
        <v>1265</v>
      </c>
      <c r="P12" s="1">
        <v>1383</v>
      </c>
      <c r="Q12" s="1">
        <v>1441</v>
      </c>
      <c r="R12" s="1">
        <v>1420</v>
      </c>
      <c r="S12" s="1">
        <v>1648</v>
      </c>
      <c r="T12" s="1">
        <v>1389</v>
      </c>
      <c r="U12" s="1">
        <v>1681</v>
      </c>
      <c r="V12" s="1">
        <v>1698</v>
      </c>
      <c r="W12" s="1">
        <v>1459</v>
      </c>
      <c r="X12" s="1">
        <v>1562</v>
      </c>
      <c r="Y12" s="1">
        <v>1597</v>
      </c>
      <c r="Z12" s="1">
        <v>1491</v>
      </c>
      <c r="AR12" s="1"/>
    </row>
    <row r="13" spans="1:44" x14ac:dyDescent="0.25">
      <c r="A13" t="s">
        <v>12</v>
      </c>
      <c r="B13">
        <v>1620</v>
      </c>
      <c r="C13">
        <v>1667</v>
      </c>
      <c r="D13" s="1">
        <v>1688</v>
      </c>
      <c r="E13" s="1">
        <v>1490</v>
      </c>
      <c r="F13" s="1">
        <v>1518</v>
      </c>
      <c r="G13" s="1">
        <v>1613</v>
      </c>
      <c r="H13" s="1">
        <v>1511</v>
      </c>
      <c r="I13" s="1">
        <v>1579</v>
      </c>
      <c r="J13" s="1">
        <v>1575</v>
      </c>
      <c r="K13" s="1">
        <v>1521</v>
      </c>
      <c r="L13" s="1">
        <v>1519</v>
      </c>
      <c r="M13" s="1">
        <v>1502</v>
      </c>
      <c r="N13" s="1">
        <v>1426</v>
      </c>
      <c r="O13" s="1">
        <v>1462</v>
      </c>
      <c r="P13" s="1">
        <v>1463</v>
      </c>
      <c r="Q13" s="1">
        <v>1493</v>
      </c>
      <c r="R13" s="1">
        <v>1589</v>
      </c>
      <c r="S13" s="1">
        <v>1626</v>
      </c>
      <c r="T13" s="1">
        <v>1665</v>
      </c>
      <c r="U13" s="1">
        <v>1556</v>
      </c>
      <c r="V13" s="1">
        <v>1428</v>
      </c>
      <c r="W13" s="1">
        <v>1385</v>
      </c>
      <c r="X13" s="1">
        <v>1491</v>
      </c>
      <c r="Y13" s="1">
        <v>1453</v>
      </c>
      <c r="Z13" s="1">
        <v>1525</v>
      </c>
      <c r="AR13" s="1"/>
    </row>
    <row r="14" spans="1:44" x14ac:dyDescent="0.25">
      <c r="A14" t="s">
        <v>21</v>
      </c>
      <c r="AR14" s="1"/>
    </row>
    <row r="15" spans="1:44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R15" s="1"/>
    </row>
    <row r="16" spans="1:44" x14ac:dyDescent="0.25">
      <c r="A16" t="s">
        <v>16</v>
      </c>
      <c r="B16" s="1">
        <f t="shared" ref="B16:Z16" si="0">SUM(B2:B13)</f>
        <v>53142</v>
      </c>
      <c r="C16" s="1">
        <f t="shared" si="0"/>
        <v>52537</v>
      </c>
      <c r="D16" s="1">
        <f t="shared" si="0"/>
        <v>53205</v>
      </c>
      <c r="E16" s="1">
        <f t="shared" si="0"/>
        <v>54549</v>
      </c>
      <c r="F16" s="1">
        <f t="shared" si="0"/>
        <v>57078</v>
      </c>
      <c r="G16" s="1">
        <f t="shared" si="0"/>
        <v>59049</v>
      </c>
      <c r="H16" s="1">
        <f t="shared" si="0"/>
        <v>59825</v>
      </c>
      <c r="I16" s="1">
        <f t="shared" si="0"/>
        <v>62179</v>
      </c>
      <c r="J16" s="1">
        <f t="shared" si="0"/>
        <v>64118</v>
      </c>
      <c r="K16" s="1">
        <f t="shared" si="0"/>
        <v>65109</v>
      </c>
      <c r="L16" s="1">
        <f t="shared" si="0"/>
        <v>65407</v>
      </c>
      <c r="M16" s="1">
        <f t="shared" si="0"/>
        <v>66279</v>
      </c>
      <c r="N16" s="1">
        <f t="shared" si="0"/>
        <v>67363</v>
      </c>
      <c r="O16" s="1">
        <f t="shared" si="0"/>
        <v>70411</v>
      </c>
      <c r="P16" s="1">
        <f t="shared" si="0"/>
        <v>73306</v>
      </c>
      <c r="Q16" s="1">
        <f t="shared" si="0"/>
        <v>74983</v>
      </c>
      <c r="R16" s="1">
        <f t="shared" si="0"/>
        <v>74471</v>
      </c>
      <c r="S16" s="1">
        <f t="shared" si="0"/>
        <v>77634</v>
      </c>
      <c r="T16" s="1">
        <f t="shared" si="0"/>
        <v>79517</v>
      </c>
      <c r="U16" s="1">
        <f t="shared" si="0"/>
        <v>82833</v>
      </c>
      <c r="V16" s="1">
        <f t="shared" si="0"/>
        <v>86270</v>
      </c>
      <c r="W16" s="1">
        <f t="shared" si="0"/>
        <v>86468</v>
      </c>
      <c r="X16" s="1">
        <f t="shared" si="0"/>
        <v>85347</v>
      </c>
      <c r="Y16" s="1">
        <f t="shared" si="0"/>
        <v>84311</v>
      </c>
      <c r="Z16" s="1">
        <f t="shared" si="0"/>
        <v>82965</v>
      </c>
    </row>
    <row r="17" spans="1:26" x14ac:dyDescent="0.25">
      <c r="A17" t="s">
        <v>17</v>
      </c>
      <c r="B17" s="1">
        <f t="shared" ref="B17:Z17" si="1">SUM(B2+B7+B10)</f>
        <v>36490</v>
      </c>
      <c r="C17" s="1">
        <f t="shared" si="1"/>
        <v>36350</v>
      </c>
      <c r="D17" s="1">
        <f t="shared" si="1"/>
        <v>37287</v>
      </c>
      <c r="E17" s="1">
        <f t="shared" si="1"/>
        <v>38493</v>
      </c>
      <c r="F17" s="1">
        <f t="shared" si="1"/>
        <v>40392</v>
      </c>
      <c r="G17" s="1">
        <f t="shared" si="1"/>
        <v>41242</v>
      </c>
      <c r="H17" s="1">
        <f t="shared" si="1"/>
        <v>41859</v>
      </c>
      <c r="I17" s="1">
        <f t="shared" si="1"/>
        <v>43006</v>
      </c>
      <c r="J17" s="1">
        <f t="shared" si="1"/>
        <v>45090</v>
      </c>
      <c r="K17" s="1">
        <f t="shared" si="1"/>
        <v>46824</v>
      </c>
      <c r="L17" s="1">
        <f t="shared" si="1"/>
        <v>46762</v>
      </c>
      <c r="M17" s="1">
        <f t="shared" si="1"/>
        <v>47050</v>
      </c>
      <c r="N17" s="1">
        <f t="shared" si="1"/>
        <v>47989</v>
      </c>
      <c r="O17" s="1">
        <f t="shared" si="1"/>
        <v>51030</v>
      </c>
      <c r="P17" s="1">
        <f t="shared" si="1"/>
        <v>52620</v>
      </c>
      <c r="Q17" s="1">
        <f t="shared" si="1"/>
        <v>53593</v>
      </c>
      <c r="R17" s="1">
        <f t="shared" si="1"/>
        <v>52419</v>
      </c>
      <c r="S17" s="1">
        <f t="shared" si="1"/>
        <v>54211</v>
      </c>
      <c r="T17" s="1">
        <f t="shared" si="1"/>
        <v>56460</v>
      </c>
      <c r="U17" s="1">
        <f t="shared" si="1"/>
        <v>58938</v>
      </c>
      <c r="V17" s="1">
        <f t="shared" si="1"/>
        <v>62338</v>
      </c>
      <c r="W17" s="1">
        <f t="shared" si="1"/>
        <v>62946</v>
      </c>
      <c r="X17" s="1">
        <f t="shared" si="1"/>
        <v>61198</v>
      </c>
      <c r="Y17" s="1">
        <f t="shared" si="1"/>
        <v>60009</v>
      </c>
      <c r="Z17" s="1">
        <f t="shared" si="1"/>
        <v>59741</v>
      </c>
    </row>
    <row r="18" spans="1:26" x14ac:dyDescent="0.25">
      <c r="A18" t="s">
        <v>13</v>
      </c>
      <c r="B18" s="1">
        <f t="shared" ref="B18:Z18" si="2">SUM(B2+B3+B7+B10)</f>
        <v>37326</v>
      </c>
      <c r="C18" s="1">
        <f t="shared" si="2"/>
        <v>37183</v>
      </c>
      <c r="D18" s="1">
        <f t="shared" si="2"/>
        <v>38176</v>
      </c>
      <c r="E18" s="1">
        <f t="shared" si="2"/>
        <v>39719</v>
      </c>
      <c r="F18" s="1">
        <f t="shared" si="2"/>
        <v>41651</v>
      </c>
      <c r="G18" s="1">
        <f t="shared" si="2"/>
        <v>42603</v>
      </c>
      <c r="H18" s="1">
        <f t="shared" si="2"/>
        <v>43229</v>
      </c>
      <c r="I18" s="1">
        <f t="shared" si="2"/>
        <v>44531</v>
      </c>
      <c r="J18" s="1">
        <f t="shared" si="2"/>
        <v>46594</v>
      </c>
      <c r="K18" s="1">
        <f t="shared" si="2"/>
        <v>48368</v>
      </c>
      <c r="L18" s="1">
        <f t="shared" si="2"/>
        <v>48209</v>
      </c>
      <c r="M18" s="1">
        <f t="shared" si="2"/>
        <v>48496</v>
      </c>
      <c r="N18" s="1">
        <f t="shared" si="2"/>
        <v>49527</v>
      </c>
      <c r="O18" s="1">
        <f t="shared" si="2"/>
        <v>52576</v>
      </c>
      <c r="P18" s="1">
        <f t="shared" si="2"/>
        <v>54272</v>
      </c>
      <c r="Q18" s="1">
        <f t="shared" si="2"/>
        <v>55218</v>
      </c>
      <c r="R18" s="1">
        <f t="shared" si="2"/>
        <v>54264</v>
      </c>
      <c r="S18" s="1">
        <f t="shared" si="2"/>
        <v>56120</v>
      </c>
      <c r="T18" s="1">
        <f t="shared" si="2"/>
        <v>58421</v>
      </c>
      <c r="U18" s="1">
        <f t="shared" si="2"/>
        <v>61054</v>
      </c>
      <c r="V18" s="1">
        <f t="shared" si="2"/>
        <v>64335</v>
      </c>
      <c r="W18" s="1">
        <f t="shared" si="2"/>
        <v>64923</v>
      </c>
      <c r="X18" s="1">
        <f t="shared" si="2"/>
        <v>63470</v>
      </c>
      <c r="Y18" s="1">
        <f t="shared" si="2"/>
        <v>62110</v>
      </c>
      <c r="Z18" s="1">
        <f t="shared" si="2"/>
        <v>61739</v>
      </c>
    </row>
    <row r="19" spans="1:26" x14ac:dyDescent="0.25">
      <c r="A19" t="s">
        <v>14</v>
      </c>
      <c r="B19" s="1">
        <f t="shared" ref="B19:Z19" si="3">+B4+B5+B6+B8+B9+B11+B12+B13</f>
        <v>15816</v>
      </c>
      <c r="C19" s="1">
        <f t="shared" si="3"/>
        <v>15354</v>
      </c>
      <c r="D19" s="1">
        <f t="shared" si="3"/>
        <v>15029</v>
      </c>
      <c r="E19" s="1">
        <f t="shared" si="3"/>
        <v>14830</v>
      </c>
      <c r="F19" s="1">
        <f t="shared" si="3"/>
        <v>15427</v>
      </c>
      <c r="G19" s="1">
        <f t="shared" si="3"/>
        <v>16446</v>
      </c>
      <c r="H19" s="1">
        <f t="shared" si="3"/>
        <v>16596</v>
      </c>
      <c r="I19" s="1">
        <f t="shared" si="3"/>
        <v>17648</v>
      </c>
      <c r="J19" s="1">
        <f t="shared" si="3"/>
        <v>17524</v>
      </c>
      <c r="K19" s="1">
        <f t="shared" si="3"/>
        <v>16741</v>
      </c>
      <c r="L19" s="1">
        <f t="shared" si="3"/>
        <v>17198</v>
      </c>
      <c r="M19" s="1">
        <f t="shared" si="3"/>
        <v>17783</v>
      </c>
      <c r="N19" s="1">
        <f t="shared" si="3"/>
        <v>17836</v>
      </c>
      <c r="O19" s="1">
        <f t="shared" si="3"/>
        <v>17835</v>
      </c>
      <c r="P19" s="1">
        <f t="shared" si="3"/>
        <v>19034</v>
      </c>
      <c r="Q19" s="1">
        <f t="shared" si="3"/>
        <v>19765</v>
      </c>
      <c r="R19" s="1">
        <f t="shared" si="3"/>
        <v>20207</v>
      </c>
      <c r="S19" s="1">
        <f t="shared" si="3"/>
        <v>21514</v>
      </c>
      <c r="T19" s="1">
        <f t="shared" si="3"/>
        <v>21096</v>
      </c>
      <c r="U19" s="1">
        <f t="shared" si="3"/>
        <v>21779</v>
      </c>
      <c r="V19" s="1">
        <f t="shared" si="3"/>
        <v>21935</v>
      </c>
      <c r="W19" s="1">
        <f t="shared" si="3"/>
        <v>21545</v>
      </c>
      <c r="X19" s="1">
        <f t="shared" si="3"/>
        <v>21877</v>
      </c>
      <c r="Y19" s="1">
        <f t="shared" si="3"/>
        <v>22201</v>
      </c>
      <c r="Z19" s="1">
        <f t="shared" si="3"/>
        <v>21226</v>
      </c>
    </row>
    <row r="20" spans="1:26" x14ac:dyDescent="0.25">
      <c r="A20" t="s">
        <v>20</v>
      </c>
      <c r="B20" s="1">
        <f t="shared" ref="B20:Z20" si="4">+B6+B8+B9+B11+B12+B13</f>
        <v>12756</v>
      </c>
      <c r="C20" s="1">
        <f t="shared" si="4"/>
        <v>12288</v>
      </c>
      <c r="D20" s="1">
        <f t="shared" si="4"/>
        <v>12082</v>
      </c>
      <c r="E20" s="1">
        <f t="shared" si="4"/>
        <v>11818</v>
      </c>
      <c r="F20" s="1">
        <f t="shared" si="4"/>
        <v>12380</v>
      </c>
      <c r="G20" s="1">
        <f t="shared" si="4"/>
        <v>13016</v>
      </c>
      <c r="H20" s="1">
        <f t="shared" si="4"/>
        <v>13268</v>
      </c>
      <c r="I20" s="1">
        <f t="shared" si="4"/>
        <v>14014</v>
      </c>
      <c r="J20" s="1">
        <f t="shared" si="4"/>
        <v>13944</v>
      </c>
      <c r="K20" s="1">
        <f t="shared" si="4"/>
        <v>13332</v>
      </c>
      <c r="L20" s="1">
        <f t="shared" si="4"/>
        <v>13788</v>
      </c>
      <c r="M20" s="1">
        <f t="shared" si="4"/>
        <v>14203</v>
      </c>
      <c r="N20" s="1">
        <f t="shared" si="4"/>
        <v>14218</v>
      </c>
      <c r="O20" s="1">
        <f t="shared" si="4"/>
        <v>14438</v>
      </c>
      <c r="P20" s="1">
        <f t="shared" si="4"/>
        <v>15567</v>
      </c>
      <c r="Q20" s="1">
        <f t="shared" si="4"/>
        <v>15915</v>
      </c>
      <c r="R20" s="1">
        <f t="shared" si="4"/>
        <v>16075</v>
      </c>
      <c r="S20" s="1">
        <f t="shared" si="4"/>
        <v>17512</v>
      </c>
      <c r="T20" s="1">
        <f t="shared" si="4"/>
        <v>16842</v>
      </c>
      <c r="U20" s="1">
        <f t="shared" si="4"/>
        <v>17586</v>
      </c>
      <c r="V20" s="1">
        <f t="shared" si="4"/>
        <v>17383</v>
      </c>
      <c r="W20" s="1">
        <f t="shared" si="4"/>
        <v>17123</v>
      </c>
      <c r="X20" s="1">
        <f t="shared" si="4"/>
        <v>17387</v>
      </c>
      <c r="Y20" s="1">
        <f t="shared" si="4"/>
        <v>17905</v>
      </c>
      <c r="Z20" s="1">
        <f t="shared" si="4"/>
        <v>17181</v>
      </c>
    </row>
    <row r="21" spans="1:26" x14ac:dyDescent="0.25">
      <c r="A21" t="s">
        <v>34</v>
      </c>
      <c r="B21" s="1">
        <f t="shared" ref="B21:Z21" si="5">+B20+B5</f>
        <v>14158</v>
      </c>
      <c r="C21" s="1">
        <f t="shared" si="5"/>
        <v>13745</v>
      </c>
      <c r="D21" s="1">
        <f t="shared" si="5"/>
        <v>13529</v>
      </c>
      <c r="E21" s="1">
        <f t="shared" si="5"/>
        <v>13242</v>
      </c>
      <c r="F21" s="1">
        <f t="shared" si="5"/>
        <v>13843</v>
      </c>
      <c r="G21" s="1">
        <f t="shared" si="5"/>
        <v>14623</v>
      </c>
      <c r="H21" s="1">
        <f t="shared" si="5"/>
        <v>14857</v>
      </c>
      <c r="I21" s="1">
        <f t="shared" si="5"/>
        <v>15768</v>
      </c>
      <c r="J21" s="1">
        <f t="shared" si="5"/>
        <v>15680</v>
      </c>
      <c r="K21" s="1">
        <f t="shared" si="5"/>
        <v>14914</v>
      </c>
      <c r="L21" s="1">
        <f t="shared" si="5"/>
        <v>15366</v>
      </c>
      <c r="M21" s="1">
        <f t="shared" si="5"/>
        <v>15894</v>
      </c>
      <c r="N21" s="1">
        <f t="shared" si="5"/>
        <v>16007</v>
      </c>
      <c r="O21" s="1">
        <f t="shared" si="5"/>
        <v>15987</v>
      </c>
      <c r="P21" s="1">
        <f t="shared" si="5"/>
        <v>17199</v>
      </c>
      <c r="Q21" s="1">
        <f t="shared" si="5"/>
        <v>17767</v>
      </c>
      <c r="R21" s="1">
        <f t="shared" si="5"/>
        <v>17971</v>
      </c>
      <c r="S21" s="1">
        <f t="shared" si="5"/>
        <v>19267</v>
      </c>
      <c r="T21" s="1">
        <f t="shared" si="5"/>
        <v>18664</v>
      </c>
      <c r="U21" s="1">
        <f t="shared" si="5"/>
        <v>19509</v>
      </c>
      <c r="V21" s="1">
        <f t="shared" si="5"/>
        <v>19573</v>
      </c>
      <c r="W21" s="1">
        <f t="shared" si="5"/>
        <v>19173</v>
      </c>
      <c r="X21" s="1">
        <f t="shared" si="5"/>
        <v>19521</v>
      </c>
      <c r="Y21" s="1">
        <f t="shared" si="5"/>
        <v>19899</v>
      </c>
      <c r="Z21" s="1">
        <f t="shared" si="5"/>
        <v>19041</v>
      </c>
    </row>
    <row r="22" spans="1:26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t="s">
        <v>15</v>
      </c>
      <c r="B23" s="1">
        <f t="shared" ref="B23:Z23" si="6">+B4+B5</f>
        <v>3060</v>
      </c>
      <c r="C23" s="1">
        <f t="shared" si="6"/>
        <v>3066</v>
      </c>
      <c r="D23" s="1">
        <f t="shared" si="6"/>
        <v>2947</v>
      </c>
      <c r="E23" s="1">
        <f t="shared" si="6"/>
        <v>3012</v>
      </c>
      <c r="F23" s="1">
        <f t="shared" si="6"/>
        <v>3047</v>
      </c>
      <c r="G23" s="1">
        <f t="shared" si="6"/>
        <v>3430</v>
      </c>
      <c r="H23" s="1">
        <f t="shared" si="6"/>
        <v>3328</v>
      </c>
      <c r="I23" s="1">
        <f t="shared" si="6"/>
        <v>3634</v>
      </c>
      <c r="J23" s="1">
        <f t="shared" si="6"/>
        <v>3580</v>
      </c>
      <c r="K23" s="1">
        <f t="shared" si="6"/>
        <v>3409</v>
      </c>
      <c r="L23" s="1">
        <f t="shared" si="6"/>
        <v>3410</v>
      </c>
      <c r="M23" s="1">
        <f t="shared" si="6"/>
        <v>3580</v>
      </c>
      <c r="N23" s="1">
        <f t="shared" si="6"/>
        <v>3618</v>
      </c>
      <c r="O23" s="1">
        <f t="shared" si="6"/>
        <v>3397</v>
      </c>
      <c r="P23" s="1">
        <f t="shared" si="6"/>
        <v>3467</v>
      </c>
      <c r="Q23" s="1">
        <f t="shared" si="6"/>
        <v>3850</v>
      </c>
      <c r="R23" s="1">
        <f t="shared" si="6"/>
        <v>4132</v>
      </c>
      <c r="S23" s="1">
        <f t="shared" si="6"/>
        <v>4002</v>
      </c>
      <c r="T23" s="1">
        <f t="shared" si="6"/>
        <v>4254</v>
      </c>
      <c r="U23" s="1">
        <f t="shared" si="6"/>
        <v>4193</v>
      </c>
      <c r="V23" s="1">
        <f t="shared" si="6"/>
        <v>4552</v>
      </c>
      <c r="W23" s="1">
        <f t="shared" si="6"/>
        <v>4422</v>
      </c>
      <c r="X23" s="1">
        <f t="shared" si="6"/>
        <v>4490</v>
      </c>
      <c r="Y23" s="1">
        <f t="shared" si="6"/>
        <v>4296</v>
      </c>
      <c r="Z23" s="1">
        <f t="shared" si="6"/>
        <v>4045</v>
      </c>
    </row>
    <row r="24" spans="1:26" x14ac:dyDescent="0.25">
      <c r="A24" t="s">
        <v>35</v>
      </c>
      <c r="B24" s="15">
        <f t="shared" ref="B24:Z24" si="7">+B4</f>
        <v>1658</v>
      </c>
      <c r="C24" s="15">
        <f t="shared" si="7"/>
        <v>1609</v>
      </c>
      <c r="D24" s="15">
        <f t="shared" si="7"/>
        <v>1500</v>
      </c>
      <c r="E24" s="15">
        <f t="shared" si="7"/>
        <v>1588</v>
      </c>
      <c r="F24" s="15">
        <f t="shared" si="7"/>
        <v>1584</v>
      </c>
      <c r="G24" s="15">
        <f t="shared" si="7"/>
        <v>1823</v>
      </c>
      <c r="H24" s="15">
        <f t="shared" si="7"/>
        <v>1739</v>
      </c>
      <c r="I24" s="15">
        <f t="shared" si="7"/>
        <v>1880</v>
      </c>
      <c r="J24" s="15">
        <f t="shared" si="7"/>
        <v>1844</v>
      </c>
      <c r="K24" s="15">
        <f t="shared" si="7"/>
        <v>1827</v>
      </c>
      <c r="L24" s="15">
        <f t="shared" si="7"/>
        <v>1832</v>
      </c>
      <c r="M24" s="15">
        <f t="shared" si="7"/>
        <v>1889</v>
      </c>
      <c r="N24" s="15">
        <f t="shared" si="7"/>
        <v>1829</v>
      </c>
      <c r="O24" s="15">
        <f t="shared" si="7"/>
        <v>1848</v>
      </c>
      <c r="P24" s="15">
        <f t="shared" si="7"/>
        <v>1835</v>
      </c>
      <c r="Q24" s="15">
        <f t="shared" si="7"/>
        <v>1998</v>
      </c>
      <c r="R24" s="15">
        <f t="shared" si="7"/>
        <v>2236</v>
      </c>
      <c r="S24" s="15">
        <f t="shared" si="7"/>
        <v>2247</v>
      </c>
      <c r="T24" s="15">
        <f t="shared" si="7"/>
        <v>2432</v>
      </c>
      <c r="U24" s="15">
        <f t="shared" si="7"/>
        <v>2270</v>
      </c>
      <c r="V24" s="15">
        <f t="shared" si="7"/>
        <v>2362</v>
      </c>
      <c r="W24" s="15">
        <f t="shared" si="7"/>
        <v>2372</v>
      </c>
      <c r="X24" s="15">
        <f t="shared" si="7"/>
        <v>2356</v>
      </c>
      <c r="Y24" s="15">
        <f t="shared" si="7"/>
        <v>2302</v>
      </c>
      <c r="Z24" s="15">
        <f t="shared" si="7"/>
        <v>2185</v>
      </c>
    </row>
    <row r="25" spans="1:26" x14ac:dyDescent="0.25">
      <c r="A25" t="s">
        <v>36</v>
      </c>
      <c r="B25" s="15">
        <f t="shared" ref="B25:Z25" si="8">+B5</f>
        <v>1402</v>
      </c>
      <c r="C25" s="15">
        <f t="shared" si="8"/>
        <v>1457</v>
      </c>
      <c r="D25" s="15">
        <f t="shared" si="8"/>
        <v>1447</v>
      </c>
      <c r="E25" s="15">
        <f t="shared" si="8"/>
        <v>1424</v>
      </c>
      <c r="F25" s="15">
        <f t="shared" si="8"/>
        <v>1463</v>
      </c>
      <c r="G25" s="15">
        <f t="shared" si="8"/>
        <v>1607</v>
      </c>
      <c r="H25" s="15">
        <f t="shared" si="8"/>
        <v>1589</v>
      </c>
      <c r="I25" s="15">
        <f t="shared" si="8"/>
        <v>1754</v>
      </c>
      <c r="J25" s="15">
        <f t="shared" si="8"/>
        <v>1736</v>
      </c>
      <c r="K25" s="15">
        <f t="shared" si="8"/>
        <v>1582</v>
      </c>
      <c r="L25" s="15">
        <f t="shared" si="8"/>
        <v>1578</v>
      </c>
      <c r="M25" s="15">
        <f t="shared" si="8"/>
        <v>1691</v>
      </c>
      <c r="N25" s="15">
        <f t="shared" si="8"/>
        <v>1789</v>
      </c>
      <c r="O25" s="15">
        <f t="shared" si="8"/>
        <v>1549</v>
      </c>
      <c r="P25" s="15">
        <f t="shared" si="8"/>
        <v>1632</v>
      </c>
      <c r="Q25" s="15">
        <f t="shared" si="8"/>
        <v>1852</v>
      </c>
      <c r="R25" s="15">
        <f t="shared" si="8"/>
        <v>1896</v>
      </c>
      <c r="S25" s="15">
        <f t="shared" si="8"/>
        <v>1755</v>
      </c>
      <c r="T25" s="15">
        <f t="shared" si="8"/>
        <v>1822</v>
      </c>
      <c r="U25" s="15">
        <f t="shared" si="8"/>
        <v>1923</v>
      </c>
      <c r="V25" s="15">
        <f t="shared" si="8"/>
        <v>2190</v>
      </c>
      <c r="W25" s="15">
        <f t="shared" si="8"/>
        <v>2050</v>
      </c>
      <c r="X25" s="15">
        <f t="shared" si="8"/>
        <v>2134</v>
      </c>
      <c r="Y25" s="15">
        <f t="shared" si="8"/>
        <v>1994</v>
      </c>
      <c r="Z25" s="15">
        <f t="shared" si="8"/>
        <v>1860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0F82-93A0-4254-B8C2-512CFD64E8EC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75.099999999999994</v>
      </c>
      <c r="C2" s="8">
        <v>75.3</v>
      </c>
      <c r="D2" s="8">
        <v>74.599999999999994</v>
      </c>
      <c r="E2" s="8">
        <v>73.400000000000006</v>
      </c>
      <c r="F2" s="8">
        <v>73.900000000000006</v>
      </c>
      <c r="G2" s="8">
        <v>73.7</v>
      </c>
      <c r="H2" s="8">
        <v>75.2</v>
      </c>
      <c r="I2" s="8">
        <v>76.7</v>
      </c>
      <c r="J2" s="8">
        <v>76.900000000000006</v>
      </c>
      <c r="K2" s="8">
        <v>74.900000000000006</v>
      </c>
      <c r="L2" s="8">
        <v>76.400000000000006</v>
      </c>
      <c r="M2" s="8">
        <v>77</v>
      </c>
      <c r="N2" s="8">
        <v>77.599999999999994</v>
      </c>
      <c r="O2" s="8">
        <v>77.8</v>
      </c>
      <c r="P2" s="8">
        <v>78.099999999999994</v>
      </c>
      <c r="Q2" s="8">
        <v>78.8</v>
      </c>
      <c r="R2" s="8">
        <v>79.400000000000006</v>
      </c>
      <c r="S2" s="8">
        <v>79.5</v>
      </c>
      <c r="T2" s="8">
        <v>79.8</v>
      </c>
      <c r="U2" s="8">
        <v>79.400000000000006</v>
      </c>
      <c r="V2" s="8">
        <v>78.099999999999994</v>
      </c>
      <c r="W2" s="8">
        <v>79.5</v>
      </c>
      <c r="X2" s="8">
        <v>81.099999999999994</v>
      </c>
      <c r="Y2" s="8">
        <v>80.900000000000006</v>
      </c>
      <c r="Z2" s="17">
        <v>80.2</v>
      </c>
    </row>
    <row r="3" spans="1:27" x14ac:dyDescent="0.25">
      <c r="A3" t="s">
        <v>2</v>
      </c>
      <c r="B3" s="8">
        <v>73.599999999999994</v>
      </c>
      <c r="C3" s="8">
        <v>74.5</v>
      </c>
      <c r="D3" s="8">
        <v>73.900000000000006</v>
      </c>
      <c r="E3" s="8">
        <v>73.099999999999994</v>
      </c>
      <c r="F3" s="8">
        <v>73.400000000000006</v>
      </c>
      <c r="G3" s="8">
        <v>72.900000000000006</v>
      </c>
      <c r="H3" s="8">
        <v>73.900000000000006</v>
      </c>
      <c r="I3" s="8">
        <v>75.3</v>
      </c>
      <c r="J3" s="8">
        <v>74.400000000000006</v>
      </c>
      <c r="K3" s="8">
        <v>71.7</v>
      </c>
      <c r="L3" s="8">
        <v>73</v>
      </c>
      <c r="M3" s="8">
        <v>73.3</v>
      </c>
      <c r="N3" s="8">
        <v>74</v>
      </c>
      <c r="O3" s="8">
        <v>74.099999999999994</v>
      </c>
      <c r="P3" s="8">
        <v>74.400000000000006</v>
      </c>
      <c r="Q3" s="8">
        <v>75.2</v>
      </c>
      <c r="R3" s="8">
        <v>76.099999999999994</v>
      </c>
      <c r="S3" s="8">
        <v>76.099999999999994</v>
      </c>
      <c r="T3" s="8">
        <v>76</v>
      </c>
      <c r="U3" s="8">
        <v>76.7</v>
      </c>
      <c r="V3" s="8">
        <v>74.7</v>
      </c>
      <c r="W3" s="8">
        <v>76.099999999999994</v>
      </c>
      <c r="X3" s="8">
        <v>77.2</v>
      </c>
      <c r="Y3" s="8">
        <v>77.3</v>
      </c>
      <c r="Z3" s="17">
        <v>76.5</v>
      </c>
    </row>
    <row r="4" spans="1:27" x14ac:dyDescent="0.25">
      <c r="A4" t="s">
        <v>3</v>
      </c>
      <c r="B4" s="8">
        <v>73.599999999999994</v>
      </c>
      <c r="C4" s="8">
        <v>73.8</v>
      </c>
      <c r="D4" s="8">
        <v>73.8</v>
      </c>
      <c r="E4" s="8">
        <v>72.2</v>
      </c>
      <c r="F4" s="8">
        <v>72.5</v>
      </c>
      <c r="G4" s="8">
        <v>72.099999999999994</v>
      </c>
      <c r="H4" s="8">
        <v>73.2</v>
      </c>
      <c r="I4" s="8">
        <v>74.2</v>
      </c>
      <c r="J4" s="8">
        <v>73.7</v>
      </c>
      <c r="K4" s="8">
        <v>70.5</v>
      </c>
      <c r="L4" s="8">
        <v>71.7</v>
      </c>
      <c r="M4" s="8">
        <v>72.400000000000006</v>
      </c>
      <c r="N4" s="8">
        <v>72.7</v>
      </c>
      <c r="O4" s="8">
        <v>73.2</v>
      </c>
      <c r="P4" s="8">
        <v>73.599999999999994</v>
      </c>
      <c r="Q4" s="8">
        <v>74.8</v>
      </c>
      <c r="R4" s="8">
        <v>75.900000000000006</v>
      </c>
      <c r="S4" s="8">
        <v>76.099999999999994</v>
      </c>
      <c r="T4" s="8">
        <v>76.099999999999994</v>
      </c>
      <c r="U4" s="8">
        <v>76.599999999999994</v>
      </c>
      <c r="V4" s="8">
        <v>75.599999999999994</v>
      </c>
      <c r="W4" s="8">
        <v>76.599999999999994</v>
      </c>
      <c r="X4" s="8">
        <v>77.7</v>
      </c>
      <c r="Y4" s="8">
        <v>78.099999999999994</v>
      </c>
      <c r="Z4" s="17">
        <v>77.5</v>
      </c>
    </row>
    <row r="5" spans="1:27" x14ac:dyDescent="0.25">
      <c r="A5" t="s">
        <v>4</v>
      </c>
      <c r="B5" s="8">
        <v>70.8</v>
      </c>
      <c r="C5" s="8">
        <v>71.8</v>
      </c>
      <c r="D5" s="8">
        <v>72</v>
      </c>
      <c r="E5" s="8">
        <v>70.900000000000006</v>
      </c>
      <c r="F5" s="8">
        <v>71.599999999999994</v>
      </c>
      <c r="G5" s="8">
        <v>70.8</v>
      </c>
      <c r="H5" s="8">
        <v>72.5</v>
      </c>
      <c r="I5" s="8">
        <v>73.900000000000006</v>
      </c>
      <c r="J5" s="8">
        <v>73.599999999999994</v>
      </c>
      <c r="K5" s="8">
        <v>71.099999999999994</v>
      </c>
      <c r="L5" s="8">
        <v>72.8</v>
      </c>
      <c r="M5" s="8">
        <v>73.8</v>
      </c>
      <c r="N5" s="8">
        <v>74</v>
      </c>
      <c r="O5" s="8">
        <v>74</v>
      </c>
      <c r="P5" s="8">
        <v>74.099999999999994</v>
      </c>
      <c r="Q5" s="8">
        <v>74.900000000000006</v>
      </c>
      <c r="R5" s="8">
        <v>75.599999999999994</v>
      </c>
      <c r="S5" s="8">
        <v>76.5</v>
      </c>
      <c r="T5" s="8">
        <v>77.5</v>
      </c>
      <c r="U5" s="8">
        <v>77.5</v>
      </c>
      <c r="V5" s="8">
        <v>77.099999999999994</v>
      </c>
      <c r="W5" s="8">
        <v>78.5</v>
      </c>
      <c r="X5" s="8">
        <v>80.099999999999994</v>
      </c>
      <c r="Y5" s="8">
        <v>80.400000000000006</v>
      </c>
      <c r="Z5" s="17">
        <v>79.900000000000006</v>
      </c>
    </row>
    <row r="6" spans="1:27" x14ac:dyDescent="0.25">
      <c r="A6" t="s">
        <v>5</v>
      </c>
      <c r="B6" s="8">
        <v>78</v>
      </c>
      <c r="C6" s="8">
        <v>78.3</v>
      </c>
      <c r="D6" s="8">
        <v>79.099999999999994</v>
      </c>
      <c r="E6" s="8">
        <v>78.5</v>
      </c>
      <c r="F6" s="8">
        <v>79</v>
      </c>
      <c r="G6" s="8">
        <v>78.8</v>
      </c>
      <c r="H6" s="8">
        <v>79.8</v>
      </c>
      <c r="I6" s="8">
        <v>80.900000000000006</v>
      </c>
      <c r="J6" s="8">
        <v>79.900000000000006</v>
      </c>
      <c r="K6" s="8">
        <v>76.900000000000006</v>
      </c>
      <c r="L6" s="8">
        <v>78.599999999999994</v>
      </c>
      <c r="M6" s="8">
        <v>79.7</v>
      </c>
      <c r="N6" s="8">
        <v>79.7</v>
      </c>
      <c r="O6" s="8">
        <v>79.3</v>
      </c>
      <c r="P6" s="8">
        <v>79.8</v>
      </c>
      <c r="Q6" s="8">
        <v>80.900000000000006</v>
      </c>
      <c r="R6" s="8">
        <v>81.599999999999994</v>
      </c>
      <c r="S6" s="8">
        <v>82</v>
      </c>
      <c r="T6" s="8">
        <v>82.3</v>
      </c>
      <c r="U6" s="8">
        <v>81.400000000000006</v>
      </c>
      <c r="V6" s="8">
        <v>80.400000000000006</v>
      </c>
      <c r="W6" s="8">
        <v>81.400000000000006</v>
      </c>
      <c r="X6" s="8">
        <v>82.6</v>
      </c>
      <c r="Y6" s="8">
        <v>82.4</v>
      </c>
      <c r="Z6" s="17">
        <v>81.400000000000006</v>
      </c>
    </row>
    <row r="7" spans="1:27" x14ac:dyDescent="0.25">
      <c r="A7" t="s">
        <v>6</v>
      </c>
      <c r="B7" s="8">
        <v>63.6</v>
      </c>
      <c r="C7" s="8">
        <v>64.3</v>
      </c>
      <c r="D7" s="8">
        <v>63.4</v>
      </c>
      <c r="E7" s="8">
        <v>62.3</v>
      </c>
      <c r="F7" s="8">
        <v>62.8</v>
      </c>
      <c r="G7" s="8">
        <v>62.8</v>
      </c>
      <c r="H7" s="8">
        <v>63.9</v>
      </c>
      <c r="I7" s="8">
        <v>64.400000000000006</v>
      </c>
      <c r="J7" s="8">
        <v>63.6</v>
      </c>
      <c r="K7" s="8">
        <v>60.8</v>
      </c>
      <c r="L7" s="8">
        <v>62</v>
      </c>
      <c r="M7" s="8">
        <v>63.1</v>
      </c>
      <c r="N7" s="8">
        <v>63.6</v>
      </c>
      <c r="O7" s="8">
        <v>64</v>
      </c>
      <c r="P7" s="8">
        <v>64.7</v>
      </c>
      <c r="Q7" s="8">
        <v>65.900000000000006</v>
      </c>
      <c r="R7" s="8">
        <v>66.900000000000006</v>
      </c>
      <c r="S7" s="8">
        <v>67.3</v>
      </c>
      <c r="T7" s="8">
        <v>67.8</v>
      </c>
      <c r="U7" s="8">
        <v>68.599999999999994</v>
      </c>
      <c r="V7" s="8">
        <v>67.8</v>
      </c>
      <c r="W7" s="8">
        <v>69.900000000000006</v>
      </c>
      <c r="X7" s="8">
        <v>74.900000000000006</v>
      </c>
      <c r="Y7" s="8">
        <v>74.8</v>
      </c>
      <c r="Z7" s="17">
        <v>73.899999999999991</v>
      </c>
    </row>
    <row r="8" spans="1:27" x14ac:dyDescent="0.25">
      <c r="A8" t="s">
        <v>7</v>
      </c>
      <c r="B8" s="8">
        <v>68.2</v>
      </c>
      <c r="C8" s="8">
        <v>68.3</v>
      </c>
      <c r="D8" s="8">
        <v>67.5</v>
      </c>
      <c r="E8" s="8">
        <v>66.400000000000006</v>
      </c>
      <c r="F8" s="8">
        <v>67.599999999999994</v>
      </c>
      <c r="G8" s="8">
        <v>67.099999999999994</v>
      </c>
      <c r="H8" s="8">
        <v>69.400000000000006</v>
      </c>
      <c r="I8" s="8">
        <v>70.7</v>
      </c>
      <c r="J8" s="8">
        <v>69.3</v>
      </c>
      <c r="K8" s="8">
        <v>66.099999999999994</v>
      </c>
      <c r="L8" s="8">
        <v>67.3</v>
      </c>
      <c r="M8" s="8">
        <v>67.3</v>
      </c>
      <c r="N8" s="8">
        <v>67.7</v>
      </c>
      <c r="O8" s="8">
        <v>67.599999999999994</v>
      </c>
      <c r="P8" s="8">
        <v>67.099999999999994</v>
      </c>
      <c r="Q8" s="8">
        <v>68.099999999999994</v>
      </c>
      <c r="R8" s="8">
        <v>68.900000000000006</v>
      </c>
      <c r="S8" s="8">
        <v>69.099999999999994</v>
      </c>
      <c r="T8" s="8">
        <v>68.7</v>
      </c>
      <c r="U8" s="8">
        <v>69.2</v>
      </c>
      <c r="V8" s="8">
        <v>67.8</v>
      </c>
      <c r="W8" s="8">
        <v>68.599999999999994</v>
      </c>
      <c r="X8" s="8">
        <v>70.3</v>
      </c>
      <c r="Y8" s="8">
        <v>70.2</v>
      </c>
      <c r="Z8" s="17">
        <v>69.100000000000009</v>
      </c>
    </row>
    <row r="9" spans="1:27" x14ac:dyDescent="0.25">
      <c r="A9" t="s">
        <v>8</v>
      </c>
      <c r="B9" s="8">
        <v>69.8</v>
      </c>
      <c r="C9" s="8">
        <v>70.3</v>
      </c>
      <c r="D9" s="8">
        <v>71</v>
      </c>
      <c r="E9" s="8">
        <v>70.599999999999994</v>
      </c>
      <c r="F9" s="8">
        <v>71.5</v>
      </c>
      <c r="G9" s="8">
        <v>71.599999999999994</v>
      </c>
      <c r="H9" s="8">
        <v>73.099999999999994</v>
      </c>
      <c r="I9" s="8">
        <v>73.900000000000006</v>
      </c>
      <c r="J9" s="8">
        <v>73</v>
      </c>
      <c r="K9" s="8">
        <v>70.099999999999994</v>
      </c>
      <c r="L9" s="8">
        <v>71.2</v>
      </c>
      <c r="M9" s="8">
        <v>71.8</v>
      </c>
      <c r="N9" s="8">
        <v>71.7</v>
      </c>
      <c r="O9" s="8">
        <v>71.900000000000006</v>
      </c>
      <c r="P9" s="8">
        <v>72.2</v>
      </c>
      <c r="Q9" s="8">
        <v>72.7</v>
      </c>
      <c r="R9" s="8">
        <v>73.900000000000006</v>
      </c>
      <c r="S9" s="8">
        <v>74.099999999999994</v>
      </c>
      <c r="T9" s="8">
        <v>74.5</v>
      </c>
      <c r="U9" s="8">
        <v>74.400000000000006</v>
      </c>
      <c r="V9" s="8">
        <v>73.8</v>
      </c>
      <c r="W9" s="8">
        <v>75.2</v>
      </c>
      <c r="X9" s="8">
        <v>77.5</v>
      </c>
      <c r="Y9" s="8">
        <v>77.099999999999994</v>
      </c>
      <c r="Z9" s="17">
        <v>76.599999999999994</v>
      </c>
    </row>
    <row r="10" spans="1:27" x14ac:dyDescent="0.25">
      <c r="A10" t="s">
        <v>9</v>
      </c>
      <c r="B10" s="8">
        <v>69.5</v>
      </c>
      <c r="C10" s="8">
        <v>70.3</v>
      </c>
      <c r="D10" s="8">
        <v>70.7</v>
      </c>
      <c r="E10" s="8">
        <v>70.099999999999994</v>
      </c>
      <c r="F10" s="8">
        <v>70.8</v>
      </c>
      <c r="G10" s="8">
        <v>70.7</v>
      </c>
      <c r="H10" s="8">
        <v>72.099999999999994</v>
      </c>
      <c r="I10" s="8">
        <v>73.7</v>
      </c>
      <c r="J10" s="8">
        <v>73.3</v>
      </c>
      <c r="K10" s="8">
        <v>69.7</v>
      </c>
      <c r="L10" s="8">
        <v>71</v>
      </c>
      <c r="M10" s="8">
        <v>72.099999999999994</v>
      </c>
      <c r="N10" s="8">
        <v>72.900000000000006</v>
      </c>
      <c r="O10" s="8">
        <v>73</v>
      </c>
      <c r="P10" s="8">
        <v>73.2</v>
      </c>
      <c r="Q10" s="8">
        <v>74.599999999999994</v>
      </c>
      <c r="R10" s="8">
        <v>75.900000000000006</v>
      </c>
      <c r="S10" s="8">
        <v>76.5</v>
      </c>
      <c r="T10" s="8">
        <v>76.8</v>
      </c>
      <c r="U10" s="8">
        <v>76.7</v>
      </c>
      <c r="V10" s="8">
        <v>75</v>
      </c>
      <c r="W10" s="8">
        <v>76.8</v>
      </c>
      <c r="X10" s="8">
        <v>78.599999999999994</v>
      </c>
      <c r="Y10" s="8">
        <v>78.8</v>
      </c>
      <c r="Z10" s="17">
        <v>77.999999999999986</v>
      </c>
    </row>
    <row r="11" spans="1:27" x14ac:dyDescent="0.25">
      <c r="A11" t="s">
        <v>10</v>
      </c>
      <c r="B11" s="8">
        <v>73.2</v>
      </c>
      <c r="C11" s="8">
        <v>73.900000000000006</v>
      </c>
      <c r="D11" s="8">
        <v>74.5</v>
      </c>
      <c r="E11" s="8">
        <v>73.3</v>
      </c>
      <c r="F11" s="8">
        <v>73.900000000000006</v>
      </c>
      <c r="G11" s="8">
        <v>74</v>
      </c>
      <c r="H11" s="8">
        <v>75.3</v>
      </c>
      <c r="I11" s="8">
        <v>76.400000000000006</v>
      </c>
      <c r="J11" s="8">
        <v>76.099999999999994</v>
      </c>
      <c r="K11" s="8">
        <v>72.900000000000006</v>
      </c>
      <c r="L11" s="8">
        <v>74.5</v>
      </c>
      <c r="M11" s="8">
        <v>75.400000000000006</v>
      </c>
      <c r="N11" s="8">
        <v>75.599999999999994</v>
      </c>
      <c r="O11" s="8">
        <v>75.900000000000006</v>
      </c>
      <c r="P11" s="8">
        <v>76</v>
      </c>
      <c r="Q11" s="8">
        <v>77</v>
      </c>
      <c r="R11" s="8">
        <v>77.900000000000006</v>
      </c>
      <c r="S11" s="8">
        <v>78.3</v>
      </c>
      <c r="T11" s="8">
        <v>78.400000000000006</v>
      </c>
      <c r="U11" s="8">
        <v>78.2</v>
      </c>
      <c r="V11" s="8">
        <v>77</v>
      </c>
      <c r="W11" s="8">
        <v>78.3</v>
      </c>
      <c r="X11" s="8">
        <v>80</v>
      </c>
      <c r="Y11" s="8">
        <v>79.8</v>
      </c>
      <c r="Z11" s="17">
        <v>79.099999999999994</v>
      </c>
    </row>
    <row r="12" spans="1:27" x14ac:dyDescent="0.25">
      <c r="A12" t="s">
        <v>11</v>
      </c>
      <c r="B12" s="8">
        <v>73.5</v>
      </c>
      <c r="C12" s="8">
        <v>74.099999999999994</v>
      </c>
      <c r="D12" s="8">
        <v>74.3</v>
      </c>
      <c r="E12" s="8">
        <v>73.400000000000006</v>
      </c>
      <c r="F12" s="8">
        <v>74</v>
      </c>
      <c r="G12" s="8">
        <v>73.7</v>
      </c>
      <c r="H12" s="8">
        <v>74.8</v>
      </c>
      <c r="I12" s="8">
        <v>76.3</v>
      </c>
      <c r="J12" s="8">
        <v>76.3</v>
      </c>
      <c r="K12" s="8">
        <v>73.599999999999994</v>
      </c>
      <c r="L12" s="8">
        <v>74.900000000000006</v>
      </c>
      <c r="M12" s="8">
        <v>75.900000000000006</v>
      </c>
      <c r="N12" s="8">
        <v>76.2</v>
      </c>
      <c r="O12" s="8">
        <v>76.400000000000006</v>
      </c>
      <c r="P12" s="8">
        <v>76.7</v>
      </c>
      <c r="Q12" s="8">
        <v>77.5</v>
      </c>
      <c r="R12" s="8">
        <v>78.099999999999994</v>
      </c>
      <c r="S12" s="8">
        <v>78.5</v>
      </c>
      <c r="T12" s="8">
        <v>79.2</v>
      </c>
      <c r="U12" s="8">
        <v>79.099999999999994</v>
      </c>
      <c r="V12" s="8">
        <v>77.900000000000006</v>
      </c>
      <c r="W12" s="8">
        <v>78.8</v>
      </c>
      <c r="X12" s="8">
        <v>80.7</v>
      </c>
      <c r="Y12" s="8">
        <v>81.099999999999994</v>
      </c>
      <c r="Z12" s="17">
        <v>80.3</v>
      </c>
    </row>
    <row r="13" spans="1:27" x14ac:dyDescent="0.25">
      <c r="A13" t="s">
        <v>12</v>
      </c>
      <c r="B13" s="8">
        <v>72.400000000000006</v>
      </c>
      <c r="C13" s="8">
        <v>73.099999999999994</v>
      </c>
      <c r="D13" s="8">
        <v>73.2</v>
      </c>
      <c r="E13" s="8">
        <v>72.3</v>
      </c>
      <c r="F13" s="8">
        <v>73.400000000000006</v>
      </c>
      <c r="G13" s="8">
        <v>72.7</v>
      </c>
      <c r="H13" s="8">
        <v>74.3</v>
      </c>
      <c r="I13" s="8">
        <v>75.900000000000006</v>
      </c>
      <c r="J13" s="8">
        <v>75.5</v>
      </c>
      <c r="K13" s="8">
        <v>72.3</v>
      </c>
      <c r="L13" s="8">
        <v>74.099999999999994</v>
      </c>
      <c r="M13" s="8">
        <v>74.7</v>
      </c>
      <c r="N13" s="8">
        <v>75.7</v>
      </c>
      <c r="O13" s="8">
        <v>76</v>
      </c>
      <c r="P13" s="8">
        <v>76.2</v>
      </c>
      <c r="Q13" s="8">
        <v>77.3</v>
      </c>
      <c r="R13" s="8">
        <v>78.099999999999994</v>
      </c>
      <c r="S13" s="8">
        <v>78.2</v>
      </c>
      <c r="T13" s="8">
        <v>78.400000000000006</v>
      </c>
      <c r="U13" s="8">
        <v>78.099999999999994</v>
      </c>
      <c r="V13" s="8">
        <v>76.8</v>
      </c>
      <c r="W13" s="8">
        <v>78</v>
      </c>
      <c r="X13" s="8">
        <v>79.8</v>
      </c>
      <c r="Y13" s="8">
        <v>80.400000000000006</v>
      </c>
      <c r="Z13" s="17">
        <v>79.800000000000011</v>
      </c>
    </row>
    <row r="14" spans="1:27" x14ac:dyDescent="0.25">
      <c r="A14" t="s">
        <v>21</v>
      </c>
      <c r="B14" s="8">
        <v>73.900000000000006</v>
      </c>
      <c r="C14" s="8">
        <v>74.3</v>
      </c>
      <c r="D14" s="8">
        <v>74.7</v>
      </c>
      <c r="E14" s="8">
        <v>73.599999999999994</v>
      </c>
      <c r="F14" s="8">
        <v>73.900000000000006</v>
      </c>
      <c r="G14" s="8">
        <v>73.400000000000006</v>
      </c>
      <c r="H14" s="8">
        <v>74.7</v>
      </c>
      <c r="I14" s="8">
        <v>75.900000000000006</v>
      </c>
      <c r="J14" s="8">
        <v>75.5</v>
      </c>
      <c r="K14" s="8">
        <v>72.7</v>
      </c>
      <c r="L14" s="8">
        <v>74</v>
      </c>
      <c r="M14" s="8">
        <v>74.8</v>
      </c>
      <c r="N14" s="8">
        <v>75</v>
      </c>
      <c r="O14" s="8">
        <v>75.2</v>
      </c>
      <c r="P14" s="8">
        <v>75.3</v>
      </c>
      <c r="Q14" s="8">
        <v>76.099999999999994</v>
      </c>
      <c r="R14" s="8">
        <v>77</v>
      </c>
      <c r="S14" s="8">
        <v>77.599999999999994</v>
      </c>
      <c r="T14" s="8">
        <v>78</v>
      </c>
      <c r="U14" s="8">
        <v>78.3</v>
      </c>
      <c r="V14" s="8">
        <v>77.7</v>
      </c>
      <c r="W14" s="8">
        <v>78.900000000000006</v>
      </c>
      <c r="X14" s="8">
        <v>80.2</v>
      </c>
      <c r="Y14" s="8">
        <v>80.599999999999994</v>
      </c>
      <c r="Z14" s="17">
        <v>80.099999999999994</v>
      </c>
    </row>
    <row r="15" spans="1:27" x14ac:dyDescent="0.25">
      <c r="A15" t="s">
        <v>18</v>
      </c>
      <c r="B15" s="8">
        <v>75.2</v>
      </c>
      <c r="C15" s="8">
        <v>75.7</v>
      </c>
      <c r="D15" s="8">
        <v>75.900000000000006</v>
      </c>
      <c r="E15" s="8">
        <v>75.099999999999994</v>
      </c>
      <c r="F15" s="8">
        <v>75.8</v>
      </c>
      <c r="G15" s="8">
        <v>75.599999999999994</v>
      </c>
      <c r="H15" s="8">
        <v>76.7</v>
      </c>
      <c r="I15" s="8">
        <v>77.900000000000006</v>
      </c>
      <c r="J15" s="8">
        <v>77.5</v>
      </c>
      <c r="K15" s="8">
        <v>74.599999999999994</v>
      </c>
      <c r="L15" s="8">
        <v>75.900000000000006</v>
      </c>
      <c r="M15" s="8">
        <v>76.8</v>
      </c>
      <c r="N15" s="8">
        <v>77.099999999999994</v>
      </c>
      <c r="O15" s="8">
        <v>77.099999999999994</v>
      </c>
      <c r="P15" s="8">
        <v>77.3</v>
      </c>
      <c r="Q15" s="8">
        <v>77.900000000000006</v>
      </c>
      <c r="R15" s="8">
        <v>78.599999999999994</v>
      </c>
      <c r="S15" s="8">
        <v>79.099999999999994</v>
      </c>
      <c r="T15" s="8">
        <v>79.5</v>
      </c>
      <c r="U15" s="8">
        <v>79.3</v>
      </c>
      <c r="V15" s="8">
        <v>78.3</v>
      </c>
      <c r="W15" s="8">
        <v>79.599999999999994</v>
      </c>
      <c r="X15" s="8">
        <v>81.400000000000006</v>
      </c>
      <c r="Y15" s="8">
        <v>81.599999999999994</v>
      </c>
      <c r="Z15" s="17">
        <v>81</v>
      </c>
    </row>
    <row r="16" spans="1:27" x14ac:dyDescent="0.25">
      <c r="A16" t="s">
        <v>16</v>
      </c>
      <c r="B16" s="10">
        <f t="shared" ref="B16:Y16" si="0">SUM(B2:B13)/12</f>
        <v>71.774999999999991</v>
      </c>
      <c r="C16" s="10">
        <f t="shared" si="0"/>
        <v>72.333333333333329</v>
      </c>
      <c r="D16" s="10">
        <f t="shared" si="0"/>
        <v>72.333333333333329</v>
      </c>
      <c r="E16" s="10">
        <f t="shared" si="0"/>
        <v>71.375</v>
      </c>
      <c r="F16" s="10">
        <f t="shared" si="0"/>
        <v>72.033333333333317</v>
      </c>
      <c r="G16" s="10">
        <f t="shared" si="0"/>
        <v>71.741666666666688</v>
      </c>
      <c r="H16" s="10">
        <f t="shared" si="0"/>
        <v>73.124999999999986</v>
      </c>
      <c r="I16" s="10">
        <f t="shared" si="0"/>
        <v>74.358333333333334</v>
      </c>
      <c r="J16" s="10">
        <f t="shared" si="0"/>
        <v>73.8</v>
      </c>
      <c r="K16" s="10">
        <f t="shared" si="0"/>
        <v>70.88333333333334</v>
      </c>
      <c r="L16" s="10">
        <f t="shared" si="0"/>
        <v>72.291666666666671</v>
      </c>
      <c r="M16" s="10">
        <f t="shared" si="0"/>
        <v>73.041666666666671</v>
      </c>
      <c r="N16" s="10">
        <f t="shared" si="0"/>
        <v>73.45</v>
      </c>
      <c r="O16" s="10">
        <f t="shared" si="0"/>
        <v>73.599999999999994</v>
      </c>
      <c r="P16" s="10">
        <f t="shared" si="0"/>
        <v>73.841666666666683</v>
      </c>
      <c r="Q16" s="10">
        <f t="shared" si="0"/>
        <v>74.808333333333337</v>
      </c>
      <c r="R16" s="10">
        <f t="shared" si="0"/>
        <v>75.691666666666663</v>
      </c>
      <c r="S16" s="10">
        <f t="shared" si="0"/>
        <v>76.016666666666666</v>
      </c>
      <c r="T16" s="10">
        <f t="shared" si="0"/>
        <v>76.291666666666671</v>
      </c>
      <c r="U16" s="10">
        <f t="shared" si="0"/>
        <v>76.325000000000017</v>
      </c>
      <c r="V16" s="10">
        <f t="shared" si="0"/>
        <v>75.166666666666657</v>
      </c>
      <c r="W16" s="10">
        <f t="shared" si="0"/>
        <v>76.474999999999994</v>
      </c>
      <c r="X16" s="10">
        <f t="shared" si="0"/>
        <v>78.375</v>
      </c>
      <c r="Y16" s="10">
        <f t="shared" si="0"/>
        <v>78.441666666666663</v>
      </c>
      <c r="Z16" s="17">
        <v>77.691666666666663</v>
      </c>
    </row>
    <row r="17" spans="1:26" x14ac:dyDescent="0.25">
      <c r="A17" t="s">
        <v>17</v>
      </c>
      <c r="B17" s="10">
        <f t="shared" ref="B17:Y17" si="1">SUM(B2+B7+B10)/3</f>
        <v>69.399999999999991</v>
      </c>
      <c r="C17" s="10">
        <f t="shared" si="1"/>
        <v>69.966666666666654</v>
      </c>
      <c r="D17" s="10">
        <f t="shared" si="1"/>
        <v>69.566666666666663</v>
      </c>
      <c r="E17" s="10">
        <f t="shared" si="1"/>
        <v>68.599999999999994</v>
      </c>
      <c r="F17" s="10">
        <f t="shared" si="1"/>
        <v>69.166666666666671</v>
      </c>
      <c r="G17" s="10">
        <f t="shared" si="1"/>
        <v>69.066666666666663</v>
      </c>
      <c r="H17" s="10">
        <f t="shared" si="1"/>
        <v>70.399999999999991</v>
      </c>
      <c r="I17" s="10">
        <f t="shared" si="1"/>
        <v>71.600000000000009</v>
      </c>
      <c r="J17" s="10">
        <f t="shared" si="1"/>
        <v>71.266666666666666</v>
      </c>
      <c r="K17" s="10">
        <f t="shared" si="1"/>
        <v>68.466666666666654</v>
      </c>
      <c r="L17" s="10">
        <f t="shared" si="1"/>
        <v>69.8</v>
      </c>
      <c r="M17" s="10">
        <f t="shared" si="1"/>
        <v>70.733333333333334</v>
      </c>
      <c r="N17" s="10">
        <f t="shared" si="1"/>
        <v>71.36666666666666</v>
      </c>
      <c r="O17" s="10">
        <f t="shared" si="1"/>
        <v>71.600000000000009</v>
      </c>
      <c r="P17" s="10">
        <f t="shared" si="1"/>
        <v>72</v>
      </c>
      <c r="Q17" s="10">
        <f t="shared" si="1"/>
        <v>73.099999999999994</v>
      </c>
      <c r="R17" s="10">
        <f t="shared" si="1"/>
        <v>74.066666666666677</v>
      </c>
      <c r="S17" s="10">
        <f t="shared" si="1"/>
        <v>74.433333333333337</v>
      </c>
      <c r="T17" s="10">
        <f t="shared" si="1"/>
        <v>74.8</v>
      </c>
      <c r="U17" s="10">
        <f t="shared" si="1"/>
        <v>74.899999999999991</v>
      </c>
      <c r="V17" s="10">
        <f t="shared" si="1"/>
        <v>73.633333333333326</v>
      </c>
      <c r="W17" s="10">
        <f t="shared" si="1"/>
        <v>75.399999999999991</v>
      </c>
      <c r="X17" s="10">
        <f t="shared" si="1"/>
        <v>78.2</v>
      </c>
      <c r="Y17" s="10">
        <f t="shared" si="1"/>
        <v>78.166666666666671</v>
      </c>
      <c r="Z17" s="17">
        <v>77.36666666666666</v>
      </c>
    </row>
    <row r="18" spans="1:26" x14ac:dyDescent="0.25">
      <c r="A18" t="s">
        <v>13</v>
      </c>
      <c r="B18" s="10">
        <f t="shared" ref="B18:Y18" si="2">SUM(B2+B3+B7+B10)/4</f>
        <v>70.449999999999989</v>
      </c>
      <c r="C18" s="10">
        <f t="shared" si="2"/>
        <v>71.100000000000009</v>
      </c>
      <c r="D18" s="10">
        <f t="shared" si="2"/>
        <v>70.650000000000006</v>
      </c>
      <c r="E18" s="10">
        <f t="shared" si="2"/>
        <v>69.724999999999994</v>
      </c>
      <c r="F18" s="10">
        <f t="shared" si="2"/>
        <v>70.225000000000009</v>
      </c>
      <c r="G18" s="10">
        <f t="shared" si="2"/>
        <v>70.025000000000006</v>
      </c>
      <c r="H18" s="10">
        <f t="shared" si="2"/>
        <v>71.275000000000006</v>
      </c>
      <c r="I18" s="10">
        <f t="shared" si="2"/>
        <v>72.525000000000006</v>
      </c>
      <c r="J18" s="10">
        <f t="shared" si="2"/>
        <v>72.05</v>
      </c>
      <c r="K18" s="10">
        <f t="shared" si="2"/>
        <v>69.275000000000006</v>
      </c>
      <c r="L18" s="10">
        <f t="shared" si="2"/>
        <v>70.599999999999994</v>
      </c>
      <c r="M18" s="10">
        <f t="shared" si="2"/>
        <v>71.375</v>
      </c>
      <c r="N18" s="10">
        <f t="shared" si="2"/>
        <v>72.025000000000006</v>
      </c>
      <c r="O18" s="10">
        <f t="shared" si="2"/>
        <v>72.224999999999994</v>
      </c>
      <c r="P18" s="10">
        <f t="shared" si="2"/>
        <v>72.599999999999994</v>
      </c>
      <c r="Q18" s="10">
        <f t="shared" si="2"/>
        <v>73.625</v>
      </c>
      <c r="R18" s="10">
        <f t="shared" si="2"/>
        <v>74.575000000000003</v>
      </c>
      <c r="S18" s="10">
        <f t="shared" si="2"/>
        <v>74.849999999999994</v>
      </c>
      <c r="T18" s="10">
        <f t="shared" si="2"/>
        <v>75.100000000000009</v>
      </c>
      <c r="U18" s="10">
        <f t="shared" si="2"/>
        <v>75.350000000000009</v>
      </c>
      <c r="V18" s="10">
        <f t="shared" si="2"/>
        <v>73.900000000000006</v>
      </c>
      <c r="W18" s="10">
        <f t="shared" si="2"/>
        <v>75.575000000000003</v>
      </c>
      <c r="X18" s="10">
        <f t="shared" si="2"/>
        <v>77.95</v>
      </c>
      <c r="Y18" s="10">
        <f t="shared" si="2"/>
        <v>77.95</v>
      </c>
      <c r="Z18" s="17">
        <v>77.149999999999991</v>
      </c>
    </row>
    <row r="19" spans="1:26" x14ac:dyDescent="0.25">
      <c r="A19" t="s">
        <v>14</v>
      </c>
      <c r="B19" s="10">
        <f t="shared" ref="B19:Y19" si="3">(B4+B5+B6+B8+B9+B11+B12+B13)/8</f>
        <v>72.4375</v>
      </c>
      <c r="C19" s="10">
        <f t="shared" si="3"/>
        <v>72.95</v>
      </c>
      <c r="D19" s="10">
        <f t="shared" si="3"/>
        <v>73.174999999999997</v>
      </c>
      <c r="E19" s="10">
        <f t="shared" si="3"/>
        <v>72.2</v>
      </c>
      <c r="F19" s="10">
        <f t="shared" si="3"/>
        <v>72.9375</v>
      </c>
      <c r="G19" s="10">
        <f t="shared" si="3"/>
        <v>72.599999999999994</v>
      </c>
      <c r="H19" s="10">
        <f t="shared" si="3"/>
        <v>74.05</v>
      </c>
      <c r="I19" s="10">
        <f t="shared" si="3"/>
        <v>75.274999999999991</v>
      </c>
      <c r="J19" s="10">
        <f t="shared" si="3"/>
        <v>74.674999999999997</v>
      </c>
      <c r="K19" s="10">
        <f t="shared" si="3"/>
        <v>71.6875</v>
      </c>
      <c r="L19" s="10">
        <f t="shared" si="3"/>
        <v>73.137500000000003</v>
      </c>
      <c r="M19" s="10">
        <f t="shared" si="3"/>
        <v>73.875</v>
      </c>
      <c r="N19" s="10">
        <f t="shared" si="3"/>
        <v>74.162500000000009</v>
      </c>
      <c r="O19" s="10">
        <f t="shared" si="3"/>
        <v>74.287499999999994</v>
      </c>
      <c r="P19" s="10">
        <f t="shared" si="3"/>
        <v>74.462500000000006</v>
      </c>
      <c r="Q19" s="10">
        <f t="shared" si="3"/>
        <v>75.399999999999991</v>
      </c>
      <c r="R19" s="10">
        <f t="shared" si="3"/>
        <v>76.25</v>
      </c>
      <c r="S19" s="10">
        <f t="shared" si="3"/>
        <v>76.599999999999994</v>
      </c>
      <c r="T19" s="10">
        <f t="shared" si="3"/>
        <v>76.887500000000003</v>
      </c>
      <c r="U19" s="10">
        <f t="shared" si="3"/>
        <v>76.8125</v>
      </c>
      <c r="V19" s="10">
        <f t="shared" si="3"/>
        <v>75.8</v>
      </c>
      <c r="W19" s="10">
        <f t="shared" si="3"/>
        <v>76.924999999999997</v>
      </c>
      <c r="X19" s="10">
        <f t="shared" si="3"/>
        <v>78.587499999999991</v>
      </c>
      <c r="Y19" s="10">
        <f t="shared" si="3"/>
        <v>78.6875</v>
      </c>
      <c r="Z19" s="17">
        <v>77.962500000000006</v>
      </c>
    </row>
    <row r="20" spans="1:26" x14ac:dyDescent="0.25">
      <c r="A20" t="s">
        <v>20</v>
      </c>
      <c r="B20" s="10">
        <f t="shared" ref="B20:Y20" si="4">(B6+B8+B9+B11+B12+B13)/6</f>
        <v>72.516666666666666</v>
      </c>
      <c r="C20" s="10">
        <f t="shared" si="4"/>
        <v>73</v>
      </c>
      <c r="D20" s="10">
        <f t="shared" si="4"/>
        <v>73.266666666666666</v>
      </c>
      <c r="E20" s="10">
        <f t="shared" si="4"/>
        <v>72.416666666666671</v>
      </c>
      <c r="F20" s="10">
        <f t="shared" si="4"/>
        <v>73.233333333333334</v>
      </c>
      <c r="G20" s="10">
        <f t="shared" si="4"/>
        <v>72.983333333333334</v>
      </c>
      <c r="H20" s="10">
        <f t="shared" si="4"/>
        <v>74.45</v>
      </c>
      <c r="I20" s="10">
        <f t="shared" si="4"/>
        <v>75.683333333333337</v>
      </c>
      <c r="J20" s="10">
        <f t="shared" si="4"/>
        <v>75.016666666666666</v>
      </c>
      <c r="K20" s="10">
        <f t="shared" si="4"/>
        <v>71.983333333333334</v>
      </c>
      <c r="L20" s="10">
        <f t="shared" si="4"/>
        <v>73.433333333333337</v>
      </c>
      <c r="M20" s="10">
        <f t="shared" si="4"/>
        <v>74.13333333333334</v>
      </c>
      <c r="N20" s="10">
        <f t="shared" si="4"/>
        <v>74.433333333333337</v>
      </c>
      <c r="O20" s="10">
        <f t="shared" si="4"/>
        <v>74.516666666666666</v>
      </c>
      <c r="P20" s="10">
        <f t="shared" si="4"/>
        <v>74.666666666666657</v>
      </c>
      <c r="Q20" s="10">
        <f t="shared" si="4"/>
        <v>75.583333333333329</v>
      </c>
      <c r="R20" s="10">
        <f t="shared" si="4"/>
        <v>76.416666666666671</v>
      </c>
      <c r="S20" s="10">
        <f t="shared" si="4"/>
        <v>76.7</v>
      </c>
      <c r="T20" s="10">
        <f t="shared" si="4"/>
        <v>76.916666666666671</v>
      </c>
      <c r="U20" s="10">
        <f t="shared" si="4"/>
        <v>76.733333333333348</v>
      </c>
      <c r="V20" s="10">
        <f t="shared" si="4"/>
        <v>75.61666666666666</v>
      </c>
      <c r="W20" s="10">
        <f t="shared" si="4"/>
        <v>76.716666666666669</v>
      </c>
      <c r="X20" s="10">
        <f t="shared" si="4"/>
        <v>78.483333333333334</v>
      </c>
      <c r="Y20" s="10">
        <f t="shared" si="4"/>
        <v>78.5</v>
      </c>
      <c r="Z20" s="17">
        <v>77.716666666666669</v>
      </c>
    </row>
    <row r="21" spans="1:26" x14ac:dyDescent="0.25">
      <c r="A21" t="s">
        <v>34</v>
      </c>
      <c r="B21" s="10">
        <f t="shared" ref="B21:Y21" si="5">SUM(B5+B6+B8+B9+B11+B12+B13)/7</f>
        <v>72.271428571428572</v>
      </c>
      <c r="C21" s="10">
        <f t="shared" si="5"/>
        <v>72.828571428571436</v>
      </c>
      <c r="D21" s="10">
        <f t="shared" si="5"/>
        <v>73.085714285714289</v>
      </c>
      <c r="E21" s="10">
        <f t="shared" si="5"/>
        <v>72.2</v>
      </c>
      <c r="F21" s="10">
        <f t="shared" si="5"/>
        <v>73</v>
      </c>
      <c r="G21" s="10">
        <f t="shared" si="5"/>
        <v>72.671428571428564</v>
      </c>
      <c r="H21" s="10">
        <f t="shared" si="5"/>
        <v>74.171428571428578</v>
      </c>
      <c r="I21" s="10">
        <f t="shared" si="5"/>
        <v>75.428571428571431</v>
      </c>
      <c r="J21" s="10">
        <f t="shared" si="5"/>
        <v>74.814285714285717</v>
      </c>
      <c r="K21" s="10">
        <f t="shared" si="5"/>
        <v>71.857142857142861</v>
      </c>
      <c r="L21" s="10">
        <f t="shared" si="5"/>
        <v>73.342857142857142</v>
      </c>
      <c r="M21" s="10">
        <f t="shared" si="5"/>
        <v>74.085714285714289</v>
      </c>
      <c r="N21" s="10">
        <f t="shared" si="5"/>
        <v>74.371428571428552</v>
      </c>
      <c r="O21" s="10">
        <f t="shared" si="5"/>
        <v>74.44285714285715</v>
      </c>
      <c r="P21" s="10">
        <f t="shared" si="5"/>
        <v>74.585714285714289</v>
      </c>
      <c r="Q21" s="10">
        <f t="shared" si="5"/>
        <v>75.48571428571428</v>
      </c>
      <c r="R21" s="10">
        <f t="shared" si="5"/>
        <v>76.3</v>
      </c>
      <c r="S21" s="10">
        <f t="shared" si="5"/>
        <v>76.671428571428578</v>
      </c>
      <c r="T21" s="10">
        <f t="shared" si="5"/>
        <v>77</v>
      </c>
      <c r="U21" s="10">
        <f t="shared" si="5"/>
        <v>76.842857142857142</v>
      </c>
      <c r="V21" s="10">
        <f t="shared" si="5"/>
        <v>75.828571428571422</v>
      </c>
      <c r="W21" s="10">
        <f t="shared" si="5"/>
        <v>76.971428571428561</v>
      </c>
      <c r="X21" s="10">
        <f t="shared" si="5"/>
        <v>78.714285714285708</v>
      </c>
      <c r="Y21" s="10">
        <f t="shared" si="5"/>
        <v>78.771428571428572</v>
      </c>
      <c r="Z21" s="17">
        <v>78.028571428571439</v>
      </c>
    </row>
    <row r="22" spans="1:26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7"/>
    </row>
    <row r="23" spans="1:26" x14ac:dyDescent="0.25">
      <c r="A23" t="s">
        <v>15</v>
      </c>
      <c r="B23" s="10">
        <f t="shared" ref="B23:Y23" si="6">+(B4+B5)/2</f>
        <v>72.199999999999989</v>
      </c>
      <c r="C23" s="10">
        <f t="shared" si="6"/>
        <v>72.8</v>
      </c>
      <c r="D23" s="10">
        <f t="shared" si="6"/>
        <v>72.900000000000006</v>
      </c>
      <c r="E23" s="10">
        <f t="shared" si="6"/>
        <v>71.550000000000011</v>
      </c>
      <c r="F23" s="10">
        <f t="shared" si="6"/>
        <v>72.05</v>
      </c>
      <c r="G23" s="10">
        <f t="shared" si="6"/>
        <v>71.449999999999989</v>
      </c>
      <c r="H23" s="10">
        <f t="shared" si="6"/>
        <v>72.849999999999994</v>
      </c>
      <c r="I23" s="10">
        <f t="shared" si="6"/>
        <v>74.050000000000011</v>
      </c>
      <c r="J23" s="10">
        <f t="shared" si="6"/>
        <v>73.650000000000006</v>
      </c>
      <c r="K23" s="10">
        <f t="shared" si="6"/>
        <v>70.8</v>
      </c>
      <c r="L23" s="10">
        <f t="shared" si="6"/>
        <v>72.25</v>
      </c>
      <c r="M23" s="10">
        <f t="shared" si="6"/>
        <v>73.099999999999994</v>
      </c>
      <c r="N23" s="10">
        <f t="shared" si="6"/>
        <v>73.349999999999994</v>
      </c>
      <c r="O23" s="10">
        <f t="shared" si="6"/>
        <v>73.599999999999994</v>
      </c>
      <c r="P23" s="10">
        <f t="shared" si="6"/>
        <v>73.849999999999994</v>
      </c>
      <c r="Q23" s="10">
        <f t="shared" si="6"/>
        <v>74.849999999999994</v>
      </c>
      <c r="R23" s="10">
        <f t="shared" si="6"/>
        <v>75.75</v>
      </c>
      <c r="S23" s="10">
        <f t="shared" si="6"/>
        <v>76.3</v>
      </c>
      <c r="T23" s="10">
        <f t="shared" si="6"/>
        <v>76.8</v>
      </c>
      <c r="U23" s="10">
        <f t="shared" si="6"/>
        <v>77.05</v>
      </c>
      <c r="V23" s="10">
        <f t="shared" si="6"/>
        <v>76.349999999999994</v>
      </c>
      <c r="W23" s="10">
        <f t="shared" si="6"/>
        <v>77.55</v>
      </c>
      <c r="X23" s="10">
        <f t="shared" si="6"/>
        <v>78.900000000000006</v>
      </c>
      <c r="Y23" s="10">
        <f t="shared" si="6"/>
        <v>79.25</v>
      </c>
      <c r="Z23" s="17">
        <v>78.7</v>
      </c>
    </row>
    <row r="24" spans="1:26" x14ac:dyDescent="0.25">
      <c r="A24" t="s">
        <v>35</v>
      </c>
    </row>
    <row r="25" spans="1:26" x14ac:dyDescent="0.25">
      <c r="A25" t="s">
        <v>36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18B2-5847-4205-8639-4AF93152CFED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1.9000000000000057</v>
      </c>
      <c r="C2" s="8">
        <v>1.2000000000000028</v>
      </c>
      <c r="D2" s="8">
        <v>0.89999999999999147</v>
      </c>
      <c r="E2" s="8">
        <v>0.60000000000000853</v>
      </c>
      <c r="F2" s="8">
        <v>0.20000000000000284</v>
      </c>
      <c r="G2" s="8">
        <v>9.9999999999994316E-2</v>
      </c>
      <c r="H2" s="8">
        <v>0</v>
      </c>
      <c r="I2" s="8">
        <v>1</v>
      </c>
      <c r="J2" s="8">
        <v>1.3999999999999915</v>
      </c>
      <c r="K2" s="8">
        <v>0.90000000000000568</v>
      </c>
      <c r="L2" s="8">
        <v>0.70000000000000284</v>
      </c>
      <c r="M2" s="8">
        <v>1.2999999999999972</v>
      </c>
      <c r="N2" s="8">
        <v>1.2000000000000028</v>
      </c>
      <c r="O2" s="8">
        <v>1.4000000000000057</v>
      </c>
      <c r="P2" s="8">
        <v>1.1000000000000085</v>
      </c>
      <c r="Q2" s="8">
        <v>0.89999999999999147</v>
      </c>
      <c r="R2" s="8">
        <v>0.5</v>
      </c>
      <c r="S2" s="8">
        <v>0.59999999999999432</v>
      </c>
      <c r="T2" s="8">
        <v>0.70000000000000284</v>
      </c>
      <c r="U2" s="8">
        <v>0.20000000000000284</v>
      </c>
      <c r="V2" s="8">
        <v>0</v>
      </c>
      <c r="W2" s="8">
        <v>9.9999999999994316E-2</v>
      </c>
      <c r="X2" s="8">
        <v>9.9999999999994316E-2</v>
      </c>
      <c r="Y2" s="8">
        <v>0</v>
      </c>
      <c r="Z2" s="8">
        <v>0</v>
      </c>
    </row>
    <row r="3" spans="1:27" x14ac:dyDescent="0.25">
      <c r="A3" t="s">
        <v>2</v>
      </c>
      <c r="B3" s="8">
        <v>4.5999999999999943</v>
      </c>
      <c r="C3" s="8">
        <v>4.2999999999999972</v>
      </c>
      <c r="D3" s="8">
        <v>3.9000000000000057</v>
      </c>
      <c r="E3" s="8">
        <v>3.8999999999999915</v>
      </c>
      <c r="F3" s="8">
        <v>3.5</v>
      </c>
      <c r="G3" s="8">
        <v>3.3999999999999915</v>
      </c>
      <c r="H3" s="8">
        <v>2.9000000000000057</v>
      </c>
      <c r="I3" s="8">
        <v>3.4000000000000057</v>
      </c>
      <c r="J3" s="8">
        <v>3</v>
      </c>
      <c r="K3" s="8">
        <v>2.2000000000000028</v>
      </c>
      <c r="L3" s="8">
        <v>1.2999999999999972</v>
      </c>
      <c r="M3" s="8">
        <v>2.2999999999999972</v>
      </c>
      <c r="N3" s="8">
        <v>1.5999999999999943</v>
      </c>
      <c r="O3" s="8">
        <v>2.2999999999999972</v>
      </c>
      <c r="P3" s="8">
        <v>1.9000000000000057</v>
      </c>
      <c r="Q3" s="8">
        <v>1.7999999999999972</v>
      </c>
      <c r="R3" s="8">
        <v>1.3999999999999915</v>
      </c>
      <c r="S3" s="8">
        <v>2</v>
      </c>
      <c r="T3" s="8">
        <v>2.2999999999999972</v>
      </c>
      <c r="U3" s="8">
        <v>1.2000000000000028</v>
      </c>
      <c r="V3" s="8">
        <v>1</v>
      </c>
      <c r="W3" s="8">
        <v>1.3999999999999915</v>
      </c>
      <c r="X3" s="8">
        <v>1.6999999999999886</v>
      </c>
      <c r="Y3" s="8">
        <v>2.0999999999999943</v>
      </c>
      <c r="Z3" s="8">
        <v>1.9999999999999716</v>
      </c>
    </row>
    <row r="4" spans="1:27" x14ac:dyDescent="0.25">
      <c r="A4" t="s">
        <v>3</v>
      </c>
      <c r="B4" s="8">
        <v>4.9000000000000057</v>
      </c>
      <c r="C4" s="8">
        <v>3.0999999999999943</v>
      </c>
      <c r="D4" s="8">
        <v>3</v>
      </c>
      <c r="E4" s="8">
        <v>2.7000000000000028</v>
      </c>
      <c r="F4" s="8">
        <v>2.9000000000000057</v>
      </c>
      <c r="G4" s="8">
        <v>2.7000000000000028</v>
      </c>
      <c r="H4" s="8">
        <v>2.5999999999999943</v>
      </c>
      <c r="I4" s="8">
        <v>3.1000000000000085</v>
      </c>
      <c r="J4" s="8">
        <v>3.2999999999999972</v>
      </c>
      <c r="K4" s="8">
        <v>1.8000000000000114</v>
      </c>
      <c r="L4" s="8">
        <v>1.5</v>
      </c>
      <c r="M4" s="8">
        <v>2.7000000000000028</v>
      </c>
      <c r="N4" s="8">
        <v>2.5</v>
      </c>
      <c r="O4" s="8">
        <v>2.1000000000000085</v>
      </c>
      <c r="P4" s="8">
        <v>2.2999999999999972</v>
      </c>
      <c r="Q4" s="8">
        <v>1.7999999999999972</v>
      </c>
      <c r="R4" s="8">
        <v>1.7000000000000028</v>
      </c>
      <c r="S4" s="8">
        <v>1.9000000000000057</v>
      </c>
      <c r="T4" s="8">
        <v>1.9000000000000057</v>
      </c>
      <c r="U4" s="8">
        <v>0.79999999999999716</v>
      </c>
      <c r="V4" s="8">
        <v>0.5</v>
      </c>
      <c r="W4" s="8">
        <v>0.90000000000000568</v>
      </c>
      <c r="X4" s="8">
        <v>1.1000000000000085</v>
      </c>
      <c r="Y4" s="8">
        <v>1.3999999999999915</v>
      </c>
      <c r="Z4" s="8">
        <v>1.7000000000000028</v>
      </c>
    </row>
    <row r="5" spans="1:27" x14ac:dyDescent="0.25">
      <c r="A5" t="s">
        <v>4</v>
      </c>
      <c r="B5" s="8">
        <v>7.4000000000000057</v>
      </c>
      <c r="C5" s="8">
        <v>6.3000000000000114</v>
      </c>
      <c r="D5" s="8">
        <v>6.0999999999999943</v>
      </c>
      <c r="E5" s="8">
        <v>6.2999999999999972</v>
      </c>
      <c r="F5" s="8">
        <v>6.2999999999999972</v>
      </c>
      <c r="G5" s="8">
        <v>6.3000000000000114</v>
      </c>
      <c r="H5" s="8">
        <v>6.5</v>
      </c>
      <c r="I5" s="8">
        <v>6.2999999999999972</v>
      </c>
      <c r="J5" s="8">
        <v>6.1999999999999886</v>
      </c>
      <c r="K5" s="8">
        <v>5.5</v>
      </c>
      <c r="L5" s="8">
        <v>5.0999999999999943</v>
      </c>
      <c r="M5" s="8">
        <v>5.4000000000000057</v>
      </c>
      <c r="N5" s="8">
        <v>4.2999999999999972</v>
      </c>
      <c r="O5" s="8">
        <v>4.5999999999999943</v>
      </c>
      <c r="P5" s="8">
        <v>3.7000000000000028</v>
      </c>
      <c r="Q5" s="8">
        <v>3.5</v>
      </c>
      <c r="R5" s="8">
        <v>2.6000000000000085</v>
      </c>
      <c r="S5" s="8">
        <v>3.0999999999999943</v>
      </c>
      <c r="T5" s="8">
        <v>3.3999999999999915</v>
      </c>
      <c r="U5" s="8">
        <v>2.8000000000000114</v>
      </c>
      <c r="V5" s="8">
        <v>1.7999999999999972</v>
      </c>
      <c r="W5" s="8">
        <v>2.1999999999999886</v>
      </c>
      <c r="X5" s="8">
        <v>2.5999999999999943</v>
      </c>
      <c r="Y5" s="8">
        <v>1.8999999999999915</v>
      </c>
      <c r="Z5" s="8">
        <v>1.7999999999999829</v>
      </c>
    </row>
    <row r="6" spans="1:27" x14ac:dyDescent="0.25">
      <c r="A6" t="s">
        <v>5</v>
      </c>
      <c r="B6" s="8">
        <v>7.1999999999999886</v>
      </c>
      <c r="C6" s="8">
        <v>5.2999999999999972</v>
      </c>
      <c r="D6" s="8">
        <v>5.0999999999999943</v>
      </c>
      <c r="E6" s="8">
        <v>5.5999999999999943</v>
      </c>
      <c r="F6" s="8">
        <v>5.5</v>
      </c>
      <c r="G6" s="8">
        <v>4.8999999999999915</v>
      </c>
      <c r="H6" s="8">
        <v>4.8999999999999915</v>
      </c>
      <c r="I6" s="8">
        <v>5.2999999999999972</v>
      </c>
      <c r="J6" s="8">
        <v>5.2000000000000028</v>
      </c>
      <c r="K6" s="8">
        <v>3.7999999999999972</v>
      </c>
      <c r="L6" s="8">
        <v>3.2999999999999972</v>
      </c>
      <c r="M6" s="8">
        <v>4.7999999999999972</v>
      </c>
      <c r="N6" s="8">
        <v>4</v>
      </c>
      <c r="O6" s="8">
        <v>3.5999999999999943</v>
      </c>
      <c r="P6" s="8">
        <v>3.6999999999999886</v>
      </c>
      <c r="Q6" s="8">
        <v>3.1000000000000085</v>
      </c>
      <c r="R6" s="8">
        <v>2.2000000000000028</v>
      </c>
      <c r="S6" s="8">
        <v>2.5999999999999943</v>
      </c>
      <c r="T6" s="8">
        <v>3.2000000000000028</v>
      </c>
      <c r="U6" s="8">
        <v>2.2999999999999972</v>
      </c>
      <c r="V6" s="8">
        <v>2.2000000000000028</v>
      </c>
      <c r="W6" s="8">
        <v>2.7999999999999972</v>
      </c>
      <c r="X6" s="8">
        <v>2.7999999999999972</v>
      </c>
      <c r="Y6" s="8">
        <v>2.7000000000000028</v>
      </c>
      <c r="Z6" s="8">
        <v>2.7000000000000028</v>
      </c>
    </row>
    <row r="7" spans="1:27" x14ac:dyDescent="0.25">
      <c r="A7" t="s">
        <v>6</v>
      </c>
      <c r="B7" s="8">
        <v>2.9999999999999929</v>
      </c>
      <c r="C7" s="8">
        <v>1.5</v>
      </c>
      <c r="D7" s="8">
        <v>1.7999999999999972</v>
      </c>
      <c r="E7" s="8">
        <v>1.6000000000000014</v>
      </c>
      <c r="F7" s="8">
        <v>2</v>
      </c>
      <c r="G7" s="8">
        <v>1.8999999999999986</v>
      </c>
      <c r="H7" s="8">
        <v>1.6000000000000014</v>
      </c>
      <c r="I7" s="8">
        <v>2.2999999999999972</v>
      </c>
      <c r="J7" s="8">
        <v>2.5000000000000071</v>
      </c>
      <c r="K7" s="8">
        <v>1.0999999999999943</v>
      </c>
      <c r="L7" s="8">
        <v>0.59999999999999432</v>
      </c>
      <c r="M7" s="8">
        <v>1.3999999999999986</v>
      </c>
      <c r="N7" s="8">
        <v>0.79999999999999716</v>
      </c>
      <c r="O7" s="8">
        <v>0.89999999999999858</v>
      </c>
      <c r="P7" s="8">
        <v>0.69999999999998863</v>
      </c>
      <c r="Q7" s="8">
        <v>0.20000000000000284</v>
      </c>
      <c r="R7" s="8">
        <v>0.20000000000000284</v>
      </c>
      <c r="S7" s="8">
        <v>0</v>
      </c>
      <c r="T7" s="8">
        <v>0.5</v>
      </c>
      <c r="U7" s="8">
        <v>9.9999999999994316E-2</v>
      </c>
      <c r="V7" s="8">
        <v>0</v>
      </c>
      <c r="W7" s="8">
        <v>0.29999999999999716</v>
      </c>
      <c r="X7" s="8">
        <v>2</v>
      </c>
      <c r="Y7" s="8">
        <v>2</v>
      </c>
      <c r="Z7" s="8">
        <v>1.7999999999999972</v>
      </c>
    </row>
    <row r="8" spans="1:27" x14ac:dyDescent="0.25">
      <c r="A8" t="s">
        <v>7</v>
      </c>
      <c r="B8" s="8">
        <v>2</v>
      </c>
      <c r="C8" s="8">
        <v>1</v>
      </c>
      <c r="D8" s="8">
        <v>0.5</v>
      </c>
      <c r="E8" s="8">
        <v>0.70000000000000284</v>
      </c>
      <c r="F8" s="8">
        <v>1</v>
      </c>
      <c r="G8" s="8">
        <v>1.0999999999999943</v>
      </c>
      <c r="H8" s="8">
        <v>0.79999999999999716</v>
      </c>
      <c r="I8" s="8">
        <v>1.2999999999999972</v>
      </c>
      <c r="J8" s="8">
        <v>1.4000000000000057</v>
      </c>
      <c r="K8" s="8">
        <v>0.20000000000000284</v>
      </c>
      <c r="L8" s="8">
        <v>0.40000000000000568</v>
      </c>
      <c r="M8" s="8">
        <v>0.59999999999999432</v>
      </c>
      <c r="N8" s="8">
        <v>0.59999999999999432</v>
      </c>
      <c r="O8" s="8">
        <v>9.9999999999994316E-2</v>
      </c>
      <c r="P8" s="8">
        <v>0.29999999999999716</v>
      </c>
      <c r="Q8" s="8">
        <v>9.9999999999994316E-2</v>
      </c>
      <c r="R8" s="8">
        <v>0.20000000000000284</v>
      </c>
      <c r="S8" s="8">
        <v>0.20000000000000284</v>
      </c>
      <c r="T8" s="8">
        <v>1.4000000000000057</v>
      </c>
      <c r="U8" s="8">
        <v>0.5</v>
      </c>
      <c r="V8" s="8">
        <v>0.90000000000000568</v>
      </c>
      <c r="W8" s="8">
        <v>0.90000000000000568</v>
      </c>
      <c r="X8" s="8">
        <v>2</v>
      </c>
      <c r="Y8" s="8">
        <v>2.0999999999999943</v>
      </c>
      <c r="Z8" s="8">
        <v>2.4999999999999858</v>
      </c>
    </row>
    <row r="9" spans="1:27" x14ac:dyDescent="0.25">
      <c r="A9" t="s">
        <v>8</v>
      </c>
      <c r="B9" s="8">
        <v>5.8999999999999915</v>
      </c>
      <c r="C9" s="8">
        <v>5.1000000000000085</v>
      </c>
      <c r="D9" s="8">
        <v>4.7000000000000028</v>
      </c>
      <c r="E9" s="8">
        <v>4.1000000000000085</v>
      </c>
      <c r="F9" s="8">
        <v>4</v>
      </c>
      <c r="G9" s="8">
        <v>4.5</v>
      </c>
      <c r="H9" s="8">
        <v>4.2999999999999972</v>
      </c>
      <c r="I9" s="8">
        <v>4.3999999999999915</v>
      </c>
      <c r="J9" s="8">
        <v>3.9000000000000057</v>
      </c>
      <c r="K9" s="8">
        <v>3.6000000000000085</v>
      </c>
      <c r="L9" s="8">
        <v>3</v>
      </c>
      <c r="M9" s="8">
        <v>4.1000000000000085</v>
      </c>
      <c r="N9" s="8">
        <v>3.5</v>
      </c>
      <c r="O9" s="8">
        <v>3.7000000000000028</v>
      </c>
      <c r="P9" s="8">
        <v>3.2999999999999972</v>
      </c>
      <c r="Q9" s="8">
        <v>2.4000000000000057</v>
      </c>
      <c r="R9" s="8">
        <v>2.2999999999999972</v>
      </c>
      <c r="S9" s="8">
        <v>3.0999999999999943</v>
      </c>
      <c r="T9" s="8">
        <v>3.4000000000000057</v>
      </c>
      <c r="U9" s="8">
        <v>2.5</v>
      </c>
      <c r="V9" s="8">
        <v>2.7000000000000028</v>
      </c>
      <c r="W9" s="8">
        <v>3.5</v>
      </c>
      <c r="X9" s="8">
        <v>3.8000000000000114</v>
      </c>
      <c r="Y9" s="8">
        <v>3.2000000000000028</v>
      </c>
      <c r="Z9" s="8">
        <v>3.1000000000000085</v>
      </c>
    </row>
    <row r="10" spans="1:27" x14ac:dyDescent="0.25">
      <c r="A10" t="s">
        <v>9</v>
      </c>
      <c r="B10" s="8">
        <v>3</v>
      </c>
      <c r="C10" s="8">
        <v>2.3000000000000114</v>
      </c>
      <c r="D10" s="8">
        <v>2.2000000000000028</v>
      </c>
      <c r="E10" s="8">
        <v>2.6000000000000085</v>
      </c>
      <c r="F10" s="8">
        <v>2.5</v>
      </c>
      <c r="G10" s="8">
        <v>2.4000000000000057</v>
      </c>
      <c r="H10" s="8">
        <v>2.1000000000000085</v>
      </c>
      <c r="I10" s="8">
        <v>2.7999999999999972</v>
      </c>
      <c r="J10" s="8">
        <v>2.7999999999999972</v>
      </c>
      <c r="K10" s="8">
        <v>1.2000000000000028</v>
      </c>
      <c r="L10" s="8">
        <v>1.4000000000000057</v>
      </c>
      <c r="M10" s="8">
        <v>2.3999999999999915</v>
      </c>
      <c r="N10" s="8">
        <v>2.1000000000000085</v>
      </c>
      <c r="O10" s="8">
        <v>2.2999999999999972</v>
      </c>
      <c r="P10" s="8">
        <v>1.8999999999999915</v>
      </c>
      <c r="Q10" s="8">
        <v>2</v>
      </c>
      <c r="R10" s="8">
        <v>1.5</v>
      </c>
      <c r="S10" s="8">
        <v>2.0999999999999943</v>
      </c>
      <c r="T10" s="8">
        <v>2.5</v>
      </c>
      <c r="U10" s="8">
        <v>1.5</v>
      </c>
      <c r="V10" s="8">
        <v>1.5</v>
      </c>
      <c r="W10" s="8">
        <v>1.2999999999999972</v>
      </c>
      <c r="X10" s="8">
        <v>1.6000000000000085</v>
      </c>
      <c r="Y10" s="8">
        <v>1.5</v>
      </c>
      <c r="Z10" s="8">
        <v>1.2999999999999972</v>
      </c>
    </row>
    <row r="11" spans="1:27" x14ac:dyDescent="0.25">
      <c r="A11" t="s">
        <v>10</v>
      </c>
      <c r="B11" s="8">
        <v>4.6999999999999886</v>
      </c>
      <c r="C11" s="8">
        <v>3.0999999999999943</v>
      </c>
      <c r="D11" s="8">
        <v>3.5</v>
      </c>
      <c r="E11" s="8">
        <v>4</v>
      </c>
      <c r="F11" s="8">
        <v>3.9000000000000057</v>
      </c>
      <c r="G11" s="8">
        <v>4</v>
      </c>
      <c r="H11" s="8">
        <v>3.7000000000000028</v>
      </c>
      <c r="I11" s="8">
        <v>4</v>
      </c>
      <c r="J11" s="8">
        <v>4</v>
      </c>
      <c r="K11" s="8">
        <v>2.9000000000000057</v>
      </c>
      <c r="L11" s="8">
        <v>2.9000000000000057</v>
      </c>
      <c r="M11" s="8">
        <v>4</v>
      </c>
      <c r="N11" s="8">
        <v>2.7999999999999972</v>
      </c>
      <c r="O11" s="8">
        <v>2.2999999999999972</v>
      </c>
      <c r="P11" s="8">
        <v>2.5</v>
      </c>
      <c r="Q11" s="8">
        <v>1.8000000000000114</v>
      </c>
      <c r="R11" s="8">
        <v>1.7000000000000028</v>
      </c>
      <c r="S11" s="8">
        <v>2</v>
      </c>
      <c r="T11" s="8">
        <v>2.7000000000000028</v>
      </c>
      <c r="U11" s="8">
        <v>1.5999999999999943</v>
      </c>
      <c r="V11" s="8">
        <v>1.4000000000000057</v>
      </c>
      <c r="W11" s="8">
        <v>2</v>
      </c>
      <c r="X11" s="8">
        <v>1.5999999999999943</v>
      </c>
      <c r="Y11" s="8">
        <v>1.2000000000000028</v>
      </c>
      <c r="Z11" s="8">
        <v>1.5</v>
      </c>
    </row>
    <row r="12" spans="1:27" x14ac:dyDescent="0.25">
      <c r="A12" t="s">
        <v>11</v>
      </c>
      <c r="B12" s="8">
        <v>6.3999999999999915</v>
      </c>
      <c r="C12" s="8">
        <v>5.5</v>
      </c>
      <c r="D12" s="8">
        <v>5.4000000000000057</v>
      </c>
      <c r="E12" s="8">
        <v>5.8999999999999915</v>
      </c>
      <c r="F12" s="8">
        <v>5.5999999999999943</v>
      </c>
      <c r="G12" s="8">
        <v>5.1000000000000085</v>
      </c>
      <c r="H12" s="8">
        <v>5.0999999999999943</v>
      </c>
      <c r="I12" s="8">
        <v>5.6999999999999886</v>
      </c>
      <c r="J12" s="8">
        <v>5.4000000000000057</v>
      </c>
      <c r="K12" s="8">
        <v>4.5</v>
      </c>
      <c r="L12" s="8">
        <v>4.2999999999999972</v>
      </c>
      <c r="M12" s="8">
        <v>4.7999999999999972</v>
      </c>
      <c r="N12" s="8">
        <v>4.7000000000000028</v>
      </c>
      <c r="O12" s="8">
        <v>5</v>
      </c>
      <c r="P12" s="8">
        <v>4</v>
      </c>
      <c r="Q12" s="8">
        <v>3.0999999999999943</v>
      </c>
      <c r="R12" s="8">
        <v>2.7999999999999972</v>
      </c>
      <c r="S12" s="8">
        <v>3.0999999999999943</v>
      </c>
      <c r="T12" s="8">
        <v>4</v>
      </c>
      <c r="U12" s="8">
        <v>2</v>
      </c>
      <c r="V12" s="8">
        <v>2</v>
      </c>
      <c r="W12" s="8">
        <v>2.5999999999999943</v>
      </c>
      <c r="X12" s="8">
        <v>3.4000000000000057</v>
      </c>
      <c r="Y12" s="8">
        <v>3.2000000000000028</v>
      </c>
      <c r="Z12" s="8">
        <v>2.7000000000000028</v>
      </c>
    </row>
    <row r="13" spans="1:27" x14ac:dyDescent="0.25">
      <c r="A13" t="s">
        <v>12</v>
      </c>
      <c r="B13" s="8">
        <v>3.7000000000000028</v>
      </c>
      <c r="C13" s="8">
        <v>2.7000000000000028</v>
      </c>
      <c r="D13" s="8">
        <v>2.8999999999999915</v>
      </c>
      <c r="E13" s="8">
        <v>3.1000000000000085</v>
      </c>
      <c r="F13" s="8">
        <v>3.2000000000000028</v>
      </c>
      <c r="G13" s="8">
        <v>2.7000000000000028</v>
      </c>
      <c r="H13" s="8">
        <v>2.5999999999999943</v>
      </c>
      <c r="I13" s="8">
        <v>3.2999999999999972</v>
      </c>
      <c r="J13" s="8">
        <v>3.7000000000000028</v>
      </c>
      <c r="K13" s="8">
        <v>1.5999999999999943</v>
      </c>
      <c r="L13" s="8">
        <v>1</v>
      </c>
      <c r="M13" s="8">
        <v>2</v>
      </c>
      <c r="N13" s="8">
        <v>2</v>
      </c>
      <c r="O13" s="8">
        <v>2.1999999999999886</v>
      </c>
      <c r="P13" s="8">
        <v>1.7000000000000028</v>
      </c>
      <c r="Q13" s="8">
        <v>1.2000000000000028</v>
      </c>
      <c r="R13" s="8">
        <v>1</v>
      </c>
      <c r="S13" s="8">
        <v>1.4000000000000057</v>
      </c>
      <c r="T13" s="8">
        <v>2.2999999999999972</v>
      </c>
      <c r="U13" s="8">
        <v>1.7000000000000028</v>
      </c>
      <c r="V13" s="8">
        <v>1.2999999999999972</v>
      </c>
      <c r="W13" s="8">
        <v>2.0999999999999943</v>
      </c>
      <c r="X13" s="8">
        <v>1.6999999999999886</v>
      </c>
      <c r="Y13" s="8">
        <v>1.7000000000000028</v>
      </c>
      <c r="Z13" s="8">
        <v>1.5000000000000142</v>
      </c>
    </row>
    <row r="14" spans="1:27" x14ac:dyDescent="0.25">
      <c r="A14" t="s">
        <v>21</v>
      </c>
      <c r="B14" s="8">
        <v>7.1000000000000085</v>
      </c>
      <c r="C14" s="8">
        <v>5.5999999999999943</v>
      </c>
      <c r="D14" s="8">
        <v>5.6000000000000085</v>
      </c>
      <c r="E14" s="8">
        <v>5.4000000000000057</v>
      </c>
      <c r="F14" s="8">
        <v>5.5</v>
      </c>
      <c r="G14" s="8">
        <v>5.4000000000000057</v>
      </c>
      <c r="H14" s="8">
        <v>5.5</v>
      </c>
      <c r="I14" s="8">
        <v>5.7000000000000028</v>
      </c>
      <c r="J14" s="8">
        <v>5.7000000000000028</v>
      </c>
      <c r="K14" s="8">
        <v>4.6000000000000085</v>
      </c>
      <c r="L14" s="8">
        <v>3.9000000000000057</v>
      </c>
      <c r="M14" s="8">
        <v>4.9000000000000057</v>
      </c>
      <c r="N14" s="8">
        <v>3.9000000000000057</v>
      </c>
      <c r="O14" s="8">
        <v>3.8999999999999915</v>
      </c>
      <c r="P14" s="8">
        <v>3.6999999999999886</v>
      </c>
      <c r="Q14" s="8">
        <v>3.2000000000000028</v>
      </c>
      <c r="R14" s="8">
        <v>2.8000000000000114</v>
      </c>
      <c r="S14" s="8">
        <v>3.2999999999999972</v>
      </c>
      <c r="T14" s="8">
        <v>3.4000000000000057</v>
      </c>
      <c r="U14" s="8">
        <v>2.3000000000000114</v>
      </c>
      <c r="V14" s="8">
        <v>1.7999999999999972</v>
      </c>
      <c r="W14" s="8">
        <v>2.2000000000000028</v>
      </c>
      <c r="X14" s="8">
        <v>2.2999999999999972</v>
      </c>
      <c r="Y14" s="8">
        <v>2.0999999999999943</v>
      </c>
      <c r="Z14" s="8">
        <v>2.2000000000000028</v>
      </c>
    </row>
    <row r="15" spans="1:27" x14ac:dyDescent="0.25">
      <c r="A15" t="s">
        <v>18</v>
      </c>
      <c r="B15" s="8">
        <v>5</v>
      </c>
      <c r="C15" s="8">
        <v>3.9000000000000057</v>
      </c>
      <c r="D15" s="8">
        <v>4</v>
      </c>
      <c r="E15" s="8">
        <v>3.9000000000000057</v>
      </c>
      <c r="F15" s="8">
        <v>3.9000000000000057</v>
      </c>
      <c r="G15" s="8">
        <v>3.7999999999999972</v>
      </c>
      <c r="H15" s="8">
        <v>3.7999999999999972</v>
      </c>
      <c r="I15" s="8">
        <v>4.1000000000000085</v>
      </c>
      <c r="J15" s="8">
        <v>4.0999999999999943</v>
      </c>
      <c r="K15" s="8">
        <v>3.1000000000000085</v>
      </c>
      <c r="L15" s="8">
        <v>2.7999999999999972</v>
      </c>
      <c r="M15" s="8">
        <v>3.5</v>
      </c>
      <c r="N15" s="8">
        <v>2.9000000000000057</v>
      </c>
      <c r="O15" s="8">
        <v>2.7999999999999972</v>
      </c>
      <c r="P15" s="8">
        <v>2.5</v>
      </c>
      <c r="Q15" s="8">
        <v>2.2000000000000028</v>
      </c>
      <c r="R15" s="8">
        <v>1.7999999999999972</v>
      </c>
      <c r="S15" s="8">
        <v>2.3999999999999915</v>
      </c>
      <c r="T15" s="8">
        <v>2.7000000000000028</v>
      </c>
      <c r="U15" s="8">
        <v>1.6999999999999886</v>
      </c>
      <c r="V15" s="8">
        <v>1.5999999999999943</v>
      </c>
      <c r="W15" s="8">
        <v>1.9000000000000057</v>
      </c>
      <c r="X15" s="8">
        <v>2.1000000000000085</v>
      </c>
      <c r="Y15" s="8">
        <v>1.9000000000000057</v>
      </c>
      <c r="Z15" s="8">
        <v>1.7999999999999972</v>
      </c>
    </row>
    <row r="16" spans="1:27" x14ac:dyDescent="0.25">
      <c r="A16" t="s">
        <v>16</v>
      </c>
      <c r="B16" s="8">
        <v>4.5583333333333229</v>
      </c>
      <c r="C16" s="8">
        <v>3.4500000000000028</v>
      </c>
      <c r="D16" s="8">
        <v>3.3333333333333286</v>
      </c>
      <c r="E16" s="8">
        <v>3.4250000000000114</v>
      </c>
      <c r="F16" s="8">
        <v>3.3833333333333258</v>
      </c>
      <c r="G16" s="8">
        <v>3.2416666666666885</v>
      </c>
      <c r="H16" s="8">
        <v>3.0916666666666686</v>
      </c>
      <c r="I16" s="8">
        <v>3.5750000000000028</v>
      </c>
      <c r="J16" s="8">
        <v>3.5666666666666629</v>
      </c>
      <c r="K16" s="8">
        <v>2.4416666666666629</v>
      </c>
      <c r="L16" s="8">
        <v>2.0583333333333371</v>
      </c>
      <c r="M16" s="8">
        <v>2.9833333333333201</v>
      </c>
      <c r="N16" s="8">
        <v>2.50833333333334</v>
      </c>
      <c r="O16" s="8">
        <v>2.5416666666666714</v>
      </c>
      <c r="P16" s="8">
        <v>2.25833333333334</v>
      </c>
      <c r="Q16" s="8">
        <v>1.8249999999999886</v>
      </c>
      <c r="R16" s="8">
        <v>1.4416666666666629</v>
      </c>
      <c r="S16" s="8">
        <v>1.8416666666666828</v>
      </c>
      <c r="T16" s="8">
        <v>2.3583333333333343</v>
      </c>
      <c r="U16" s="8">
        <v>1.3999999999999915</v>
      </c>
      <c r="V16" s="8">
        <v>1.2750000000000057</v>
      </c>
      <c r="W16" s="8">
        <v>1.6583333333333314</v>
      </c>
      <c r="X16" s="8">
        <v>2.0333333333333314</v>
      </c>
      <c r="Y16" s="8">
        <v>1.9166666666666572</v>
      </c>
      <c r="Z16" s="8">
        <v>1.8833333333333258</v>
      </c>
    </row>
    <row r="17" spans="1:26" x14ac:dyDescent="0.25">
      <c r="A17" t="s">
        <v>17</v>
      </c>
      <c r="B17" s="8">
        <v>2.63333333333334</v>
      </c>
      <c r="C17" s="8">
        <v>1.6666666666666714</v>
      </c>
      <c r="D17" s="8">
        <v>1.6333333333333258</v>
      </c>
      <c r="E17" s="8">
        <v>1.6000000000000085</v>
      </c>
      <c r="F17" s="8">
        <v>1.5666666666666771</v>
      </c>
      <c r="G17" s="8">
        <v>1.4000000000000057</v>
      </c>
      <c r="H17" s="8">
        <v>1.2333333333333485</v>
      </c>
      <c r="I17" s="8">
        <v>2.0333333333333314</v>
      </c>
      <c r="J17" s="8">
        <v>2.2333333333333343</v>
      </c>
      <c r="K17" s="8">
        <v>1.0666666666666771</v>
      </c>
      <c r="L17" s="8">
        <v>0.89999999999999147</v>
      </c>
      <c r="M17" s="8">
        <v>1.7000000000000028</v>
      </c>
      <c r="N17" s="8">
        <v>1.36666666666666</v>
      </c>
      <c r="O17" s="8">
        <v>1.5333333333333314</v>
      </c>
      <c r="P17" s="8">
        <v>1.2333333333333485</v>
      </c>
      <c r="Q17" s="8">
        <v>1.0333333333333456</v>
      </c>
      <c r="R17" s="8">
        <v>0.59999999999999432</v>
      </c>
      <c r="S17" s="8">
        <v>0.89999999999999147</v>
      </c>
      <c r="T17" s="8">
        <v>1.2333333333333201</v>
      </c>
      <c r="U17" s="8">
        <v>0.46666666666665435</v>
      </c>
      <c r="V17" s="8">
        <v>0.5</v>
      </c>
      <c r="W17" s="8">
        <v>0.50000000000001421</v>
      </c>
      <c r="X17" s="8">
        <v>1.2333333333333343</v>
      </c>
      <c r="Y17" s="8">
        <v>1.1666666666666714</v>
      </c>
      <c r="Z17" s="8">
        <v>1.0333333333333314</v>
      </c>
    </row>
    <row r="18" spans="1:26" x14ac:dyDescent="0.25">
      <c r="A18" t="s">
        <v>13</v>
      </c>
      <c r="B18" s="8">
        <v>3.125</v>
      </c>
      <c r="C18" s="8">
        <v>2.3249999999999886</v>
      </c>
      <c r="D18" s="8">
        <v>2.2000000000000171</v>
      </c>
      <c r="E18" s="8">
        <v>2.1749999999999972</v>
      </c>
      <c r="F18" s="8">
        <v>2.0499999999999972</v>
      </c>
      <c r="G18" s="8">
        <v>1.9000000000000057</v>
      </c>
      <c r="H18" s="8">
        <v>1.6500000000000057</v>
      </c>
      <c r="I18" s="8">
        <v>2.3749999999999858</v>
      </c>
      <c r="J18" s="8">
        <v>2.4249999999999972</v>
      </c>
      <c r="K18" s="8">
        <v>1.3500000000000085</v>
      </c>
      <c r="L18" s="8">
        <v>1</v>
      </c>
      <c r="M18" s="8">
        <v>1.8499999999999943</v>
      </c>
      <c r="N18" s="8">
        <v>1.4249999999999972</v>
      </c>
      <c r="O18" s="8">
        <v>1.7249999999999943</v>
      </c>
      <c r="P18" s="8">
        <v>1.4000000000000057</v>
      </c>
      <c r="Q18" s="8">
        <v>1.2249999999999943</v>
      </c>
      <c r="R18" s="8">
        <v>0.79999999999999716</v>
      </c>
      <c r="S18" s="8">
        <v>1.1749999999999972</v>
      </c>
      <c r="T18" s="8">
        <v>1.5</v>
      </c>
      <c r="U18" s="8">
        <v>0.64999999999999147</v>
      </c>
      <c r="V18" s="8">
        <v>0.625</v>
      </c>
      <c r="W18" s="8">
        <v>0.72499999999999432</v>
      </c>
      <c r="X18" s="8">
        <v>1.3499999999999943</v>
      </c>
      <c r="Y18" s="8">
        <v>1.3999999999999915</v>
      </c>
      <c r="Z18" s="8">
        <v>1.2749999999999915</v>
      </c>
    </row>
    <row r="19" spans="1:26" x14ac:dyDescent="0.25">
      <c r="A19" t="s">
        <v>14</v>
      </c>
      <c r="B19" s="8">
        <v>5.2750000000000057</v>
      </c>
      <c r="C19" s="8">
        <v>4.0124999999999886</v>
      </c>
      <c r="D19" s="8">
        <v>3.9000000000000057</v>
      </c>
      <c r="E19" s="8">
        <v>4.0499999999999972</v>
      </c>
      <c r="F19" s="8">
        <v>4.0499999999999829</v>
      </c>
      <c r="G19" s="8">
        <v>3.9125000000000085</v>
      </c>
      <c r="H19" s="8">
        <v>3.8125000000000142</v>
      </c>
      <c r="I19" s="8">
        <v>4.1749999999999972</v>
      </c>
      <c r="J19" s="8">
        <v>4.1375000000000028</v>
      </c>
      <c r="K19" s="8">
        <v>2.9874999999999972</v>
      </c>
      <c r="L19" s="8">
        <v>2.5875000000000199</v>
      </c>
      <c r="M19" s="8">
        <v>3.5499999999999972</v>
      </c>
      <c r="N19" s="8">
        <v>3.0500000000000114</v>
      </c>
      <c r="O19" s="8">
        <v>2.9500000000000028</v>
      </c>
      <c r="P19" s="8">
        <v>2.6875000000000142</v>
      </c>
      <c r="Q19" s="8">
        <v>2.125</v>
      </c>
      <c r="R19" s="8">
        <v>1.7624999999999886</v>
      </c>
      <c r="S19" s="8">
        <v>2.1750000000000114</v>
      </c>
      <c r="T19" s="8">
        <v>2.7874999999999943</v>
      </c>
      <c r="U19" s="8">
        <v>1.7749999999999915</v>
      </c>
      <c r="V19" s="8">
        <v>1.5999999999999943</v>
      </c>
      <c r="W19" s="8">
        <v>2.125</v>
      </c>
      <c r="X19" s="8">
        <v>2.3750000000000284</v>
      </c>
      <c r="Y19" s="8">
        <v>2.1750000000000114</v>
      </c>
      <c r="Z19" s="8">
        <v>2.1875000000000142</v>
      </c>
    </row>
    <row r="20" spans="1:26" x14ac:dyDescent="0.25">
      <c r="A20" t="s">
        <v>20</v>
      </c>
      <c r="B20" s="8">
        <v>4.9833333333333343</v>
      </c>
      <c r="C20" s="8">
        <v>3.7833333333333456</v>
      </c>
      <c r="D20" s="8">
        <v>3.6833333333333371</v>
      </c>
      <c r="E20" s="8">
        <v>3.9000000000000057</v>
      </c>
      <c r="F20" s="8">
        <v>3.8666666666666742</v>
      </c>
      <c r="G20" s="8">
        <v>3.7166666666666686</v>
      </c>
      <c r="H20" s="8">
        <v>3.5666666666666629</v>
      </c>
      <c r="I20" s="8">
        <v>4</v>
      </c>
      <c r="J20" s="8">
        <v>3.9333333333333513</v>
      </c>
      <c r="K20" s="8">
        <v>2.7666666666666657</v>
      </c>
      <c r="L20" s="8">
        <v>2.3500000000000085</v>
      </c>
      <c r="M20" s="8">
        <v>3.3833333333333258</v>
      </c>
      <c r="N20" s="8">
        <v>2.9333333333333371</v>
      </c>
      <c r="O20" s="8">
        <v>2.8166666666666629</v>
      </c>
      <c r="P20" s="8">
        <v>2.5833333333333428</v>
      </c>
      <c r="Q20" s="8">
        <v>1.9500000000000171</v>
      </c>
      <c r="R20" s="8">
        <v>1.6333333333333258</v>
      </c>
      <c r="S20" s="8">
        <v>2.0666666666666629</v>
      </c>
      <c r="T20" s="8">
        <v>2.8333333333333286</v>
      </c>
      <c r="U20" s="8">
        <v>1.7666666666666799</v>
      </c>
      <c r="V20" s="8">
        <v>1.75</v>
      </c>
      <c r="W20" s="8">
        <v>2.3166666666666629</v>
      </c>
      <c r="X20" s="8">
        <v>2.5499999999999972</v>
      </c>
      <c r="Y20" s="8">
        <v>2.3500000000000085</v>
      </c>
      <c r="Z20" s="8">
        <v>2.3333333333333428</v>
      </c>
    </row>
    <row r="21" spans="1:26" x14ac:dyDescent="0.25">
      <c r="A21" t="s">
        <v>34</v>
      </c>
      <c r="B21" s="8">
        <v>5.3285714285714363</v>
      </c>
      <c r="C21" s="8">
        <v>4.1428571428571388</v>
      </c>
      <c r="D21" s="8">
        <v>4.0285714285714391</v>
      </c>
      <c r="E21" s="8">
        <v>4.2428571428571331</v>
      </c>
      <c r="F21" s="8">
        <v>4.2142857142857224</v>
      </c>
      <c r="G21" s="8">
        <v>4.085714285714289</v>
      </c>
      <c r="H21" s="8">
        <v>3.9857142857142946</v>
      </c>
      <c r="I21" s="8">
        <v>4.3285714285714221</v>
      </c>
      <c r="J21" s="8">
        <v>4.2571428571428669</v>
      </c>
      <c r="K21" s="8">
        <v>3.1571428571428584</v>
      </c>
      <c r="L21" s="8">
        <v>2.7428571428571615</v>
      </c>
      <c r="M21" s="8">
        <v>3.6714285714285637</v>
      </c>
      <c r="N21" s="8">
        <v>3.1285714285714334</v>
      </c>
      <c r="O21" s="8">
        <v>3.0714285714285694</v>
      </c>
      <c r="P21" s="8">
        <v>2.7428571428571473</v>
      </c>
      <c r="Q21" s="8">
        <v>2.1714285714285495</v>
      </c>
      <c r="R21" s="8">
        <v>1.7714285714285865</v>
      </c>
      <c r="S21" s="8">
        <v>2.2142857142857082</v>
      </c>
      <c r="T21" s="8">
        <v>2.914285714285711</v>
      </c>
      <c r="U21" s="8">
        <v>1.914285714285711</v>
      </c>
      <c r="V21" s="8">
        <v>1.7571428571428527</v>
      </c>
      <c r="W21" s="8">
        <v>2.2999999999999972</v>
      </c>
      <c r="X21" s="8">
        <v>2.557142857142864</v>
      </c>
      <c r="Y21" s="8">
        <v>2.2857142857142776</v>
      </c>
      <c r="Z21" s="8">
        <v>2.2571428571428527</v>
      </c>
    </row>
    <row r="22" spans="1:26" x14ac:dyDescent="0.25">
      <c r="A22" t="s">
        <v>100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5">
      <c r="A23" t="s">
        <v>15</v>
      </c>
      <c r="B23" s="8">
        <v>6.1500000000000057</v>
      </c>
      <c r="C23" s="8">
        <v>4.6999999999999886</v>
      </c>
      <c r="D23" s="8">
        <v>4.5499999999999829</v>
      </c>
      <c r="E23" s="8">
        <v>4.5</v>
      </c>
      <c r="F23" s="8">
        <v>4.6000000000000085</v>
      </c>
      <c r="G23" s="8">
        <v>4.5</v>
      </c>
      <c r="H23" s="8">
        <v>4.5499999999999829</v>
      </c>
      <c r="I23" s="8">
        <v>4.6999999999999886</v>
      </c>
      <c r="J23" s="8">
        <v>4.7499999999999858</v>
      </c>
      <c r="K23" s="8">
        <v>3.6500000000000057</v>
      </c>
      <c r="L23" s="8">
        <v>3.2999999999999829</v>
      </c>
      <c r="M23" s="8">
        <v>4.0500000000000114</v>
      </c>
      <c r="N23" s="8">
        <v>3.4000000000000057</v>
      </c>
      <c r="O23" s="8">
        <v>3.3499999999999943</v>
      </c>
      <c r="P23" s="8">
        <v>3</v>
      </c>
      <c r="Q23" s="8">
        <v>2.6500000000000057</v>
      </c>
      <c r="R23" s="8">
        <v>2.1500000000000057</v>
      </c>
      <c r="S23" s="8">
        <v>2.5</v>
      </c>
      <c r="T23" s="8">
        <v>2.6499999999999915</v>
      </c>
      <c r="U23" s="8">
        <v>1.7999999999999972</v>
      </c>
      <c r="V23" s="8">
        <v>1.1500000000000057</v>
      </c>
      <c r="W23" s="8">
        <v>1.5499999999999972</v>
      </c>
      <c r="X23" s="8">
        <v>1.8499999999999943</v>
      </c>
      <c r="Y23" s="8">
        <v>1.6499999999999915</v>
      </c>
      <c r="Z23" s="8">
        <v>1.7499999999999858</v>
      </c>
    </row>
    <row r="24" spans="1:26" x14ac:dyDescent="0.25">
      <c r="A24" t="s">
        <v>35</v>
      </c>
    </row>
    <row r="25" spans="1:26" x14ac:dyDescent="0.25">
      <c r="A25" t="s">
        <v>36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454-C927-4443-9617-EC3C7E1F4633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144.19999999999999</v>
      </c>
      <c r="C2" s="8">
        <v>151.1</v>
      </c>
      <c r="D2" s="8">
        <v>158.4</v>
      </c>
      <c r="E2" s="8">
        <v>159.4</v>
      </c>
      <c r="F2" s="8">
        <v>161.80000000000001</v>
      </c>
      <c r="G2" s="8">
        <v>167.7</v>
      </c>
      <c r="H2" s="8">
        <v>177.9</v>
      </c>
      <c r="I2" s="8">
        <v>194.7</v>
      </c>
      <c r="J2" s="8">
        <v>205.8</v>
      </c>
      <c r="K2" s="8">
        <v>210.5</v>
      </c>
      <c r="L2" s="8">
        <v>216.4</v>
      </c>
      <c r="M2" s="8">
        <v>224.3</v>
      </c>
      <c r="N2" s="8">
        <v>233</v>
      </c>
      <c r="O2" s="8">
        <v>238.5</v>
      </c>
      <c r="P2" s="8">
        <v>246.9</v>
      </c>
      <c r="Q2" s="8">
        <v>255.7</v>
      </c>
      <c r="R2" s="8">
        <v>261.89999999999998</v>
      </c>
      <c r="S2" s="8">
        <v>269.7</v>
      </c>
      <c r="T2" s="8">
        <v>277.89999999999998</v>
      </c>
      <c r="U2" s="8">
        <v>287.3</v>
      </c>
      <c r="V2" s="8">
        <v>292.3</v>
      </c>
      <c r="W2" s="8">
        <v>308.89999999999998</v>
      </c>
      <c r="X2" s="8">
        <v>323.39999999999998</v>
      </c>
      <c r="Y2" s="8">
        <v>343.9</v>
      </c>
      <c r="Z2" s="8">
        <v>361</v>
      </c>
      <c r="AA2" s="12">
        <f>+Z2</f>
        <v>361</v>
      </c>
    </row>
    <row r="3" spans="1:27" x14ac:dyDescent="0.25">
      <c r="A3" t="s">
        <v>2</v>
      </c>
      <c r="B3" s="8">
        <v>132.5</v>
      </c>
      <c r="C3" s="8">
        <v>139.19999999999999</v>
      </c>
      <c r="D3" s="8">
        <v>146.19999999999999</v>
      </c>
      <c r="E3" s="8">
        <v>148.9</v>
      </c>
      <c r="F3" s="8">
        <v>150.6</v>
      </c>
      <c r="G3" s="8">
        <v>155</v>
      </c>
      <c r="H3" s="8">
        <v>163</v>
      </c>
      <c r="I3" s="8">
        <v>177.3</v>
      </c>
      <c r="J3" s="8">
        <v>186</v>
      </c>
      <c r="K3" s="8">
        <v>190.1</v>
      </c>
      <c r="L3" s="8">
        <v>194.3</v>
      </c>
      <c r="M3" s="8">
        <v>201.4</v>
      </c>
      <c r="N3" s="8">
        <v>208.8</v>
      </c>
      <c r="O3" s="8">
        <v>212.6</v>
      </c>
      <c r="P3" s="8">
        <v>220</v>
      </c>
      <c r="Q3" s="8">
        <v>228.5</v>
      </c>
      <c r="R3" s="8">
        <v>233</v>
      </c>
      <c r="S3" s="8">
        <v>238.3</v>
      </c>
      <c r="T3" s="8">
        <v>244.8</v>
      </c>
      <c r="U3" s="8">
        <v>251.3</v>
      </c>
      <c r="V3" s="8">
        <v>254.7</v>
      </c>
      <c r="W3" s="8">
        <v>266.8</v>
      </c>
      <c r="X3" s="8">
        <v>277.89999999999998</v>
      </c>
      <c r="Y3" s="8">
        <v>293.89999999999998</v>
      </c>
      <c r="Z3" s="8">
        <v>308.60000000000002</v>
      </c>
      <c r="AA3" s="12">
        <f t="shared" ref="AA3:AA15" si="0">+Z3</f>
        <v>308.60000000000002</v>
      </c>
    </row>
    <row r="4" spans="1:27" x14ac:dyDescent="0.25">
      <c r="A4" t="s">
        <v>3</v>
      </c>
      <c r="B4" s="8">
        <v>130.30000000000001</v>
      </c>
      <c r="C4" s="8">
        <v>135.4</v>
      </c>
      <c r="D4" s="8">
        <v>143.5</v>
      </c>
      <c r="E4" s="8">
        <v>146.5</v>
      </c>
      <c r="F4" s="8">
        <v>148.9</v>
      </c>
      <c r="G4" s="8">
        <v>153.1</v>
      </c>
      <c r="H4" s="8">
        <v>160.9</v>
      </c>
      <c r="I4" s="8">
        <v>173.7</v>
      </c>
      <c r="J4" s="8">
        <v>181.8</v>
      </c>
      <c r="K4" s="8">
        <v>186</v>
      </c>
      <c r="L4" s="8">
        <v>189.6</v>
      </c>
      <c r="M4" s="8">
        <v>195.7</v>
      </c>
      <c r="N4" s="8">
        <v>203.2</v>
      </c>
      <c r="O4" s="8">
        <v>206.2</v>
      </c>
      <c r="P4" s="8">
        <v>213.8</v>
      </c>
      <c r="Q4" s="8">
        <v>223.4</v>
      </c>
      <c r="R4" s="8">
        <v>229</v>
      </c>
      <c r="S4" s="8">
        <v>235</v>
      </c>
      <c r="T4" s="8">
        <v>242.4</v>
      </c>
      <c r="U4" s="8">
        <v>250.5</v>
      </c>
      <c r="V4" s="8">
        <v>253.1</v>
      </c>
      <c r="W4" s="8">
        <v>266.3</v>
      </c>
      <c r="X4" s="8">
        <v>277</v>
      </c>
      <c r="Y4" s="8">
        <v>293.5</v>
      </c>
      <c r="Z4" s="8">
        <v>308.3</v>
      </c>
      <c r="AA4" s="12">
        <f t="shared" si="0"/>
        <v>308.3</v>
      </c>
    </row>
    <row r="5" spans="1:27" x14ac:dyDescent="0.25">
      <c r="A5" t="s">
        <v>4</v>
      </c>
      <c r="B5" s="8">
        <v>123.9</v>
      </c>
      <c r="C5" s="8">
        <v>129.5</v>
      </c>
      <c r="D5" s="8">
        <v>136.80000000000001</v>
      </c>
      <c r="E5" s="8">
        <v>140.80000000000001</v>
      </c>
      <c r="F5" s="8">
        <v>143.19999999999999</v>
      </c>
      <c r="G5" s="8">
        <v>147.9</v>
      </c>
      <c r="H5" s="8">
        <v>155.19999999999999</v>
      </c>
      <c r="I5" s="8">
        <v>167.4</v>
      </c>
      <c r="J5" s="8">
        <v>175</v>
      </c>
      <c r="K5" s="8">
        <v>178.9</v>
      </c>
      <c r="L5" s="8">
        <v>182.2</v>
      </c>
      <c r="M5" s="8">
        <v>188.9</v>
      </c>
      <c r="N5" s="8">
        <v>195.7</v>
      </c>
      <c r="O5" s="8">
        <v>198.9</v>
      </c>
      <c r="P5" s="8">
        <v>204.5</v>
      </c>
      <c r="Q5" s="8">
        <v>212</v>
      </c>
      <c r="R5" s="8">
        <v>216.4</v>
      </c>
      <c r="S5" s="8">
        <v>223.2</v>
      </c>
      <c r="T5" s="8">
        <v>231</v>
      </c>
      <c r="U5" s="8">
        <v>237.4</v>
      </c>
      <c r="V5" s="8">
        <v>240.7</v>
      </c>
      <c r="W5" s="8">
        <v>253.8</v>
      </c>
      <c r="X5" s="8">
        <v>265</v>
      </c>
      <c r="Y5" s="8">
        <v>280.60000000000002</v>
      </c>
      <c r="Z5" s="8">
        <v>295.3</v>
      </c>
      <c r="AA5" s="12">
        <f t="shared" si="0"/>
        <v>295.3</v>
      </c>
    </row>
    <row r="6" spans="1:27" x14ac:dyDescent="0.25">
      <c r="A6" t="s">
        <v>5</v>
      </c>
      <c r="B6" s="8">
        <v>129</v>
      </c>
      <c r="C6" s="8">
        <v>135.1</v>
      </c>
      <c r="D6" s="8">
        <v>143.19999999999999</v>
      </c>
      <c r="E6" s="8">
        <v>147.6</v>
      </c>
      <c r="F6" s="8">
        <v>148.69999999999999</v>
      </c>
      <c r="G6" s="8">
        <v>154</v>
      </c>
      <c r="H6" s="8">
        <v>162.30000000000001</v>
      </c>
      <c r="I6" s="8">
        <v>176.2</v>
      </c>
      <c r="J6" s="8">
        <v>184.6</v>
      </c>
      <c r="K6" s="8">
        <v>187.8</v>
      </c>
      <c r="L6" s="8">
        <v>192.1</v>
      </c>
      <c r="M6" s="8">
        <v>199.9</v>
      </c>
      <c r="N6" s="8">
        <v>206.9</v>
      </c>
      <c r="O6" s="8">
        <v>210.5</v>
      </c>
      <c r="P6" s="8">
        <v>217.6</v>
      </c>
      <c r="Q6" s="8">
        <v>224.6</v>
      </c>
      <c r="R6" s="8">
        <v>230.6</v>
      </c>
      <c r="S6" s="8">
        <v>237.8</v>
      </c>
      <c r="T6" s="8">
        <v>245.3</v>
      </c>
      <c r="U6" s="8">
        <v>250.8</v>
      </c>
      <c r="V6" s="8">
        <v>254.4</v>
      </c>
      <c r="W6" s="8">
        <v>267.5</v>
      </c>
      <c r="X6" s="8">
        <v>278.89999999999998</v>
      </c>
      <c r="Y6" s="8">
        <v>294.10000000000002</v>
      </c>
      <c r="Z6" s="8">
        <v>307.7</v>
      </c>
      <c r="AA6" s="12">
        <f t="shared" si="0"/>
        <v>307.7</v>
      </c>
    </row>
    <row r="7" spans="1:27" x14ac:dyDescent="0.25">
      <c r="A7" t="s">
        <v>6</v>
      </c>
      <c r="B7" s="8">
        <v>120.8</v>
      </c>
      <c r="C7" s="8">
        <v>125</v>
      </c>
      <c r="D7" s="8">
        <v>131.30000000000001</v>
      </c>
      <c r="E7" s="8">
        <v>133.5</v>
      </c>
      <c r="F7" s="8">
        <v>135.5</v>
      </c>
      <c r="G7" s="8">
        <v>139.6</v>
      </c>
      <c r="H7" s="8">
        <v>147.1</v>
      </c>
      <c r="I7" s="8">
        <v>156.5</v>
      </c>
      <c r="J7" s="8">
        <v>162.5</v>
      </c>
      <c r="K7" s="8">
        <v>165</v>
      </c>
      <c r="L7" s="8">
        <v>166</v>
      </c>
      <c r="M7" s="8">
        <v>175.8</v>
      </c>
      <c r="N7" s="8">
        <v>181.8</v>
      </c>
      <c r="O7" s="8">
        <v>186.5</v>
      </c>
      <c r="P7" s="8">
        <v>192.4</v>
      </c>
      <c r="Q7" s="8">
        <v>200.2</v>
      </c>
      <c r="R7" s="8">
        <v>207.3</v>
      </c>
      <c r="S7" s="8">
        <v>214</v>
      </c>
      <c r="T7" s="8">
        <v>221.8</v>
      </c>
      <c r="U7" s="8">
        <v>228.9</v>
      </c>
      <c r="V7" s="8">
        <v>234.2</v>
      </c>
      <c r="W7" s="8">
        <v>247.7</v>
      </c>
      <c r="X7" s="8">
        <v>261.3</v>
      </c>
      <c r="Y7" s="8">
        <v>276.60000000000002</v>
      </c>
      <c r="Z7" s="8">
        <v>292.89999999999998</v>
      </c>
      <c r="AA7" s="12">
        <f t="shared" si="0"/>
        <v>292.89999999999998</v>
      </c>
    </row>
    <row r="8" spans="1:27" x14ac:dyDescent="0.25">
      <c r="A8" t="s">
        <v>7</v>
      </c>
      <c r="B8" s="8">
        <v>130.1</v>
      </c>
      <c r="C8" s="8">
        <v>135.30000000000001</v>
      </c>
      <c r="D8" s="8">
        <v>141.80000000000001</v>
      </c>
      <c r="E8" s="8">
        <v>144</v>
      </c>
      <c r="F8" s="8">
        <v>147</v>
      </c>
      <c r="G8" s="8">
        <v>150.69999999999999</v>
      </c>
      <c r="H8" s="8">
        <v>160.69999999999999</v>
      </c>
      <c r="I8" s="8">
        <v>175.5</v>
      </c>
      <c r="J8" s="8">
        <v>183.3</v>
      </c>
      <c r="K8" s="8">
        <v>186.1</v>
      </c>
      <c r="L8" s="8">
        <v>188.9</v>
      </c>
      <c r="M8" s="8">
        <v>195.6</v>
      </c>
      <c r="N8" s="8">
        <v>201.8</v>
      </c>
      <c r="O8" s="8">
        <v>205.9</v>
      </c>
      <c r="P8" s="8">
        <v>210</v>
      </c>
      <c r="Q8" s="8">
        <v>218.7</v>
      </c>
      <c r="R8" s="8">
        <v>223.8</v>
      </c>
      <c r="S8" s="8">
        <v>229.8</v>
      </c>
      <c r="T8" s="8">
        <v>237.6</v>
      </c>
      <c r="U8" s="8">
        <v>242.7</v>
      </c>
      <c r="V8" s="8">
        <v>247.3</v>
      </c>
      <c r="W8" s="8">
        <v>259.5</v>
      </c>
      <c r="X8" s="8">
        <v>269.39999999999998</v>
      </c>
      <c r="Y8" s="8">
        <v>286.2</v>
      </c>
      <c r="Z8" s="8">
        <v>301.39999999999998</v>
      </c>
      <c r="AA8" s="12">
        <f t="shared" si="0"/>
        <v>301.39999999999998</v>
      </c>
    </row>
    <row r="9" spans="1:27" x14ac:dyDescent="0.25">
      <c r="A9" t="s">
        <v>8</v>
      </c>
      <c r="B9" s="8">
        <v>128</v>
      </c>
      <c r="C9" s="8">
        <v>133.4</v>
      </c>
      <c r="D9" s="8">
        <v>141.4</v>
      </c>
      <c r="E9" s="8">
        <v>144.9</v>
      </c>
      <c r="F9" s="8">
        <v>147.1</v>
      </c>
      <c r="G9" s="8">
        <v>152.19999999999999</v>
      </c>
      <c r="H9" s="8">
        <v>160.19999999999999</v>
      </c>
      <c r="I9" s="8">
        <v>173.1</v>
      </c>
      <c r="J9" s="8">
        <v>180.6</v>
      </c>
      <c r="K9" s="8">
        <v>183.6</v>
      </c>
      <c r="L9" s="8">
        <v>186</v>
      </c>
      <c r="M9" s="8">
        <v>193.4</v>
      </c>
      <c r="N9" s="8">
        <v>200.2</v>
      </c>
      <c r="O9" s="8">
        <v>204.4</v>
      </c>
      <c r="P9" s="8">
        <v>209.1</v>
      </c>
      <c r="Q9" s="8">
        <v>216.9</v>
      </c>
      <c r="R9" s="8">
        <v>224</v>
      </c>
      <c r="S9" s="8">
        <v>230.3</v>
      </c>
      <c r="T9" s="8">
        <v>238.3</v>
      </c>
      <c r="U9" s="8">
        <v>244.7</v>
      </c>
      <c r="V9" s="8">
        <v>248.8</v>
      </c>
      <c r="W9" s="8">
        <v>262.60000000000002</v>
      </c>
      <c r="X9" s="8">
        <v>274.2</v>
      </c>
      <c r="Y9" s="8">
        <v>288.7</v>
      </c>
      <c r="Z9" s="8">
        <v>303.3</v>
      </c>
      <c r="AA9" s="12">
        <f t="shared" si="0"/>
        <v>303.3</v>
      </c>
    </row>
    <row r="10" spans="1:27" x14ac:dyDescent="0.25">
      <c r="A10" t="s">
        <v>9</v>
      </c>
      <c r="B10" s="8">
        <v>127.6</v>
      </c>
      <c r="C10" s="8">
        <v>132.19999999999999</v>
      </c>
      <c r="D10" s="8">
        <v>139.80000000000001</v>
      </c>
      <c r="E10" s="8">
        <v>144.9</v>
      </c>
      <c r="F10" s="8">
        <v>147.80000000000001</v>
      </c>
      <c r="G10" s="8">
        <v>152.19999999999999</v>
      </c>
      <c r="H10" s="8">
        <v>159.9</v>
      </c>
      <c r="I10" s="8">
        <v>173.2</v>
      </c>
      <c r="J10" s="8">
        <v>182.6</v>
      </c>
      <c r="K10" s="8">
        <v>184</v>
      </c>
      <c r="L10" s="8">
        <v>186.3</v>
      </c>
      <c r="M10" s="8">
        <v>194</v>
      </c>
      <c r="N10" s="8">
        <v>202.2</v>
      </c>
      <c r="O10" s="8">
        <v>206.6</v>
      </c>
      <c r="P10" s="8">
        <v>213.5</v>
      </c>
      <c r="Q10" s="8">
        <v>222.2</v>
      </c>
      <c r="R10" s="8">
        <v>229.9</v>
      </c>
      <c r="S10" s="8">
        <v>237.3</v>
      </c>
      <c r="T10" s="8">
        <v>245.9</v>
      </c>
      <c r="U10" s="8">
        <v>253.4</v>
      </c>
      <c r="V10" s="8">
        <v>256.5</v>
      </c>
      <c r="W10" s="8">
        <v>269.8</v>
      </c>
      <c r="X10" s="8">
        <v>283.39999999999998</v>
      </c>
      <c r="Y10" s="8">
        <v>300.3</v>
      </c>
      <c r="Z10" s="8">
        <v>314.8</v>
      </c>
      <c r="AA10" s="12">
        <f t="shared" si="0"/>
        <v>314.8</v>
      </c>
    </row>
    <row r="11" spans="1:27" x14ac:dyDescent="0.25">
      <c r="A11" t="s">
        <v>10</v>
      </c>
      <c r="B11" s="8">
        <v>125.7</v>
      </c>
      <c r="C11" s="8">
        <v>131.19999999999999</v>
      </c>
      <c r="D11" s="8">
        <v>138.4</v>
      </c>
      <c r="E11" s="8">
        <v>142.30000000000001</v>
      </c>
      <c r="F11" s="8">
        <v>145.30000000000001</v>
      </c>
      <c r="G11" s="8">
        <v>150.80000000000001</v>
      </c>
      <c r="H11" s="8">
        <v>157.80000000000001</v>
      </c>
      <c r="I11" s="8">
        <v>170.8</v>
      </c>
      <c r="J11" s="8">
        <v>179.3</v>
      </c>
      <c r="K11" s="8">
        <v>182.8</v>
      </c>
      <c r="L11" s="8">
        <v>186</v>
      </c>
      <c r="M11" s="8">
        <v>193.2</v>
      </c>
      <c r="N11" s="8">
        <v>200.3</v>
      </c>
      <c r="O11" s="8">
        <v>204.4</v>
      </c>
      <c r="P11" s="8">
        <v>209.6</v>
      </c>
      <c r="Q11" s="8">
        <v>217</v>
      </c>
      <c r="R11" s="8">
        <v>221.7</v>
      </c>
      <c r="S11" s="8">
        <v>227.4</v>
      </c>
      <c r="T11" s="8">
        <v>233.7</v>
      </c>
      <c r="U11" s="8">
        <v>239.9</v>
      </c>
      <c r="V11" s="8">
        <v>243.9</v>
      </c>
      <c r="W11" s="8">
        <v>256.2</v>
      </c>
      <c r="X11" s="8">
        <v>267.60000000000002</v>
      </c>
      <c r="Y11" s="8">
        <v>282.39999999999998</v>
      </c>
      <c r="Z11" s="8">
        <v>294.3</v>
      </c>
      <c r="AA11" s="12">
        <f t="shared" si="0"/>
        <v>294.3</v>
      </c>
    </row>
    <row r="12" spans="1:27" x14ac:dyDescent="0.25">
      <c r="A12" t="s">
        <v>11</v>
      </c>
      <c r="B12" s="8">
        <v>132.5</v>
      </c>
      <c r="C12" s="8">
        <v>137.80000000000001</v>
      </c>
      <c r="D12" s="8">
        <v>145.4</v>
      </c>
      <c r="E12" s="8">
        <v>150.1</v>
      </c>
      <c r="F12" s="8">
        <v>152.80000000000001</v>
      </c>
      <c r="G12" s="8">
        <v>157.5</v>
      </c>
      <c r="H12" s="8">
        <v>165.7</v>
      </c>
      <c r="I12" s="8">
        <v>178</v>
      </c>
      <c r="J12" s="8">
        <v>187.1</v>
      </c>
      <c r="K12" s="8">
        <v>191.2</v>
      </c>
      <c r="L12" s="8">
        <v>194.6</v>
      </c>
      <c r="M12" s="8">
        <v>202</v>
      </c>
      <c r="N12" s="8">
        <v>209.2</v>
      </c>
      <c r="O12" s="8">
        <v>212.5</v>
      </c>
      <c r="P12" s="8">
        <v>218.8</v>
      </c>
      <c r="Q12" s="8">
        <v>226.8</v>
      </c>
      <c r="R12" s="8">
        <v>232.8</v>
      </c>
      <c r="S12" s="8">
        <v>238.6</v>
      </c>
      <c r="T12" s="8">
        <v>246.6</v>
      </c>
      <c r="U12" s="8">
        <v>252.7</v>
      </c>
      <c r="V12" s="8">
        <v>256.39999999999998</v>
      </c>
      <c r="W12" s="8">
        <v>269.89999999999998</v>
      </c>
      <c r="X12" s="8">
        <v>281.89999999999998</v>
      </c>
      <c r="Y12" s="8">
        <v>298.7</v>
      </c>
      <c r="Z12" s="8">
        <v>314.2</v>
      </c>
      <c r="AA12" s="12">
        <f t="shared" si="0"/>
        <v>314.2</v>
      </c>
    </row>
    <row r="13" spans="1:27" x14ac:dyDescent="0.25">
      <c r="A13" t="s">
        <v>12</v>
      </c>
      <c r="B13" s="8">
        <v>128.80000000000001</v>
      </c>
      <c r="C13" s="8">
        <v>134.6</v>
      </c>
      <c r="D13" s="8">
        <v>141.4</v>
      </c>
      <c r="E13" s="8">
        <v>146</v>
      </c>
      <c r="F13" s="8">
        <v>148.6</v>
      </c>
      <c r="G13" s="8">
        <v>152.4</v>
      </c>
      <c r="H13" s="8">
        <v>160.1</v>
      </c>
      <c r="I13" s="8">
        <v>174.1</v>
      </c>
      <c r="J13" s="8">
        <v>182.3</v>
      </c>
      <c r="K13" s="8">
        <v>185.8</v>
      </c>
      <c r="L13" s="8">
        <v>189.8</v>
      </c>
      <c r="M13" s="8">
        <v>195.5</v>
      </c>
      <c r="N13" s="8">
        <v>202.7</v>
      </c>
      <c r="O13" s="8">
        <v>207</v>
      </c>
      <c r="P13" s="8">
        <v>212.2</v>
      </c>
      <c r="Q13" s="8">
        <v>220</v>
      </c>
      <c r="R13" s="8">
        <v>224.4</v>
      </c>
      <c r="S13" s="8">
        <v>229.3</v>
      </c>
      <c r="T13" s="8">
        <v>236.2</v>
      </c>
      <c r="U13" s="8">
        <v>241.6</v>
      </c>
      <c r="V13" s="8">
        <v>245.4</v>
      </c>
      <c r="W13" s="8">
        <v>259.7</v>
      </c>
      <c r="X13" s="8">
        <v>271.8</v>
      </c>
      <c r="Y13" s="8">
        <v>288.10000000000002</v>
      </c>
      <c r="Z13" s="8">
        <v>304.7</v>
      </c>
      <c r="AA13" s="12">
        <f t="shared" si="0"/>
        <v>304.7</v>
      </c>
    </row>
    <row r="14" spans="1:27" x14ac:dyDescent="0.25">
      <c r="A14" t="s">
        <v>21</v>
      </c>
      <c r="B14" s="8">
        <v>126.1</v>
      </c>
      <c r="C14" s="8">
        <v>131.6</v>
      </c>
      <c r="D14" s="8">
        <v>139.5</v>
      </c>
      <c r="E14" s="8">
        <v>143.30000000000001</v>
      </c>
      <c r="F14" s="8">
        <v>145.5</v>
      </c>
      <c r="G14" s="8">
        <v>150.1</v>
      </c>
      <c r="H14" s="8">
        <v>157.30000000000001</v>
      </c>
      <c r="I14" s="8">
        <v>169.7</v>
      </c>
      <c r="J14" s="8">
        <v>177.3</v>
      </c>
      <c r="K14" s="8">
        <v>180.8</v>
      </c>
      <c r="L14" s="8">
        <v>184.1</v>
      </c>
      <c r="M14" s="8">
        <v>190.9</v>
      </c>
      <c r="N14" s="8">
        <v>197.2</v>
      </c>
      <c r="O14" s="8">
        <v>200.3</v>
      </c>
      <c r="P14" s="8">
        <v>206.4</v>
      </c>
      <c r="Q14" s="8">
        <v>214.5</v>
      </c>
      <c r="R14" s="8">
        <v>219.5</v>
      </c>
      <c r="S14" s="8">
        <v>225.9</v>
      </c>
      <c r="T14" s="8">
        <v>233.6</v>
      </c>
      <c r="U14" s="8">
        <v>240.7</v>
      </c>
      <c r="V14" s="8">
        <v>243.7</v>
      </c>
      <c r="W14" s="8">
        <v>256.8</v>
      </c>
      <c r="X14" s="8">
        <v>268</v>
      </c>
      <c r="Y14" s="8">
        <v>284.3</v>
      </c>
      <c r="Z14" s="8">
        <v>298.5</v>
      </c>
      <c r="AA14" s="12">
        <f t="shared" si="0"/>
        <v>298.5</v>
      </c>
    </row>
    <row r="15" spans="1:27" x14ac:dyDescent="0.25">
      <c r="A15" t="s">
        <v>18</v>
      </c>
      <c r="B15" s="9">
        <v>129.9</v>
      </c>
      <c r="C15" s="9">
        <v>135.80000000000001</v>
      </c>
      <c r="D15" s="9">
        <v>143.19999999999999</v>
      </c>
      <c r="E15" s="9">
        <v>146.9</v>
      </c>
      <c r="F15" s="9">
        <v>149.19999999999999</v>
      </c>
      <c r="G15" s="9">
        <v>154.4</v>
      </c>
      <c r="H15" s="9">
        <v>162.5</v>
      </c>
      <c r="I15" s="9">
        <v>175.8</v>
      </c>
      <c r="J15" s="9">
        <v>184.2</v>
      </c>
      <c r="K15" s="9">
        <v>187</v>
      </c>
      <c r="L15" s="9">
        <v>190.7</v>
      </c>
      <c r="M15" s="9">
        <v>198.1</v>
      </c>
      <c r="N15" s="9">
        <v>205</v>
      </c>
      <c r="O15" s="9">
        <v>208.6</v>
      </c>
      <c r="P15" s="9">
        <v>214.9</v>
      </c>
      <c r="Q15" s="9">
        <v>222.7</v>
      </c>
      <c r="R15" s="9">
        <v>228.1</v>
      </c>
      <c r="S15" s="9">
        <v>234.7</v>
      </c>
      <c r="T15" s="9">
        <v>242.3</v>
      </c>
      <c r="U15" s="9">
        <v>249.1</v>
      </c>
      <c r="V15" s="9">
        <v>253.3</v>
      </c>
      <c r="W15" s="9">
        <v>266.7</v>
      </c>
      <c r="X15" s="9">
        <v>279.2</v>
      </c>
      <c r="Y15" s="9">
        <v>296.5</v>
      </c>
      <c r="Z15" s="9">
        <v>311</v>
      </c>
      <c r="AA15" s="12">
        <f t="shared" si="0"/>
        <v>311</v>
      </c>
    </row>
    <row r="16" spans="1:27" x14ac:dyDescent="0.25">
      <c r="A16" t="s">
        <v>16</v>
      </c>
      <c r="B16" s="10">
        <f t="shared" ref="B16:Z16" si="1">SUM(B2:B13)/12</f>
        <v>129.44999999999999</v>
      </c>
      <c r="C16" s="10">
        <f t="shared" si="1"/>
        <v>134.98333333333332</v>
      </c>
      <c r="D16" s="10">
        <f t="shared" si="1"/>
        <v>142.30000000000004</v>
      </c>
      <c r="E16" s="10">
        <f t="shared" si="1"/>
        <v>145.74166666666667</v>
      </c>
      <c r="F16" s="10">
        <f t="shared" si="1"/>
        <v>148.10833333333332</v>
      </c>
      <c r="G16" s="10">
        <f t="shared" si="1"/>
        <v>152.75833333333335</v>
      </c>
      <c r="H16" s="10">
        <f t="shared" si="1"/>
        <v>160.9</v>
      </c>
      <c r="I16" s="10">
        <f t="shared" si="1"/>
        <v>174.20833333333334</v>
      </c>
      <c r="J16" s="10">
        <f t="shared" si="1"/>
        <v>182.57499999999996</v>
      </c>
      <c r="K16" s="10">
        <f t="shared" si="1"/>
        <v>185.98333333333332</v>
      </c>
      <c r="L16" s="10">
        <f t="shared" si="1"/>
        <v>189.35000000000002</v>
      </c>
      <c r="M16" s="10">
        <f t="shared" si="1"/>
        <v>196.64166666666665</v>
      </c>
      <c r="N16" s="10">
        <f t="shared" si="1"/>
        <v>203.81666666666663</v>
      </c>
      <c r="O16" s="10">
        <f t="shared" si="1"/>
        <v>207.83333333333334</v>
      </c>
      <c r="P16" s="10">
        <f t="shared" si="1"/>
        <v>214.03333333333333</v>
      </c>
      <c r="Q16" s="10">
        <f t="shared" si="1"/>
        <v>222.16666666666671</v>
      </c>
      <c r="R16" s="10">
        <f t="shared" si="1"/>
        <v>227.89999999999998</v>
      </c>
      <c r="S16" s="10">
        <f t="shared" si="1"/>
        <v>234.22500000000002</v>
      </c>
      <c r="T16" s="10">
        <f t="shared" si="1"/>
        <v>241.79166666666663</v>
      </c>
      <c r="U16" s="10">
        <f t="shared" si="1"/>
        <v>248.43333333333331</v>
      </c>
      <c r="V16" s="10">
        <f t="shared" si="1"/>
        <v>252.30833333333337</v>
      </c>
      <c r="W16" s="10">
        <f t="shared" si="1"/>
        <v>265.72499999999997</v>
      </c>
      <c r="X16" s="10">
        <f t="shared" si="1"/>
        <v>277.64999999999998</v>
      </c>
      <c r="Y16" s="10">
        <f t="shared" si="1"/>
        <v>293.91666666666663</v>
      </c>
      <c r="Z16" s="10">
        <f t="shared" si="1"/>
        <v>308.87500000000006</v>
      </c>
    </row>
    <row r="17" spans="1:26" x14ac:dyDescent="0.25">
      <c r="A17" t="s">
        <v>17</v>
      </c>
      <c r="B17" s="10">
        <f t="shared" ref="B17:Z17" si="2">SUM(B2+B7+B10)/3</f>
        <v>130.86666666666667</v>
      </c>
      <c r="C17" s="10">
        <f t="shared" si="2"/>
        <v>136.1</v>
      </c>
      <c r="D17" s="10">
        <f t="shared" si="2"/>
        <v>143.16666666666669</v>
      </c>
      <c r="E17" s="10">
        <f t="shared" si="2"/>
        <v>145.93333333333331</v>
      </c>
      <c r="F17" s="10">
        <f t="shared" si="2"/>
        <v>148.36666666666667</v>
      </c>
      <c r="G17" s="10">
        <f t="shared" si="2"/>
        <v>153.16666666666666</v>
      </c>
      <c r="H17" s="10">
        <f t="shared" si="2"/>
        <v>161.63333333333333</v>
      </c>
      <c r="I17" s="10">
        <f t="shared" si="2"/>
        <v>174.79999999999998</v>
      </c>
      <c r="J17" s="10">
        <f t="shared" si="2"/>
        <v>183.63333333333333</v>
      </c>
      <c r="K17" s="10">
        <f t="shared" si="2"/>
        <v>186.5</v>
      </c>
      <c r="L17" s="10">
        <f t="shared" si="2"/>
        <v>189.56666666666669</v>
      </c>
      <c r="M17" s="10">
        <f t="shared" si="2"/>
        <v>198.03333333333333</v>
      </c>
      <c r="N17" s="10">
        <f t="shared" si="2"/>
        <v>205.66666666666666</v>
      </c>
      <c r="O17" s="10">
        <f t="shared" si="2"/>
        <v>210.53333333333333</v>
      </c>
      <c r="P17" s="10">
        <f t="shared" si="2"/>
        <v>217.6</v>
      </c>
      <c r="Q17" s="10">
        <f t="shared" si="2"/>
        <v>226.0333333333333</v>
      </c>
      <c r="R17" s="10">
        <f t="shared" si="2"/>
        <v>233.03333333333333</v>
      </c>
      <c r="S17" s="10">
        <f t="shared" si="2"/>
        <v>240.33333333333334</v>
      </c>
      <c r="T17" s="10">
        <f t="shared" si="2"/>
        <v>248.53333333333333</v>
      </c>
      <c r="U17" s="10">
        <f t="shared" si="2"/>
        <v>256.53333333333336</v>
      </c>
      <c r="V17" s="10">
        <f t="shared" si="2"/>
        <v>261</v>
      </c>
      <c r="W17" s="10">
        <f t="shared" si="2"/>
        <v>275.46666666666664</v>
      </c>
      <c r="X17" s="10">
        <f t="shared" si="2"/>
        <v>289.36666666666667</v>
      </c>
      <c r="Y17" s="10">
        <f t="shared" si="2"/>
        <v>306.93333333333334</v>
      </c>
      <c r="Z17" s="10">
        <f t="shared" si="2"/>
        <v>322.90000000000003</v>
      </c>
    </row>
    <row r="18" spans="1:26" x14ac:dyDescent="0.25">
      <c r="A18" t="s">
        <v>13</v>
      </c>
      <c r="B18" s="10">
        <f t="shared" ref="B18:Z18" si="3">SUM(B2+B3+B7+B10)/4</f>
        <v>131.27500000000001</v>
      </c>
      <c r="C18" s="10">
        <f t="shared" si="3"/>
        <v>136.875</v>
      </c>
      <c r="D18" s="10">
        <f t="shared" si="3"/>
        <v>143.92500000000001</v>
      </c>
      <c r="E18" s="10">
        <f t="shared" si="3"/>
        <v>146.67500000000001</v>
      </c>
      <c r="F18" s="10">
        <f t="shared" si="3"/>
        <v>148.92500000000001</v>
      </c>
      <c r="G18" s="10">
        <f t="shared" si="3"/>
        <v>153.625</v>
      </c>
      <c r="H18" s="10">
        <f t="shared" si="3"/>
        <v>161.97499999999999</v>
      </c>
      <c r="I18" s="10">
        <f t="shared" si="3"/>
        <v>175.42500000000001</v>
      </c>
      <c r="J18" s="10">
        <f t="shared" si="3"/>
        <v>184.22499999999999</v>
      </c>
      <c r="K18" s="10">
        <f t="shared" si="3"/>
        <v>187.4</v>
      </c>
      <c r="L18" s="10">
        <f t="shared" si="3"/>
        <v>190.75</v>
      </c>
      <c r="M18" s="10">
        <f t="shared" si="3"/>
        <v>198.875</v>
      </c>
      <c r="N18" s="10">
        <f t="shared" si="3"/>
        <v>206.45</v>
      </c>
      <c r="O18" s="10">
        <f t="shared" si="3"/>
        <v>211.05</v>
      </c>
      <c r="P18" s="10">
        <f t="shared" si="3"/>
        <v>218.2</v>
      </c>
      <c r="Q18" s="10">
        <f t="shared" si="3"/>
        <v>226.64999999999998</v>
      </c>
      <c r="R18" s="10">
        <f t="shared" si="3"/>
        <v>233.02500000000001</v>
      </c>
      <c r="S18" s="10">
        <f t="shared" si="3"/>
        <v>239.82499999999999</v>
      </c>
      <c r="T18" s="10">
        <f t="shared" si="3"/>
        <v>247.6</v>
      </c>
      <c r="U18" s="10">
        <f t="shared" si="3"/>
        <v>255.22499999999999</v>
      </c>
      <c r="V18" s="10">
        <f t="shared" si="3"/>
        <v>259.42500000000001</v>
      </c>
      <c r="W18" s="10">
        <f t="shared" si="3"/>
        <v>273.3</v>
      </c>
      <c r="X18" s="10">
        <f t="shared" si="3"/>
        <v>286.5</v>
      </c>
      <c r="Y18" s="10">
        <f t="shared" si="3"/>
        <v>303.67500000000001</v>
      </c>
      <c r="Z18" s="10">
        <f t="shared" si="3"/>
        <v>319.32499999999999</v>
      </c>
    </row>
    <row r="19" spans="1:26" x14ac:dyDescent="0.25">
      <c r="A19" t="s">
        <v>14</v>
      </c>
      <c r="B19" s="10">
        <f t="shared" ref="B19:Z19" si="4">(B4+B5+B6+B8+B9+B11+B12+B13)/8</f>
        <v>128.53750000000002</v>
      </c>
      <c r="C19" s="10">
        <f t="shared" si="4"/>
        <v>134.03749999999997</v>
      </c>
      <c r="D19" s="10">
        <f t="shared" si="4"/>
        <v>141.48749999999998</v>
      </c>
      <c r="E19" s="10">
        <f t="shared" si="4"/>
        <v>145.27499999999998</v>
      </c>
      <c r="F19" s="10">
        <f t="shared" si="4"/>
        <v>147.69999999999999</v>
      </c>
      <c r="G19" s="10">
        <f t="shared" si="4"/>
        <v>152.32500000000002</v>
      </c>
      <c r="H19" s="10">
        <f t="shared" si="4"/>
        <v>160.36249999999998</v>
      </c>
      <c r="I19" s="10">
        <f t="shared" si="4"/>
        <v>173.6</v>
      </c>
      <c r="J19" s="10">
        <f t="shared" si="4"/>
        <v>181.75</v>
      </c>
      <c r="K19" s="10">
        <f t="shared" si="4"/>
        <v>185.27500000000001</v>
      </c>
      <c r="L19" s="10">
        <f t="shared" si="4"/>
        <v>188.64999999999998</v>
      </c>
      <c r="M19" s="10">
        <f t="shared" si="4"/>
        <v>195.52500000000001</v>
      </c>
      <c r="N19" s="10">
        <f t="shared" si="4"/>
        <v>202.5</v>
      </c>
      <c r="O19" s="10">
        <f t="shared" si="4"/>
        <v>206.22500000000002</v>
      </c>
      <c r="P19" s="10">
        <f t="shared" si="4"/>
        <v>211.95</v>
      </c>
      <c r="Q19" s="10">
        <f t="shared" si="4"/>
        <v>219.92500000000001</v>
      </c>
      <c r="R19" s="10">
        <f t="shared" si="4"/>
        <v>225.33750000000001</v>
      </c>
      <c r="S19" s="10">
        <f t="shared" si="4"/>
        <v>231.42499999999998</v>
      </c>
      <c r="T19" s="10">
        <f t="shared" si="4"/>
        <v>238.88750000000002</v>
      </c>
      <c r="U19" s="10">
        <f t="shared" si="4"/>
        <v>245.03750000000002</v>
      </c>
      <c r="V19" s="10">
        <f t="shared" si="4"/>
        <v>248.75</v>
      </c>
      <c r="W19" s="10">
        <f t="shared" si="4"/>
        <v>261.93749999999994</v>
      </c>
      <c r="X19" s="10">
        <f t="shared" si="4"/>
        <v>273.22500000000002</v>
      </c>
      <c r="Y19" s="10">
        <f t="shared" si="4"/>
        <v>289.03750000000002</v>
      </c>
      <c r="Z19" s="10">
        <f t="shared" si="4"/>
        <v>303.64999999999992</v>
      </c>
    </row>
    <row r="20" spans="1:26" x14ac:dyDescent="0.25">
      <c r="A20" t="s">
        <v>20</v>
      </c>
      <c r="B20" s="10">
        <f t="shared" ref="B20:Z20" si="5">(B6+B8+B9+B11+B12+B13)/6</f>
        <v>129.01666666666668</v>
      </c>
      <c r="C20" s="10">
        <f t="shared" si="5"/>
        <v>134.56666666666666</v>
      </c>
      <c r="D20" s="10">
        <f t="shared" si="5"/>
        <v>141.93333333333331</v>
      </c>
      <c r="E20" s="10">
        <f t="shared" si="5"/>
        <v>145.81666666666666</v>
      </c>
      <c r="F20" s="10">
        <f t="shared" si="5"/>
        <v>148.24999999999997</v>
      </c>
      <c r="G20" s="10">
        <f t="shared" si="5"/>
        <v>152.93333333333334</v>
      </c>
      <c r="H20" s="10">
        <f t="shared" si="5"/>
        <v>161.13333333333335</v>
      </c>
      <c r="I20" s="10">
        <f t="shared" si="5"/>
        <v>174.61666666666665</v>
      </c>
      <c r="J20" s="10">
        <f t="shared" si="5"/>
        <v>182.86666666666667</v>
      </c>
      <c r="K20" s="10">
        <f t="shared" si="5"/>
        <v>186.21666666666667</v>
      </c>
      <c r="L20" s="10">
        <f t="shared" si="5"/>
        <v>189.56666666666669</v>
      </c>
      <c r="M20" s="10">
        <f t="shared" si="5"/>
        <v>196.6</v>
      </c>
      <c r="N20" s="10">
        <f t="shared" si="5"/>
        <v>203.51666666666668</v>
      </c>
      <c r="O20" s="10">
        <f t="shared" si="5"/>
        <v>207.44999999999996</v>
      </c>
      <c r="P20" s="10">
        <f t="shared" si="5"/>
        <v>212.88333333333335</v>
      </c>
      <c r="Q20" s="10">
        <f t="shared" si="5"/>
        <v>220.66666666666666</v>
      </c>
      <c r="R20" s="10">
        <f t="shared" si="5"/>
        <v>226.21666666666667</v>
      </c>
      <c r="S20" s="10">
        <f t="shared" si="5"/>
        <v>232.20000000000002</v>
      </c>
      <c r="T20" s="10">
        <f t="shared" si="5"/>
        <v>239.61666666666667</v>
      </c>
      <c r="U20" s="10">
        <f t="shared" si="5"/>
        <v>245.39999999999998</v>
      </c>
      <c r="V20" s="10">
        <f t="shared" si="5"/>
        <v>249.36666666666667</v>
      </c>
      <c r="W20" s="10">
        <f t="shared" si="5"/>
        <v>262.56666666666666</v>
      </c>
      <c r="X20" s="10">
        <f t="shared" si="5"/>
        <v>273.96666666666664</v>
      </c>
      <c r="Y20" s="10">
        <f t="shared" si="5"/>
        <v>289.70000000000005</v>
      </c>
      <c r="Z20" s="10">
        <f t="shared" si="5"/>
        <v>304.26666666666665</v>
      </c>
    </row>
    <row r="21" spans="1:26" x14ac:dyDescent="0.25">
      <c r="A21" t="s">
        <v>34</v>
      </c>
      <c r="B21" s="10">
        <f t="shared" ref="B21:Z21" si="6">(B5+B6+B8+B9+B11+B12+B13)/7</f>
        <v>128.28571428571428</v>
      </c>
      <c r="C21" s="10">
        <f t="shared" si="6"/>
        <v>133.84285714285713</v>
      </c>
      <c r="D21" s="10">
        <f t="shared" si="6"/>
        <v>141.19999999999999</v>
      </c>
      <c r="E21" s="10">
        <f t="shared" si="6"/>
        <v>145.1</v>
      </c>
      <c r="F21" s="10">
        <f t="shared" si="6"/>
        <v>147.52857142857141</v>
      </c>
      <c r="G21" s="10">
        <f t="shared" si="6"/>
        <v>152.21428571428572</v>
      </c>
      <c r="H21" s="10">
        <f t="shared" si="6"/>
        <v>160.28571428571428</v>
      </c>
      <c r="I21" s="10">
        <f t="shared" si="6"/>
        <v>173.58571428571426</v>
      </c>
      <c r="J21" s="10">
        <f t="shared" si="6"/>
        <v>181.74285714285716</v>
      </c>
      <c r="K21" s="10">
        <f t="shared" si="6"/>
        <v>185.17142857142858</v>
      </c>
      <c r="L21" s="10">
        <f t="shared" si="6"/>
        <v>188.51428571428571</v>
      </c>
      <c r="M21" s="10">
        <f t="shared" si="6"/>
        <v>195.5</v>
      </c>
      <c r="N21" s="10">
        <f t="shared" si="6"/>
        <v>202.40000000000003</v>
      </c>
      <c r="O21" s="10">
        <f t="shared" si="6"/>
        <v>206.22857142857143</v>
      </c>
      <c r="P21" s="10">
        <f t="shared" si="6"/>
        <v>211.68571428571428</v>
      </c>
      <c r="Q21" s="10">
        <f t="shared" si="6"/>
        <v>219.42857142857139</v>
      </c>
      <c r="R21" s="10">
        <f t="shared" si="6"/>
        <v>224.81428571428572</v>
      </c>
      <c r="S21" s="10">
        <f t="shared" si="6"/>
        <v>230.91428571428568</v>
      </c>
      <c r="T21" s="10">
        <f t="shared" si="6"/>
        <v>238.3857142857143</v>
      </c>
      <c r="U21" s="10">
        <f t="shared" si="6"/>
        <v>244.2571428571429</v>
      </c>
      <c r="V21" s="10">
        <f t="shared" si="6"/>
        <v>248.12857142857143</v>
      </c>
      <c r="W21" s="10">
        <f t="shared" si="6"/>
        <v>261.31428571428575</v>
      </c>
      <c r="X21" s="10">
        <f t="shared" si="6"/>
        <v>272.68571428571425</v>
      </c>
      <c r="Y21" s="10">
        <f t="shared" si="6"/>
        <v>288.40000000000003</v>
      </c>
      <c r="Z21" s="10">
        <f t="shared" si="6"/>
        <v>302.98571428571432</v>
      </c>
    </row>
    <row r="22" spans="1:26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t="s">
        <v>15</v>
      </c>
      <c r="B23" s="10">
        <f t="shared" ref="B23:Z23" si="7">(B4+B5)/2</f>
        <v>127.10000000000001</v>
      </c>
      <c r="C23" s="10">
        <f t="shared" si="7"/>
        <v>132.44999999999999</v>
      </c>
      <c r="D23" s="10">
        <f t="shared" si="7"/>
        <v>140.15</v>
      </c>
      <c r="E23" s="10">
        <f t="shared" si="7"/>
        <v>143.65</v>
      </c>
      <c r="F23" s="10">
        <f t="shared" si="7"/>
        <v>146.05000000000001</v>
      </c>
      <c r="G23" s="10">
        <f t="shared" si="7"/>
        <v>150.5</v>
      </c>
      <c r="H23" s="10">
        <f t="shared" si="7"/>
        <v>158.05000000000001</v>
      </c>
      <c r="I23" s="10">
        <f t="shared" si="7"/>
        <v>170.55</v>
      </c>
      <c r="J23" s="10">
        <f t="shared" si="7"/>
        <v>178.4</v>
      </c>
      <c r="K23" s="10">
        <f t="shared" si="7"/>
        <v>182.45</v>
      </c>
      <c r="L23" s="10">
        <f t="shared" si="7"/>
        <v>185.89999999999998</v>
      </c>
      <c r="M23" s="10">
        <f t="shared" si="7"/>
        <v>192.3</v>
      </c>
      <c r="N23" s="10">
        <f t="shared" si="7"/>
        <v>199.45</v>
      </c>
      <c r="O23" s="10">
        <f t="shared" si="7"/>
        <v>202.55</v>
      </c>
      <c r="P23" s="10">
        <f t="shared" si="7"/>
        <v>209.15</v>
      </c>
      <c r="Q23" s="10">
        <f t="shared" si="7"/>
        <v>217.7</v>
      </c>
      <c r="R23" s="10">
        <f t="shared" si="7"/>
        <v>222.7</v>
      </c>
      <c r="S23" s="10">
        <f t="shared" si="7"/>
        <v>229.1</v>
      </c>
      <c r="T23" s="10">
        <f t="shared" si="7"/>
        <v>236.7</v>
      </c>
      <c r="U23" s="10">
        <f t="shared" si="7"/>
        <v>243.95</v>
      </c>
      <c r="V23" s="10">
        <f t="shared" si="7"/>
        <v>246.89999999999998</v>
      </c>
      <c r="W23" s="10">
        <f t="shared" si="7"/>
        <v>260.05</v>
      </c>
      <c r="X23" s="10">
        <f t="shared" si="7"/>
        <v>271</v>
      </c>
      <c r="Y23" s="10">
        <f t="shared" si="7"/>
        <v>287.05</v>
      </c>
      <c r="Z23" s="10">
        <f t="shared" si="7"/>
        <v>301.8</v>
      </c>
    </row>
    <row r="24" spans="1:26" x14ac:dyDescent="0.25">
      <c r="A24" t="s">
        <v>35</v>
      </c>
      <c r="B24" s="14">
        <f t="shared" ref="B24:Z24" si="8">(B14+B5)/2</f>
        <v>125</v>
      </c>
      <c r="C24" s="14">
        <f t="shared" si="8"/>
        <v>130.55000000000001</v>
      </c>
      <c r="D24" s="14">
        <f t="shared" si="8"/>
        <v>138.15</v>
      </c>
      <c r="E24" s="14">
        <f t="shared" si="8"/>
        <v>142.05000000000001</v>
      </c>
      <c r="F24" s="14">
        <f t="shared" si="8"/>
        <v>144.35</v>
      </c>
      <c r="G24" s="14">
        <f t="shared" si="8"/>
        <v>149</v>
      </c>
      <c r="H24" s="14">
        <f t="shared" si="8"/>
        <v>156.25</v>
      </c>
      <c r="I24" s="14">
        <f t="shared" si="8"/>
        <v>168.55</v>
      </c>
      <c r="J24" s="14">
        <f t="shared" si="8"/>
        <v>176.15</v>
      </c>
      <c r="K24" s="14">
        <f t="shared" si="8"/>
        <v>179.85000000000002</v>
      </c>
      <c r="L24" s="14">
        <f t="shared" si="8"/>
        <v>183.14999999999998</v>
      </c>
      <c r="M24" s="14">
        <f t="shared" si="8"/>
        <v>189.9</v>
      </c>
      <c r="N24" s="14">
        <f t="shared" si="8"/>
        <v>196.45</v>
      </c>
      <c r="O24" s="14">
        <f t="shared" si="8"/>
        <v>199.60000000000002</v>
      </c>
      <c r="P24" s="14">
        <f t="shared" si="8"/>
        <v>205.45</v>
      </c>
      <c r="Q24" s="14">
        <f t="shared" si="8"/>
        <v>213.25</v>
      </c>
      <c r="R24" s="14">
        <f t="shared" si="8"/>
        <v>217.95</v>
      </c>
      <c r="S24" s="14">
        <f t="shared" si="8"/>
        <v>224.55</v>
      </c>
      <c r="T24" s="14">
        <f t="shared" si="8"/>
        <v>232.3</v>
      </c>
      <c r="U24" s="14">
        <f t="shared" si="8"/>
        <v>239.05</v>
      </c>
      <c r="V24" s="14">
        <f t="shared" si="8"/>
        <v>242.2</v>
      </c>
      <c r="W24" s="14">
        <f t="shared" si="8"/>
        <v>255.3</v>
      </c>
      <c r="X24" s="14">
        <f t="shared" si="8"/>
        <v>266.5</v>
      </c>
      <c r="Y24" s="14">
        <f t="shared" si="8"/>
        <v>282.45000000000005</v>
      </c>
      <c r="Z24" s="14">
        <f t="shared" si="8"/>
        <v>296.89999999999998</v>
      </c>
    </row>
    <row r="25" spans="1:26" x14ac:dyDescent="0.25">
      <c r="A25" t="s">
        <v>36</v>
      </c>
      <c r="B25" s="14">
        <f t="shared" ref="B25:Z25" si="9">SUM(B14+B4)/2</f>
        <v>128.19999999999999</v>
      </c>
      <c r="C25" s="14">
        <f t="shared" si="9"/>
        <v>133.5</v>
      </c>
      <c r="D25" s="14">
        <f t="shared" si="9"/>
        <v>141.5</v>
      </c>
      <c r="E25" s="14">
        <f t="shared" si="9"/>
        <v>144.9</v>
      </c>
      <c r="F25" s="14">
        <f t="shared" si="9"/>
        <v>147.19999999999999</v>
      </c>
      <c r="G25" s="14">
        <f t="shared" si="9"/>
        <v>151.6</v>
      </c>
      <c r="H25" s="14">
        <f t="shared" si="9"/>
        <v>159.10000000000002</v>
      </c>
      <c r="I25" s="14">
        <f t="shared" si="9"/>
        <v>171.7</v>
      </c>
      <c r="J25" s="14">
        <f t="shared" si="9"/>
        <v>179.55</v>
      </c>
      <c r="K25" s="14">
        <f t="shared" si="9"/>
        <v>183.4</v>
      </c>
      <c r="L25" s="14">
        <f t="shared" si="9"/>
        <v>186.85</v>
      </c>
      <c r="M25" s="14">
        <f t="shared" si="9"/>
        <v>193.3</v>
      </c>
      <c r="N25" s="14">
        <f t="shared" si="9"/>
        <v>200.2</v>
      </c>
      <c r="O25" s="14">
        <f t="shared" si="9"/>
        <v>203.25</v>
      </c>
      <c r="P25" s="14">
        <f t="shared" si="9"/>
        <v>210.10000000000002</v>
      </c>
      <c r="Q25" s="14">
        <f t="shared" si="9"/>
        <v>218.95</v>
      </c>
      <c r="R25" s="14">
        <f t="shared" si="9"/>
        <v>224.25</v>
      </c>
      <c r="S25" s="14">
        <f t="shared" si="9"/>
        <v>230.45</v>
      </c>
      <c r="T25" s="14">
        <f t="shared" si="9"/>
        <v>238</v>
      </c>
      <c r="U25" s="14">
        <f t="shared" si="9"/>
        <v>245.6</v>
      </c>
      <c r="V25" s="14">
        <f t="shared" si="9"/>
        <v>248.39999999999998</v>
      </c>
      <c r="W25" s="14">
        <f t="shared" si="9"/>
        <v>261.55</v>
      </c>
      <c r="X25" s="14">
        <f t="shared" si="9"/>
        <v>272.5</v>
      </c>
      <c r="Y25" s="14">
        <f t="shared" si="9"/>
        <v>288.89999999999998</v>
      </c>
      <c r="Z25" s="14">
        <f t="shared" si="9"/>
        <v>303.39999999999998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67C3-B7C9-4F5D-A0C9-F341E109E469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6">
        <v>109397.2</v>
      </c>
      <c r="C2" s="6">
        <v>107441.4</v>
      </c>
      <c r="D2" s="6">
        <v>109326.1</v>
      </c>
      <c r="E2" s="6">
        <v>110596.6</v>
      </c>
      <c r="F2" s="6">
        <v>113884.9</v>
      </c>
      <c r="G2" s="6">
        <v>121748.7</v>
      </c>
      <c r="H2" s="6">
        <v>136439.1</v>
      </c>
      <c r="I2" s="6">
        <v>156205.29999999999</v>
      </c>
      <c r="J2" s="6">
        <v>156902.79999999999</v>
      </c>
      <c r="K2" s="6">
        <v>163671.5</v>
      </c>
      <c r="L2" s="6">
        <v>174760.4</v>
      </c>
      <c r="M2" s="6">
        <v>183860.9</v>
      </c>
      <c r="N2" s="6">
        <v>193713.8</v>
      </c>
      <c r="O2" s="6">
        <v>203576</v>
      </c>
      <c r="P2" s="6">
        <v>221785.2</v>
      </c>
      <c r="Q2" s="6">
        <v>240975</v>
      </c>
      <c r="R2" s="6">
        <v>251342.1</v>
      </c>
      <c r="S2" s="6">
        <v>256790.8</v>
      </c>
      <c r="T2" s="6">
        <v>262927.2</v>
      </c>
      <c r="U2" s="6">
        <v>271265</v>
      </c>
      <c r="V2" s="6">
        <v>279389.7</v>
      </c>
      <c r="W2" s="6">
        <v>315664.8</v>
      </c>
      <c r="X2" s="6">
        <v>325547</v>
      </c>
      <c r="Y2" s="6">
        <v>340895</v>
      </c>
      <c r="Z2" s="6">
        <v>366041.5</v>
      </c>
      <c r="AA2" s="11">
        <f>+Z2</f>
        <v>366041.5</v>
      </c>
    </row>
    <row r="3" spans="1:27" x14ac:dyDescent="0.25">
      <c r="A3" t="s">
        <v>2</v>
      </c>
      <c r="B3" s="6">
        <v>21699.200000000001</v>
      </c>
      <c r="C3" s="6">
        <v>22189.1</v>
      </c>
      <c r="D3" s="6">
        <v>21830.7</v>
      </c>
      <c r="E3" s="6">
        <v>22422.7</v>
      </c>
      <c r="F3" s="6">
        <v>23153.599999999999</v>
      </c>
      <c r="G3" s="6">
        <v>24676.1</v>
      </c>
      <c r="H3" s="6">
        <v>26601.5</v>
      </c>
      <c r="I3" s="6">
        <v>29732</v>
      </c>
      <c r="J3" s="6">
        <v>30531.3</v>
      </c>
      <c r="K3" s="6">
        <v>31828.1</v>
      </c>
      <c r="L3" s="6">
        <v>33128.400000000001</v>
      </c>
      <c r="M3" s="6">
        <v>35446.400000000001</v>
      </c>
      <c r="N3" s="6">
        <v>37147.9</v>
      </c>
      <c r="O3" s="6">
        <v>38608.300000000003</v>
      </c>
      <c r="P3" s="6">
        <v>40880.199999999997</v>
      </c>
      <c r="Q3" s="6">
        <v>43739.8</v>
      </c>
      <c r="R3" s="6">
        <v>45126.5</v>
      </c>
      <c r="S3" s="6">
        <v>46932</v>
      </c>
      <c r="T3" s="6">
        <v>48142.2</v>
      </c>
      <c r="U3" s="6">
        <v>50420.1</v>
      </c>
      <c r="V3" s="6">
        <v>53136.5</v>
      </c>
      <c r="W3" s="6">
        <v>57008.6</v>
      </c>
      <c r="X3" s="6">
        <v>59087.8</v>
      </c>
      <c r="Y3" s="6">
        <v>63010</v>
      </c>
      <c r="Z3" s="6">
        <v>67529.899999999994</v>
      </c>
      <c r="AA3" s="11">
        <f t="shared" ref="AA3:AA25" si="0">+Z3</f>
        <v>67529.899999999994</v>
      </c>
    </row>
    <row r="4" spans="1:27" x14ac:dyDescent="0.25">
      <c r="A4" t="s">
        <v>3</v>
      </c>
      <c r="B4" s="6">
        <v>15263.9</v>
      </c>
      <c r="C4" s="6">
        <v>15427.9</v>
      </c>
      <c r="D4" s="6">
        <v>16248.8</v>
      </c>
      <c r="E4" s="6">
        <v>16776.5</v>
      </c>
      <c r="F4" s="6">
        <v>17388.7</v>
      </c>
      <c r="G4" s="6">
        <v>18331.900000000001</v>
      </c>
      <c r="H4" s="6">
        <v>19670</v>
      </c>
      <c r="I4" s="6">
        <v>21748.2</v>
      </c>
      <c r="J4" s="6">
        <v>22125</v>
      </c>
      <c r="K4" s="6">
        <v>22906.6</v>
      </c>
      <c r="L4" s="6">
        <v>23924.3</v>
      </c>
      <c r="M4" s="6">
        <v>25120.1</v>
      </c>
      <c r="N4" s="6">
        <v>26343.5</v>
      </c>
      <c r="O4" s="6">
        <v>27241.1</v>
      </c>
      <c r="P4" s="6">
        <v>28628.3</v>
      </c>
      <c r="Q4" s="6">
        <v>30989.3</v>
      </c>
      <c r="R4" s="6">
        <v>31797.7</v>
      </c>
      <c r="S4" s="6">
        <v>33287.800000000003</v>
      </c>
      <c r="T4" s="6">
        <v>34042.400000000001</v>
      </c>
      <c r="U4" s="6">
        <v>35267.599999999999</v>
      </c>
      <c r="V4" s="6">
        <v>36164.400000000001</v>
      </c>
      <c r="W4" s="6">
        <v>39246.199999999997</v>
      </c>
      <c r="X4" s="6">
        <v>40813.4</v>
      </c>
      <c r="Y4" s="6">
        <v>43145</v>
      </c>
      <c r="Z4" s="6">
        <v>46366.1</v>
      </c>
      <c r="AA4" s="11">
        <f t="shared" si="0"/>
        <v>46366.1</v>
      </c>
    </row>
    <row r="5" spans="1:27" x14ac:dyDescent="0.25">
      <c r="A5" t="s">
        <v>4</v>
      </c>
      <c r="B5" s="6">
        <v>12786.8</v>
      </c>
      <c r="C5" s="6">
        <v>13085.6</v>
      </c>
      <c r="D5" s="6">
        <v>13802.7</v>
      </c>
      <c r="E5" s="6">
        <v>14377.3</v>
      </c>
      <c r="F5" s="6">
        <v>14864.6</v>
      </c>
      <c r="G5" s="6">
        <v>15716.9</v>
      </c>
      <c r="H5" s="6">
        <v>16701.900000000001</v>
      </c>
      <c r="I5" s="6">
        <v>18239.599999999999</v>
      </c>
      <c r="J5" s="6">
        <v>18843.2</v>
      </c>
      <c r="K5" s="6">
        <v>19380.400000000001</v>
      </c>
      <c r="L5" s="6">
        <v>20213.2</v>
      </c>
      <c r="M5" s="6">
        <v>21186.7</v>
      </c>
      <c r="N5" s="6">
        <v>22067.3</v>
      </c>
      <c r="O5" s="6">
        <v>22777.9</v>
      </c>
      <c r="P5" s="6">
        <v>23766.2</v>
      </c>
      <c r="Q5" s="6">
        <v>25343.9</v>
      </c>
      <c r="R5" s="6">
        <v>26064.7</v>
      </c>
      <c r="S5" s="6">
        <v>27430.7</v>
      </c>
      <c r="T5" s="6">
        <v>29754.3</v>
      </c>
      <c r="U5" s="6">
        <v>29075.7</v>
      </c>
      <c r="V5" s="6">
        <v>29392.1</v>
      </c>
      <c r="W5" s="6">
        <v>31949.4</v>
      </c>
      <c r="X5" s="6">
        <v>33034.1</v>
      </c>
      <c r="Y5" s="6">
        <v>35047</v>
      </c>
      <c r="Z5" s="6">
        <v>37191.199999999997</v>
      </c>
      <c r="AA5" s="11">
        <f t="shared" si="0"/>
        <v>37191.199999999997</v>
      </c>
    </row>
    <row r="6" spans="1:27" x14ac:dyDescent="0.25">
      <c r="A6" t="s">
        <v>5</v>
      </c>
      <c r="B6" s="6">
        <v>12511.2</v>
      </c>
      <c r="C6" s="6">
        <v>12862.3</v>
      </c>
      <c r="D6" s="6">
        <v>13767.5</v>
      </c>
      <c r="E6" s="6">
        <v>14463.6</v>
      </c>
      <c r="F6" s="6">
        <v>14884.9</v>
      </c>
      <c r="G6" s="6">
        <v>15780.3</v>
      </c>
      <c r="H6" s="6">
        <v>16926.7</v>
      </c>
      <c r="I6" s="6">
        <v>18962.2</v>
      </c>
      <c r="J6" s="6">
        <v>19284.900000000001</v>
      </c>
      <c r="K6" s="6">
        <v>19700</v>
      </c>
      <c r="L6" s="6">
        <v>20586.400000000001</v>
      </c>
      <c r="M6" s="6">
        <v>21590.799999999999</v>
      </c>
      <c r="N6" s="6">
        <v>22570.400000000001</v>
      </c>
      <c r="O6" s="6">
        <v>23258.5</v>
      </c>
      <c r="P6" s="6">
        <v>24490</v>
      </c>
      <c r="Q6" s="6">
        <v>25950.2</v>
      </c>
      <c r="R6" s="6">
        <v>27228.400000000001</v>
      </c>
      <c r="S6" s="6">
        <v>28785.9</v>
      </c>
      <c r="T6" s="6">
        <v>29214.6</v>
      </c>
      <c r="U6" s="6">
        <v>30046.2</v>
      </c>
      <c r="V6" s="6">
        <v>30520.6</v>
      </c>
      <c r="W6" s="6">
        <v>33235.599999999999</v>
      </c>
      <c r="X6" s="6">
        <v>35076.699999999997</v>
      </c>
      <c r="Y6" s="6">
        <v>37361</v>
      </c>
      <c r="Z6" s="6">
        <v>39225.1</v>
      </c>
      <c r="AA6" s="11">
        <f t="shared" si="0"/>
        <v>39225.1</v>
      </c>
    </row>
    <row r="7" spans="1:27" x14ac:dyDescent="0.25">
      <c r="A7" t="s">
        <v>6</v>
      </c>
      <c r="B7" s="6">
        <v>27717.3</v>
      </c>
      <c r="C7" s="6">
        <v>27793.1</v>
      </c>
      <c r="D7" s="6">
        <v>29367.9</v>
      </c>
      <c r="E7" s="6">
        <v>30211.5</v>
      </c>
      <c r="F7" s="6">
        <v>31161.3</v>
      </c>
      <c r="G7" s="6">
        <v>33030.6</v>
      </c>
      <c r="H7" s="6">
        <v>35770</v>
      </c>
      <c r="I7" s="6">
        <v>39286.1</v>
      </c>
      <c r="J7" s="6">
        <v>39579.4</v>
      </c>
      <c r="K7" s="6">
        <v>41321.800000000003</v>
      </c>
      <c r="L7" s="6">
        <v>43151.7</v>
      </c>
      <c r="M7" s="6">
        <v>47654.1</v>
      </c>
      <c r="N7" s="6">
        <v>49272.1</v>
      </c>
      <c r="O7" s="6">
        <v>51375</v>
      </c>
      <c r="P7" s="6">
        <v>54721.7</v>
      </c>
      <c r="Q7" s="6">
        <v>58246.5</v>
      </c>
      <c r="R7" s="6">
        <v>60764.800000000003</v>
      </c>
      <c r="S7" s="6">
        <v>63871.4</v>
      </c>
      <c r="T7" s="6">
        <v>66225.3</v>
      </c>
      <c r="U7" s="6">
        <v>68690.5</v>
      </c>
      <c r="V7" s="6">
        <v>71005</v>
      </c>
      <c r="W7" s="6">
        <v>78670.399999999994</v>
      </c>
      <c r="X7" s="6">
        <v>82174.5</v>
      </c>
      <c r="Y7" s="6">
        <v>87789</v>
      </c>
      <c r="Z7" s="6">
        <v>94422.7</v>
      </c>
      <c r="AA7" s="11">
        <f t="shared" si="0"/>
        <v>94422.7</v>
      </c>
    </row>
    <row r="8" spans="1:27" x14ac:dyDescent="0.25">
      <c r="A8" t="s">
        <v>7</v>
      </c>
      <c r="B8" s="6">
        <v>11942</v>
      </c>
      <c r="C8" s="6">
        <v>11596.9</v>
      </c>
      <c r="D8" s="6">
        <v>12116.9</v>
      </c>
      <c r="E8" s="6">
        <v>12645.8</v>
      </c>
      <c r="F8" s="6">
        <v>13104.4</v>
      </c>
      <c r="G8" s="6">
        <v>13801.4</v>
      </c>
      <c r="H8" s="6">
        <v>15138.7</v>
      </c>
      <c r="I8" s="6">
        <v>17288</v>
      </c>
      <c r="J8" s="6">
        <v>17408.900000000001</v>
      </c>
      <c r="K8" s="6">
        <v>17795.2</v>
      </c>
      <c r="L8" s="6">
        <v>18816.3</v>
      </c>
      <c r="M8" s="6">
        <v>20039.3</v>
      </c>
      <c r="N8" s="6">
        <v>20633</v>
      </c>
      <c r="O8" s="6">
        <v>21364.799999999999</v>
      </c>
      <c r="P8" s="6">
        <v>22374</v>
      </c>
      <c r="Q8" s="6">
        <v>23865</v>
      </c>
      <c r="R8" s="6">
        <v>24585.8</v>
      </c>
      <c r="S8" s="6">
        <v>25881.1</v>
      </c>
      <c r="T8" s="6">
        <v>26528.5</v>
      </c>
      <c r="U8" s="6">
        <v>27550.9</v>
      </c>
      <c r="V8" s="6">
        <v>28149.9</v>
      </c>
      <c r="W8" s="6">
        <v>30801.200000000001</v>
      </c>
      <c r="X8" s="6">
        <v>32231</v>
      </c>
      <c r="Y8" s="6">
        <v>34570</v>
      </c>
      <c r="Z8" s="6">
        <v>37189.4</v>
      </c>
      <c r="AA8" s="11">
        <f t="shared" si="0"/>
        <v>37189.4</v>
      </c>
    </row>
    <row r="9" spans="1:27" x14ac:dyDescent="0.25">
      <c r="A9" t="s">
        <v>8</v>
      </c>
      <c r="B9" s="6">
        <v>13447.8</v>
      </c>
      <c r="C9" s="6">
        <v>13673.2</v>
      </c>
      <c r="D9" s="6">
        <v>14254.8</v>
      </c>
      <c r="E9" s="6">
        <v>14950.5</v>
      </c>
      <c r="F9" s="6">
        <v>15359.3</v>
      </c>
      <c r="G9" s="6">
        <v>16391.2</v>
      </c>
      <c r="H9" s="6">
        <v>17696.7</v>
      </c>
      <c r="I9" s="6">
        <v>19842.7</v>
      </c>
      <c r="J9" s="6">
        <v>19910.599999999999</v>
      </c>
      <c r="K9" s="6">
        <v>20284.900000000001</v>
      </c>
      <c r="L9" s="6">
        <v>21221</v>
      </c>
      <c r="M9" s="6">
        <v>22686.3</v>
      </c>
      <c r="N9" s="6">
        <v>23296.400000000001</v>
      </c>
      <c r="O9" s="6">
        <v>24224.3</v>
      </c>
      <c r="P9" s="6">
        <v>25392.3</v>
      </c>
      <c r="Q9" s="6">
        <v>27228.9</v>
      </c>
      <c r="R9" s="6">
        <v>28360.400000000001</v>
      </c>
      <c r="S9" s="6">
        <v>29680.2</v>
      </c>
      <c r="T9" s="6">
        <v>30298</v>
      </c>
      <c r="U9" s="6">
        <v>31762</v>
      </c>
      <c r="V9" s="6">
        <v>32669</v>
      </c>
      <c r="W9" s="6">
        <v>35385.699999999997</v>
      </c>
      <c r="X9" s="6">
        <v>37210.6</v>
      </c>
      <c r="Y9" s="6">
        <v>38780</v>
      </c>
      <c r="Z9" s="6">
        <v>41162.800000000003</v>
      </c>
      <c r="AA9" s="11">
        <f t="shared" si="0"/>
        <v>41162.800000000003</v>
      </c>
    </row>
    <row r="10" spans="1:27" x14ac:dyDescent="0.25">
      <c r="A10" t="s">
        <v>9</v>
      </c>
      <c r="B10" s="6">
        <v>53469.2</v>
      </c>
      <c r="C10" s="6">
        <v>54109.8</v>
      </c>
      <c r="D10" s="6">
        <v>56989.7</v>
      </c>
      <c r="E10" s="6">
        <v>59694.2</v>
      </c>
      <c r="F10" s="6">
        <v>62408</v>
      </c>
      <c r="G10" s="6">
        <v>66301.7</v>
      </c>
      <c r="H10" s="6">
        <v>71767.8</v>
      </c>
      <c r="I10" s="6">
        <v>79321.2</v>
      </c>
      <c r="J10" s="6">
        <v>80958.899999999994</v>
      </c>
      <c r="K10" s="6">
        <v>82563.7</v>
      </c>
      <c r="L10" s="6">
        <v>86590.3</v>
      </c>
      <c r="M10" s="6">
        <v>90803</v>
      </c>
      <c r="N10" s="6">
        <v>96228.6</v>
      </c>
      <c r="O10" s="6">
        <v>99231.1</v>
      </c>
      <c r="P10" s="6">
        <v>105880.3</v>
      </c>
      <c r="Q10" s="6">
        <v>113485.3</v>
      </c>
      <c r="R10" s="6">
        <v>118673.4</v>
      </c>
      <c r="S10" s="6">
        <v>123280.5</v>
      </c>
      <c r="T10" s="6">
        <v>125942.7</v>
      </c>
      <c r="U10" s="6">
        <v>131126.39999999999</v>
      </c>
      <c r="V10" s="6">
        <v>132555.1</v>
      </c>
      <c r="W10" s="6">
        <v>144454.79999999999</v>
      </c>
      <c r="X10" s="6">
        <v>151839</v>
      </c>
      <c r="Y10" s="6">
        <v>163126</v>
      </c>
      <c r="Z10" s="6">
        <v>175617.4</v>
      </c>
      <c r="AA10" s="11">
        <f t="shared" si="0"/>
        <v>175617.4</v>
      </c>
    </row>
    <row r="11" spans="1:27" x14ac:dyDescent="0.25">
      <c r="A11" t="s">
        <v>10</v>
      </c>
      <c r="B11" s="6">
        <v>12976.7</v>
      </c>
      <c r="C11" s="6">
        <v>13356.6</v>
      </c>
      <c r="D11" s="6">
        <v>14057.2</v>
      </c>
      <c r="E11" s="6">
        <v>14714.3</v>
      </c>
      <c r="F11" s="6">
        <v>15346.3</v>
      </c>
      <c r="G11" s="6">
        <v>16245.1</v>
      </c>
      <c r="H11" s="6">
        <v>17639</v>
      </c>
      <c r="I11" s="6">
        <v>19412.400000000001</v>
      </c>
      <c r="J11" s="6">
        <v>19875.900000000001</v>
      </c>
      <c r="K11" s="6">
        <v>20431.7</v>
      </c>
      <c r="L11" s="6">
        <v>21299.200000000001</v>
      </c>
      <c r="M11" s="6">
        <v>22410.6</v>
      </c>
      <c r="N11" s="6">
        <v>23330.3</v>
      </c>
      <c r="O11" s="6">
        <v>24232.5</v>
      </c>
      <c r="P11" s="6">
        <v>25563.599999999999</v>
      </c>
      <c r="Q11" s="6">
        <v>27030.6</v>
      </c>
      <c r="R11" s="6">
        <v>28195.599999999999</v>
      </c>
      <c r="S11" s="6">
        <v>29765</v>
      </c>
      <c r="T11" s="6">
        <v>30444.5</v>
      </c>
      <c r="U11" s="6">
        <v>32096.5</v>
      </c>
      <c r="V11" s="6">
        <v>32493.599999999999</v>
      </c>
      <c r="W11" s="6">
        <v>34716.400000000001</v>
      </c>
      <c r="X11" s="6">
        <v>36695.199999999997</v>
      </c>
      <c r="Y11" s="6">
        <v>39170</v>
      </c>
      <c r="Z11" s="6">
        <v>40862.400000000001</v>
      </c>
      <c r="AA11" s="11">
        <f t="shared" si="0"/>
        <v>40862.400000000001</v>
      </c>
    </row>
    <row r="12" spans="1:27" x14ac:dyDescent="0.25">
      <c r="A12" t="s">
        <v>11</v>
      </c>
      <c r="B12" s="6">
        <v>14327.2</v>
      </c>
      <c r="C12" s="6">
        <v>14685.7</v>
      </c>
      <c r="D12" s="6">
        <v>15428.5</v>
      </c>
      <c r="E12" s="6">
        <v>16293.7</v>
      </c>
      <c r="F12" s="6">
        <v>16863.3</v>
      </c>
      <c r="G12" s="6">
        <v>17664.2</v>
      </c>
      <c r="H12" s="6">
        <v>18955.3</v>
      </c>
      <c r="I12" s="6">
        <v>20798.900000000001</v>
      </c>
      <c r="J12" s="6">
        <v>21694.400000000001</v>
      </c>
      <c r="K12" s="6">
        <v>22098.3</v>
      </c>
      <c r="L12" s="6">
        <v>22805.5</v>
      </c>
      <c r="M12" s="6">
        <v>23959.7</v>
      </c>
      <c r="N12" s="6">
        <v>25192.3</v>
      </c>
      <c r="O12" s="6">
        <v>26071.4</v>
      </c>
      <c r="P12" s="6">
        <v>27358.6</v>
      </c>
      <c r="Q12" s="6">
        <v>29120.799999999999</v>
      </c>
      <c r="R12" s="6">
        <v>30351.8</v>
      </c>
      <c r="S12" s="6">
        <v>31908.400000000001</v>
      </c>
      <c r="T12" s="6">
        <v>32375.5</v>
      </c>
      <c r="U12" s="6">
        <v>33482.800000000003</v>
      </c>
      <c r="V12" s="6">
        <v>34461</v>
      </c>
      <c r="W12" s="6">
        <v>37077.4</v>
      </c>
      <c r="X12" s="6">
        <v>38904.699999999997</v>
      </c>
      <c r="Y12" s="6">
        <v>41590</v>
      </c>
      <c r="Z12" s="6">
        <v>43999</v>
      </c>
      <c r="AA12" s="11">
        <f t="shared" si="0"/>
        <v>43999</v>
      </c>
    </row>
    <row r="13" spans="1:27" x14ac:dyDescent="0.25">
      <c r="A13" t="s">
        <v>12</v>
      </c>
      <c r="B13" s="6">
        <v>11053.4</v>
      </c>
      <c r="C13" s="6">
        <v>11430.9</v>
      </c>
      <c r="D13" s="6">
        <v>12088.9</v>
      </c>
      <c r="E13" s="6">
        <v>12701.8</v>
      </c>
      <c r="F13" s="6">
        <v>13489.6</v>
      </c>
      <c r="G13" s="6">
        <v>14204</v>
      </c>
      <c r="H13" s="6">
        <v>14963</v>
      </c>
      <c r="I13" s="6">
        <v>16495.2</v>
      </c>
      <c r="J13" s="6">
        <v>17066.099999999999</v>
      </c>
      <c r="K13" s="6">
        <v>17403.5</v>
      </c>
      <c r="L13" s="6">
        <v>18238</v>
      </c>
      <c r="M13" s="6">
        <v>19188.8</v>
      </c>
      <c r="N13" s="6">
        <v>20065.5</v>
      </c>
      <c r="O13" s="6">
        <v>20803.099999999999</v>
      </c>
      <c r="P13" s="6">
        <v>21955.4</v>
      </c>
      <c r="Q13" s="6">
        <v>23368.9</v>
      </c>
      <c r="R13" s="6">
        <v>24292.7</v>
      </c>
      <c r="S13" s="6">
        <v>25217.9</v>
      </c>
      <c r="T13" s="6">
        <v>25932.7</v>
      </c>
      <c r="U13" s="6">
        <v>26957.200000000001</v>
      </c>
      <c r="V13" s="6">
        <v>27823.200000000001</v>
      </c>
      <c r="W13" s="6">
        <v>29926.3</v>
      </c>
      <c r="X13" s="6">
        <v>31537.4</v>
      </c>
      <c r="Y13" s="6">
        <v>33350</v>
      </c>
      <c r="Z13" s="6">
        <v>35809.4</v>
      </c>
      <c r="AA13" s="11">
        <f t="shared" si="0"/>
        <v>35809.4</v>
      </c>
    </row>
    <row r="14" spans="1:27" x14ac:dyDescent="0.25">
      <c r="A14" t="s">
        <v>21</v>
      </c>
      <c r="B14" s="6">
        <v>43945.3</v>
      </c>
      <c r="C14" s="6">
        <v>44619.8</v>
      </c>
      <c r="D14" s="6">
        <v>47042.8</v>
      </c>
      <c r="E14" s="6">
        <v>48787.5</v>
      </c>
      <c r="F14" s="6">
        <v>50483.199999999997</v>
      </c>
      <c r="G14" s="6">
        <v>53197.1</v>
      </c>
      <c r="H14" s="6">
        <v>56378.8</v>
      </c>
      <c r="I14" s="6">
        <v>61753.3</v>
      </c>
      <c r="J14" s="6">
        <v>63293.4</v>
      </c>
      <c r="K14" s="6">
        <v>65019.9</v>
      </c>
      <c r="L14" s="6">
        <v>67446.100000000006</v>
      </c>
      <c r="M14" s="6">
        <v>70761.5</v>
      </c>
      <c r="N14" s="6">
        <v>73662</v>
      </c>
      <c r="O14" s="6">
        <v>76030.899999999994</v>
      </c>
      <c r="P14" s="6">
        <v>79421.7</v>
      </c>
      <c r="Q14" s="6">
        <v>84687.1</v>
      </c>
      <c r="R14" s="6">
        <v>87270.3</v>
      </c>
      <c r="S14" s="6">
        <v>91273.2</v>
      </c>
      <c r="T14" s="6">
        <v>94985.4</v>
      </c>
      <c r="U14" s="6">
        <v>96563.6</v>
      </c>
      <c r="V14" s="6">
        <v>98097.2</v>
      </c>
      <c r="W14" s="6">
        <v>106044.4</v>
      </c>
      <c r="X14" s="6">
        <v>110529.3</v>
      </c>
      <c r="Y14" s="6">
        <v>116933</v>
      </c>
      <c r="Z14" s="6">
        <v>124091.9</v>
      </c>
      <c r="AA14" s="11">
        <f t="shared" si="0"/>
        <v>124091.9</v>
      </c>
    </row>
    <row r="15" spans="1:27" s="3" customFormat="1" x14ac:dyDescent="0.25">
      <c r="A15" t="s">
        <v>18</v>
      </c>
      <c r="B15" s="7">
        <v>1004627.4</v>
      </c>
      <c r="C15" s="7">
        <v>1011887.3</v>
      </c>
      <c r="D15" s="7">
        <v>1057147.6000000001</v>
      </c>
      <c r="E15" s="7">
        <v>1095634.7</v>
      </c>
      <c r="F15" s="7">
        <v>1134167.6000000001</v>
      </c>
      <c r="G15" s="7">
        <v>1201664.7</v>
      </c>
      <c r="H15" s="7">
        <v>1293920.6000000001</v>
      </c>
      <c r="I15" s="7">
        <v>1433295.1</v>
      </c>
      <c r="J15" s="7">
        <v>1459776.4</v>
      </c>
      <c r="K15" s="7">
        <v>1493633.9</v>
      </c>
      <c r="L15" s="7">
        <v>1562540.6</v>
      </c>
      <c r="M15" s="7">
        <v>1641823.8</v>
      </c>
      <c r="N15" s="7">
        <v>1710458.6</v>
      </c>
      <c r="O15" s="7">
        <v>1768732.3</v>
      </c>
      <c r="P15" s="7">
        <v>1868568.7</v>
      </c>
      <c r="Q15" s="7">
        <v>1992532.1</v>
      </c>
      <c r="R15" s="7">
        <v>2068036.5</v>
      </c>
      <c r="S15" s="7">
        <v>2152935.7000000002</v>
      </c>
      <c r="T15" s="7">
        <v>2204623.9</v>
      </c>
      <c r="U15" s="7">
        <v>2286827.4</v>
      </c>
      <c r="V15" s="7">
        <v>2332509.2000000002</v>
      </c>
      <c r="W15" s="7">
        <v>2548532.9</v>
      </c>
      <c r="X15" s="7">
        <v>2670851.2999999998</v>
      </c>
      <c r="Y15" s="7">
        <v>2822060</v>
      </c>
      <c r="Z15" s="7">
        <v>2990176.5</v>
      </c>
      <c r="AA15" s="11">
        <f t="shared" si="0"/>
        <v>2990176.5</v>
      </c>
    </row>
    <row r="16" spans="1:27" x14ac:dyDescent="0.25">
      <c r="A16" t="s">
        <v>16</v>
      </c>
      <c r="B16" s="1">
        <f t="shared" ref="B16:Z16" si="1">SUM(B2:B13)</f>
        <v>316591.90000000002</v>
      </c>
      <c r="C16" s="1">
        <f t="shared" si="1"/>
        <v>317652.5</v>
      </c>
      <c r="D16" s="1">
        <f t="shared" si="1"/>
        <v>329279.7</v>
      </c>
      <c r="E16" s="1">
        <f t="shared" si="1"/>
        <v>339848.5</v>
      </c>
      <c r="F16" s="1">
        <f t="shared" si="1"/>
        <v>351908.89999999991</v>
      </c>
      <c r="G16" s="1">
        <f t="shared" si="1"/>
        <v>373892.1</v>
      </c>
      <c r="H16" s="1">
        <f t="shared" si="1"/>
        <v>408269.7</v>
      </c>
      <c r="I16" s="1">
        <f t="shared" si="1"/>
        <v>457331.8000000001</v>
      </c>
      <c r="J16" s="1">
        <f t="shared" si="1"/>
        <v>464181.4</v>
      </c>
      <c r="K16" s="1">
        <f t="shared" si="1"/>
        <v>479385.70000000007</v>
      </c>
      <c r="L16" s="1">
        <f t="shared" si="1"/>
        <v>504734.7</v>
      </c>
      <c r="M16" s="1">
        <f t="shared" si="1"/>
        <v>533946.69999999995</v>
      </c>
      <c r="N16" s="1">
        <f t="shared" si="1"/>
        <v>559861.1</v>
      </c>
      <c r="O16" s="1">
        <f t="shared" si="1"/>
        <v>582764</v>
      </c>
      <c r="P16" s="1">
        <f t="shared" si="1"/>
        <v>622795.80000000005</v>
      </c>
      <c r="Q16" s="1">
        <f t="shared" si="1"/>
        <v>669344.20000000007</v>
      </c>
      <c r="R16" s="1">
        <f t="shared" si="1"/>
        <v>696783.9</v>
      </c>
      <c r="S16" s="1">
        <f t="shared" si="1"/>
        <v>722831.70000000007</v>
      </c>
      <c r="T16" s="1">
        <f t="shared" si="1"/>
        <v>741827.89999999991</v>
      </c>
      <c r="U16" s="1">
        <f t="shared" si="1"/>
        <v>767740.9</v>
      </c>
      <c r="V16" s="1">
        <f t="shared" si="1"/>
        <v>787760.09999999986</v>
      </c>
      <c r="W16" s="1">
        <f t="shared" si="1"/>
        <v>868136.8</v>
      </c>
      <c r="X16" s="1">
        <f t="shared" si="1"/>
        <v>904151.39999999991</v>
      </c>
      <c r="Y16" s="1">
        <f t="shared" si="1"/>
        <v>957833</v>
      </c>
      <c r="Z16" s="1">
        <f t="shared" si="1"/>
        <v>1025416.9000000001</v>
      </c>
      <c r="AA16" s="11">
        <f t="shared" si="0"/>
        <v>1025416.9000000001</v>
      </c>
    </row>
    <row r="17" spans="1:27" x14ac:dyDescent="0.25">
      <c r="A17" t="s">
        <v>17</v>
      </c>
      <c r="B17" s="1">
        <f t="shared" ref="B17:Z17" si="2">SUM(B2+B7+B10)</f>
        <v>190583.7</v>
      </c>
      <c r="C17" s="1">
        <f t="shared" si="2"/>
        <v>189344.3</v>
      </c>
      <c r="D17" s="1">
        <f t="shared" si="2"/>
        <v>195683.7</v>
      </c>
      <c r="E17" s="1">
        <f t="shared" si="2"/>
        <v>200502.3</v>
      </c>
      <c r="F17" s="1">
        <f t="shared" si="2"/>
        <v>207454.19999999998</v>
      </c>
      <c r="G17" s="1">
        <f t="shared" si="2"/>
        <v>221081</v>
      </c>
      <c r="H17" s="1">
        <f t="shared" si="2"/>
        <v>243976.90000000002</v>
      </c>
      <c r="I17" s="1">
        <f t="shared" si="2"/>
        <v>274812.59999999998</v>
      </c>
      <c r="J17" s="1">
        <f t="shared" si="2"/>
        <v>277441.09999999998</v>
      </c>
      <c r="K17" s="1">
        <f t="shared" si="2"/>
        <v>287557</v>
      </c>
      <c r="L17" s="1">
        <f t="shared" si="2"/>
        <v>304502.39999999997</v>
      </c>
      <c r="M17" s="1">
        <f t="shared" si="2"/>
        <v>322318</v>
      </c>
      <c r="N17" s="1">
        <f t="shared" si="2"/>
        <v>339214.5</v>
      </c>
      <c r="O17" s="1">
        <f t="shared" si="2"/>
        <v>354182.1</v>
      </c>
      <c r="P17" s="1">
        <f t="shared" si="2"/>
        <v>382387.20000000001</v>
      </c>
      <c r="Q17" s="1">
        <f t="shared" si="2"/>
        <v>412706.8</v>
      </c>
      <c r="R17" s="1">
        <f t="shared" si="2"/>
        <v>430780.30000000005</v>
      </c>
      <c r="S17" s="1">
        <f t="shared" si="2"/>
        <v>443942.7</v>
      </c>
      <c r="T17" s="1">
        <f t="shared" si="2"/>
        <v>455095.2</v>
      </c>
      <c r="U17" s="1">
        <f t="shared" si="2"/>
        <v>471081.9</v>
      </c>
      <c r="V17" s="1">
        <f t="shared" si="2"/>
        <v>482949.80000000005</v>
      </c>
      <c r="W17" s="1">
        <f t="shared" si="2"/>
        <v>538790</v>
      </c>
      <c r="X17" s="1">
        <f t="shared" si="2"/>
        <v>559560.5</v>
      </c>
      <c r="Y17" s="1">
        <f t="shared" si="2"/>
        <v>591810</v>
      </c>
      <c r="Z17" s="1">
        <f t="shared" si="2"/>
        <v>636081.6</v>
      </c>
      <c r="AA17" s="11">
        <f t="shared" si="0"/>
        <v>636081.6</v>
      </c>
    </row>
    <row r="18" spans="1:27" x14ac:dyDescent="0.25">
      <c r="A18" t="s">
        <v>13</v>
      </c>
      <c r="B18" s="1">
        <f t="shared" ref="B18:Z18" si="3">SUM(B2+B3+B7+B10)</f>
        <v>212282.89999999997</v>
      </c>
      <c r="C18" s="1">
        <f t="shared" si="3"/>
        <v>211533.40000000002</v>
      </c>
      <c r="D18" s="1">
        <f t="shared" si="3"/>
        <v>217514.40000000002</v>
      </c>
      <c r="E18" s="1">
        <f t="shared" si="3"/>
        <v>222925</v>
      </c>
      <c r="F18" s="1">
        <f t="shared" si="3"/>
        <v>230607.8</v>
      </c>
      <c r="G18" s="1">
        <f t="shared" si="3"/>
        <v>245757.09999999998</v>
      </c>
      <c r="H18" s="1">
        <f t="shared" si="3"/>
        <v>270578.40000000002</v>
      </c>
      <c r="I18" s="1">
        <f t="shared" si="3"/>
        <v>304544.59999999998</v>
      </c>
      <c r="J18" s="1">
        <f t="shared" si="3"/>
        <v>307972.39999999997</v>
      </c>
      <c r="K18" s="1">
        <f t="shared" si="3"/>
        <v>319385.10000000003</v>
      </c>
      <c r="L18" s="1">
        <f t="shared" si="3"/>
        <v>337630.8</v>
      </c>
      <c r="M18" s="1">
        <f t="shared" si="3"/>
        <v>357764.39999999997</v>
      </c>
      <c r="N18" s="1">
        <f t="shared" si="3"/>
        <v>376362.4</v>
      </c>
      <c r="O18" s="1">
        <f t="shared" si="3"/>
        <v>392790.4</v>
      </c>
      <c r="P18" s="1">
        <f t="shared" si="3"/>
        <v>423267.4</v>
      </c>
      <c r="Q18" s="1">
        <f t="shared" si="3"/>
        <v>456446.6</v>
      </c>
      <c r="R18" s="1">
        <f t="shared" si="3"/>
        <v>475906.79999999993</v>
      </c>
      <c r="S18" s="1">
        <f t="shared" si="3"/>
        <v>490874.7</v>
      </c>
      <c r="T18" s="1">
        <f t="shared" si="3"/>
        <v>503237.4</v>
      </c>
      <c r="U18" s="1">
        <f t="shared" si="3"/>
        <v>521502</v>
      </c>
      <c r="V18" s="1">
        <f t="shared" si="3"/>
        <v>536086.30000000005</v>
      </c>
      <c r="W18" s="1">
        <f t="shared" si="3"/>
        <v>595798.59999999986</v>
      </c>
      <c r="X18" s="1">
        <f t="shared" si="3"/>
        <v>618648.30000000005</v>
      </c>
      <c r="Y18" s="1">
        <f t="shared" si="3"/>
        <v>654820</v>
      </c>
      <c r="Z18" s="1">
        <f t="shared" si="3"/>
        <v>703611.5</v>
      </c>
      <c r="AA18" s="11">
        <f t="shared" si="0"/>
        <v>703611.5</v>
      </c>
    </row>
    <row r="19" spans="1:27" x14ac:dyDescent="0.25">
      <c r="A19" t="s">
        <v>14</v>
      </c>
      <c r="B19" s="1">
        <f t="shared" ref="B19:Z19" si="4">+B4+B5+B6+B8+B9+B11+B12+B13</f>
        <v>104308.99999999999</v>
      </c>
      <c r="C19" s="1">
        <f t="shared" si="4"/>
        <v>106119.1</v>
      </c>
      <c r="D19" s="1">
        <f t="shared" si="4"/>
        <v>111765.29999999999</v>
      </c>
      <c r="E19" s="1">
        <f t="shared" si="4"/>
        <v>116923.5</v>
      </c>
      <c r="F19" s="1">
        <f t="shared" si="4"/>
        <v>121301.10000000002</v>
      </c>
      <c r="G19" s="1">
        <f t="shared" si="4"/>
        <v>128135.00000000001</v>
      </c>
      <c r="H19" s="1">
        <f t="shared" si="4"/>
        <v>137691.29999999999</v>
      </c>
      <c r="I19" s="1">
        <f t="shared" si="4"/>
        <v>152787.20000000001</v>
      </c>
      <c r="J19" s="1">
        <f t="shared" si="4"/>
        <v>156209</v>
      </c>
      <c r="K19" s="1">
        <f t="shared" si="4"/>
        <v>160000.6</v>
      </c>
      <c r="L19" s="1">
        <f t="shared" si="4"/>
        <v>167103.9</v>
      </c>
      <c r="M19" s="1">
        <f t="shared" si="4"/>
        <v>176182.30000000002</v>
      </c>
      <c r="N19" s="1">
        <f t="shared" si="4"/>
        <v>183498.69999999998</v>
      </c>
      <c r="O19" s="1">
        <f t="shared" si="4"/>
        <v>189973.6</v>
      </c>
      <c r="P19" s="1">
        <f t="shared" si="4"/>
        <v>199528.4</v>
      </c>
      <c r="Q19" s="1">
        <f t="shared" si="4"/>
        <v>212897.59999999998</v>
      </c>
      <c r="R19" s="1">
        <f t="shared" si="4"/>
        <v>220877.1</v>
      </c>
      <c r="S19" s="1">
        <f t="shared" si="4"/>
        <v>231957</v>
      </c>
      <c r="T19" s="1">
        <f t="shared" si="4"/>
        <v>238590.5</v>
      </c>
      <c r="U19" s="1">
        <f t="shared" si="4"/>
        <v>246238.90000000002</v>
      </c>
      <c r="V19" s="1">
        <f t="shared" si="4"/>
        <v>251673.80000000002</v>
      </c>
      <c r="W19" s="1">
        <f t="shared" si="4"/>
        <v>272338.2</v>
      </c>
      <c r="X19" s="1">
        <f t="shared" si="4"/>
        <v>285503.10000000003</v>
      </c>
      <c r="Y19" s="1">
        <f t="shared" si="4"/>
        <v>303013</v>
      </c>
      <c r="Z19" s="1">
        <f t="shared" si="4"/>
        <v>321805.40000000002</v>
      </c>
      <c r="AA19" s="11">
        <f t="shared" si="0"/>
        <v>321805.40000000002</v>
      </c>
    </row>
    <row r="20" spans="1:27" x14ac:dyDescent="0.25">
      <c r="A20" t="s">
        <v>20</v>
      </c>
      <c r="B20" s="1">
        <f t="shared" ref="B20:Z20" si="5">+B6+B8+B9+B11+B12+B13</f>
        <v>76258.299999999988</v>
      </c>
      <c r="C20" s="1">
        <f t="shared" si="5"/>
        <v>77605.599999999991</v>
      </c>
      <c r="D20" s="1">
        <f t="shared" si="5"/>
        <v>81713.799999999988</v>
      </c>
      <c r="E20" s="1">
        <f t="shared" si="5"/>
        <v>85769.7</v>
      </c>
      <c r="F20" s="1">
        <f t="shared" si="5"/>
        <v>89047.8</v>
      </c>
      <c r="G20" s="1">
        <f t="shared" si="5"/>
        <v>94086.2</v>
      </c>
      <c r="H20" s="1">
        <f t="shared" si="5"/>
        <v>101319.40000000001</v>
      </c>
      <c r="I20" s="1">
        <f t="shared" si="5"/>
        <v>112799.39999999998</v>
      </c>
      <c r="J20" s="1">
        <f t="shared" si="5"/>
        <v>115240.80000000002</v>
      </c>
      <c r="K20" s="1">
        <f t="shared" si="5"/>
        <v>117713.60000000001</v>
      </c>
      <c r="L20" s="1">
        <f t="shared" si="5"/>
        <v>122966.39999999999</v>
      </c>
      <c r="M20" s="1">
        <f t="shared" si="5"/>
        <v>129875.5</v>
      </c>
      <c r="N20" s="1">
        <f t="shared" si="5"/>
        <v>135087.90000000002</v>
      </c>
      <c r="O20" s="1">
        <f t="shared" si="5"/>
        <v>139954.6</v>
      </c>
      <c r="P20" s="1">
        <f t="shared" si="5"/>
        <v>147133.9</v>
      </c>
      <c r="Q20" s="1">
        <f t="shared" si="5"/>
        <v>156564.4</v>
      </c>
      <c r="R20" s="1">
        <f t="shared" si="5"/>
        <v>163014.70000000001</v>
      </c>
      <c r="S20" s="1">
        <f t="shared" si="5"/>
        <v>171238.5</v>
      </c>
      <c r="T20" s="1">
        <f t="shared" si="5"/>
        <v>174793.80000000002</v>
      </c>
      <c r="U20" s="1">
        <f t="shared" si="5"/>
        <v>181895.60000000003</v>
      </c>
      <c r="V20" s="1">
        <f t="shared" si="5"/>
        <v>186117.30000000002</v>
      </c>
      <c r="W20" s="1">
        <f t="shared" si="5"/>
        <v>201142.59999999998</v>
      </c>
      <c r="X20" s="1">
        <f t="shared" si="5"/>
        <v>211655.6</v>
      </c>
      <c r="Y20" s="1">
        <f t="shared" si="5"/>
        <v>224821</v>
      </c>
      <c r="Z20" s="1">
        <f t="shared" si="5"/>
        <v>238248.1</v>
      </c>
      <c r="AA20" s="11">
        <f t="shared" si="0"/>
        <v>238248.1</v>
      </c>
    </row>
    <row r="21" spans="1:27" x14ac:dyDescent="0.25">
      <c r="A21" t="s">
        <v>34</v>
      </c>
      <c r="B21" s="1">
        <f t="shared" ref="B21:Z21" si="6">+B20+B5</f>
        <v>89045.099999999991</v>
      </c>
      <c r="C21" s="1">
        <f t="shared" si="6"/>
        <v>90691.199999999997</v>
      </c>
      <c r="D21" s="1">
        <f t="shared" si="6"/>
        <v>95516.499999999985</v>
      </c>
      <c r="E21" s="1">
        <f t="shared" si="6"/>
        <v>100147</v>
      </c>
      <c r="F21" s="1">
        <f t="shared" si="6"/>
        <v>103912.40000000001</v>
      </c>
      <c r="G21" s="1">
        <f t="shared" si="6"/>
        <v>109803.09999999999</v>
      </c>
      <c r="H21" s="1">
        <f t="shared" si="6"/>
        <v>118021.30000000002</v>
      </c>
      <c r="I21" s="1">
        <f t="shared" si="6"/>
        <v>131038.99999999997</v>
      </c>
      <c r="J21" s="1">
        <f t="shared" si="6"/>
        <v>134084.00000000003</v>
      </c>
      <c r="K21" s="1">
        <f t="shared" si="6"/>
        <v>137094</v>
      </c>
      <c r="L21" s="1">
        <f t="shared" si="6"/>
        <v>143179.6</v>
      </c>
      <c r="M21" s="1">
        <f t="shared" si="6"/>
        <v>151062.20000000001</v>
      </c>
      <c r="N21" s="1">
        <f t="shared" si="6"/>
        <v>157155.20000000001</v>
      </c>
      <c r="O21" s="1">
        <f t="shared" si="6"/>
        <v>162732.5</v>
      </c>
      <c r="P21" s="1">
        <f t="shared" si="6"/>
        <v>170900.1</v>
      </c>
      <c r="Q21" s="1">
        <f t="shared" si="6"/>
        <v>181908.3</v>
      </c>
      <c r="R21" s="1">
        <f t="shared" si="6"/>
        <v>189079.40000000002</v>
      </c>
      <c r="S21" s="1">
        <f t="shared" si="6"/>
        <v>198669.2</v>
      </c>
      <c r="T21" s="1">
        <f t="shared" si="6"/>
        <v>204548.1</v>
      </c>
      <c r="U21" s="1">
        <f t="shared" si="6"/>
        <v>210971.30000000005</v>
      </c>
      <c r="V21" s="1">
        <f t="shared" si="6"/>
        <v>215509.40000000002</v>
      </c>
      <c r="W21" s="1">
        <f t="shared" si="6"/>
        <v>233091.99999999997</v>
      </c>
      <c r="X21" s="1">
        <f t="shared" si="6"/>
        <v>244689.7</v>
      </c>
      <c r="Y21" s="1">
        <f t="shared" si="6"/>
        <v>259868</v>
      </c>
      <c r="Z21" s="1">
        <f t="shared" si="6"/>
        <v>275439.3</v>
      </c>
      <c r="AA21" s="11">
        <f t="shared" si="0"/>
        <v>275439.3</v>
      </c>
    </row>
    <row r="22" spans="1:27" x14ac:dyDescent="0.25">
      <c r="A22" t="s">
        <v>100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1"/>
    </row>
    <row r="23" spans="1:27" x14ac:dyDescent="0.25">
      <c r="A23" t="s">
        <v>15</v>
      </c>
      <c r="B23" s="1">
        <f t="shared" ref="B23:Z23" si="7">+B4+B5</f>
        <v>28050.699999999997</v>
      </c>
      <c r="C23" s="1">
        <f t="shared" si="7"/>
        <v>28513.5</v>
      </c>
      <c r="D23" s="1">
        <f t="shared" si="7"/>
        <v>30051.5</v>
      </c>
      <c r="E23" s="1">
        <f t="shared" si="7"/>
        <v>31153.8</v>
      </c>
      <c r="F23" s="1">
        <f t="shared" si="7"/>
        <v>32253.300000000003</v>
      </c>
      <c r="G23" s="1">
        <f t="shared" si="7"/>
        <v>34048.800000000003</v>
      </c>
      <c r="H23" s="1">
        <f t="shared" si="7"/>
        <v>36371.9</v>
      </c>
      <c r="I23" s="1">
        <f t="shared" si="7"/>
        <v>39987.800000000003</v>
      </c>
      <c r="J23" s="1">
        <f t="shared" si="7"/>
        <v>40968.199999999997</v>
      </c>
      <c r="K23" s="1">
        <f t="shared" si="7"/>
        <v>42287</v>
      </c>
      <c r="L23" s="1">
        <f t="shared" si="7"/>
        <v>44137.5</v>
      </c>
      <c r="M23" s="1">
        <f t="shared" si="7"/>
        <v>46306.8</v>
      </c>
      <c r="N23" s="1">
        <f t="shared" si="7"/>
        <v>48410.8</v>
      </c>
      <c r="O23" s="1">
        <f t="shared" si="7"/>
        <v>50019</v>
      </c>
      <c r="P23" s="1">
        <f t="shared" si="7"/>
        <v>52394.5</v>
      </c>
      <c r="Q23" s="1">
        <f t="shared" si="7"/>
        <v>56333.2</v>
      </c>
      <c r="R23" s="1">
        <f t="shared" si="7"/>
        <v>57862.400000000001</v>
      </c>
      <c r="S23" s="1">
        <f t="shared" si="7"/>
        <v>60718.5</v>
      </c>
      <c r="T23" s="1">
        <f t="shared" si="7"/>
        <v>63796.7</v>
      </c>
      <c r="U23" s="1">
        <f t="shared" si="7"/>
        <v>64343.3</v>
      </c>
      <c r="V23" s="1">
        <f t="shared" si="7"/>
        <v>65556.5</v>
      </c>
      <c r="W23" s="1">
        <f t="shared" si="7"/>
        <v>71195.600000000006</v>
      </c>
      <c r="X23" s="1">
        <f t="shared" si="7"/>
        <v>73847.5</v>
      </c>
      <c r="Y23" s="1">
        <f t="shared" si="7"/>
        <v>78192</v>
      </c>
      <c r="Z23" s="1">
        <f t="shared" si="7"/>
        <v>83557.299999999988</v>
      </c>
      <c r="AA23" s="11">
        <f t="shared" si="0"/>
        <v>83557.299999999988</v>
      </c>
    </row>
    <row r="24" spans="1:27" x14ac:dyDescent="0.25">
      <c r="A24" t="s">
        <v>35</v>
      </c>
      <c r="B24" s="15">
        <f t="shared" ref="B24:Z24" si="8">SUM(B14-B4)</f>
        <v>28681.4</v>
      </c>
      <c r="C24" s="15">
        <f t="shared" si="8"/>
        <v>29191.9</v>
      </c>
      <c r="D24" s="15">
        <f t="shared" si="8"/>
        <v>30794.000000000004</v>
      </c>
      <c r="E24" s="15">
        <f t="shared" si="8"/>
        <v>32011</v>
      </c>
      <c r="F24" s="15">
        <f t="shared" si="8"/>
        <v>33094.5</v>
      </c>
      <c r="G24" s="15">
        <f t="shared" si="8"/>
        <v>34865.199999999997</v>
      </c>
      <c r="H24" s="15">
        <f t="shared" si="8"/>
        <v>36708.800000000003</v>
      </c>
      <c r="I24" s="15">
        <f t="shared" si="8"/>
        <v>40005.100000000006</v>
      </c>
      <c r="J24" s="15">
        <f t="shared" si="8"/>
        <v>41168.400000000001</v>
      </c>
      <c r="K24" s="15">
        <f t="shared" si="8"/>
        <v>42113.3</v>
      </c>
      <c r="L24" s="15">
        <f t="shared" si="8"/>
        <v>43521.8</v>
      </c>
      <c r="M24" s="15">
        <f t="shared" si="8"/>
        <v>45641.4</v>
      </c>
      <c r="N24" s="15">
        <f t="shared" si="8"/>
        <v>47318.5</v>
      </c>
      <c r="O24" s="15">
        <f t="shared" si="8"/>
        <v>48789.799999999996</v>
      </c>
      <c r="P24" s="15">
        <f t="shared" si="8"/>
        <v>50793.399999999994</v>
      </c>
      <c r="Q24" s="15">
        <f t="shared" si="8"/>
        <v>53697.8</v>
      </c>
      <c r="R24" s="15">
        <f t="shared" si="8"/>
        <v>55472.600000000006</v>
      </c>
      <c r="S24" s="15">
        <f t="shared" si="8"/>
        <v>57985.399999999994</v>
      </c>
      <c r="T24" s="15">
        <f t="shared" si="8"/>
        <v>60942.999999999993</v>
      </c>
      <c r="U24" s="15">
        <f t="shared" si="8"/>
        <v>61296.000000000007</v>
      </c>
      <c r="V24" s="15">
        <f t="shared" si="8"/>
        <v>61932.799999999996</v>
      </c>
      <c r="W24" s="15">
        <f t="shared" si="8"/>
        <v>66798.2</v>
      </c>
      <c r="X24" s="15">
        <f t="shared" si="8"/>
        <v>69715.899999999994</v>
      </c>
      <c r="Y24" s="15">
        <f t="shared" si="8"/>
        <v>73788</v>
      </c>
      <c r="Z24" s="15">
        <f t="shared" si="8"/>
        <v>77725.799999999988</v>
      </c>
      <c r="AA24" s="11">
        <f t="shared" si="0"/>
        <v>77725.799999999988</v>
      </c>
    </row>
    <row r="25" spans="1:27" x14ac:dyDescent="0.25">
      <c r="A25" t="s">
        <v>36</v>
      </c>
      <c r="B25" s="15">
        <f t="shared" ref="B25:Z25" si="9">SUM(B14-B5)</f>
        <v>31158.500000000004</v>
      </c>
      <c r="C25" s="15">
        <f t="shared" si="9"/>
        <v>31534.200000000004</v>
      </c>
      <c r="D25" s="15">
        <f t="shared" si="9"/>
        <v>33240.100000000006</v>
      </c>
      <c r="E25" s="15">
        <f t="shared" si="9"/>
        <v>34410.199999999997</v>
      </c>
      <c r="F25" s="15">
        <f t="shared" si="9"/>
        <v>35618.6</v>
      </c>
      <c r="G25" s="15">
        <f t="shared" si="9"/>
        <v>37480.199999999997</v>
      </c>
      <c r="H25" s="15">
        <f t="shared" si="9"/>
        <v>39676.9</v>
      </c>
      <c r="I25" s="15">
        <f t="shared" si="9"/>
        <v>43513.700000000004</v>
      </c>
      <c r="J25" s="15">
        <f t="shared" si="9"/>
        <v>44450.2</v>
      </c>
      <c r="K25" s="15">
        <f t="shared" si="9"/>
        <v>45639.5</v>
      </c>
      <c r="L25" s="15">
        <f t="shared" si="9"/>
        <v>47232.900000000009</v>
      </c>
      <c r="M25" s="15">
        <f t="shared" si="9"/>
        <v>49574.8</v>
      </c>
      <c r="N25" s="15">
        <f t="shared" si="9"/>
        <v>51594.7</v>
      </c>
      <c r="O25" s="15">
        <f t="shared" si="9"/>
        <v>53252.999999999993</v>
      </c>
      <c r="P25" s="15">
        <f t="shared" si="9"/>
        <v>55655.5</v>
      </c>
      <c r="Q25" s="15">
        <f t="shared" si="9"/>
        <v>59343.200000000004</v>
      </c>
      <c r="R25" s="15">
        <f t="shared" si="9"/>
        <v>61205.600000000006</v>
      </c>
      <c r="S25" s="15">
        <f t="shared" si="9"/>
        <v>63842.5</v>
      </c>
      <c r="T25" s="15">
        <f t="shared" si="9"/>
        <v>65231.099999999991</v>
      </c>
      <c r="U25" s="15">
        <f t="shared" si="9"/>
        <v>67487.900000000009</v>
      </c>
      <c r="V25" s="15">
        <f t="shared" si="9"/>
        <v>68705.100000000006</v>
      </c>
      <c r="W25" s="15">
        <f t="shared" si="9"/>
        <v>74095</v>
      </c>
      <c r="X25" s="15">
        <f t="shared" si="9"/>
        <v>77495.200000000012</v>
      </c>
      <c r="Y25" s="15">
        <f t="shared" si="9"/>
        <v>81886</v>
      </c>
      <c r="Z25" s="15">
        <f t="shared" si="9"/>
        <v>86900.7</v>
      </c>
      <c r="AA25" s="11">
        <f t="shared" si="0"/>
        <v>86900.7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8173-F3E1-4B67-9EDD-CFFB12E533AA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203.5</v>
      </c>
      <c r="C2" s="8">
        <v>215.3</v>
      </c>
      <c r="D2" s="8">
        <v>220.7</v>
      </c>
      <c r="E2" s="8">
        <v>224.3</v>
      </c>
      <c r="F2" s="8">
        <v>228.2</v>
      </c>
      <c r="G2" s="8">
        <v>233.2</v>
      </c>
      <c r="H2" s="8">
        <v>241.8</v>
      </c>
      <c r="I2" s="8">
        <v>253</v>
      </c>
      <c r="J2" s="8">
        <v>266</v>
      </c>
      <c r="K2" s="8">
        <v>269.2</v>
      </c>
      <c r="L2" s="8">
        <v>273.89999999999998</v>
      </c>
      <c r="M2" s="8">
        <v>283.2</v>
      </c>
      <c r="N2" s="8">
        <v>292.7</v>
      </c>
      <c r="O2" s="8">
        <v>299.3</v>
      </c>
      <c r="P2" s="8">
        <v>306.8</v>
      </c>
      <c r="Q2" s="8">
        <v>318.10000000000002</v>
      </c>
      <c r="R2" s="8">
        <v>329.4</v>
      </c>
      <c r="S2" s="8">
        <v>340.3</v>
      </c>
      <c r="T2" s="8">
        <v>352.3</v>
      </c>
      <c r="U2" s="8">
        <v>363.7</v>
      </c>
      <c r="V2" s="8">
        <v>370.8</v>
      </c>
      <c r="W2" s="8">
        <v>385.1</v>
      </c>
      <c r="X2" s="8">
        <v>405.5</v>
      </c>
      <c r="Y2" s="8">
        <v>423.9</v>
      </c>
      <c r="Z2" s="12">
        <f t="shared" ref="Z2:Z15" si="0">+Y2</f>
        <v>423.9</v>
      </c>
    </row>
    <row r="3" spans="1:27" x14ac:dyDescent="0.25">
      <c r="A3" t="s">
        <v>2</v>
      </c>
      <c r="B3" s="8">
        <v>186.3</v>
      </c>
      <c r="C3" s="8">
        <v>196.3</v>
      </c>
      <c r="D3" s="8">
        <v>203.6</v>
      </c>
      <c r="E3" s="8">
        <v>209</v>
      </c>
      <c r="F3" s="8">
        <v>213</v>
      </c>
      <c r="G3" s="8">
        <v>216.8</v>
      </c>
      <c r="H3" s="8">
        <v>223.5</v>
      </c>
      <c r="I3" s="8">
        <v>232.2</v>
      </c>
      <c r="J3" s="8">
        <v>242</v>
      </c>
      <c r="K3" s="8">
        <v>244.9</v>
      </c>
      <c r="L3" s="8">
        <v>247.7</v>
      </c>
      <c r="M3" s="8">
        <v>256.60000000000002</v>
      </c>
      <c r="N3" s="8">
        <v>265</v>
      </c>
      <c r="O3" s="8">
        <v>270.89999999999998</v>
      </c>
      <c r="P3" s="8">
        <v>279.5</v>
      </c>
      <c r="Q3" s="8">
        <v>289.8</v>
      </c>
      <c r="R3" s="8">
        <v>300</v>
      </c>
      <c r="S3" s="8">
        <v>308.10000000000002</v>
      </c>
      <c r="T3" s="8">
        <v>316.2</v>
      </c>
      <c r="U3" s="8">
        <v>323.5</v>
      </c>
      <c r="V3" s="8">
        <v>328.4</v>
      </c>
      <c r="W3" s="8">
        <v>336.9</v>
      </c>
      <c r="X3" s="8">
        <v>351.1</v>
      </c>
      <c r="Y3" s="8">
        <v>364</v>
      </c>
      <c r="Z3" s="12">
        <f t="shared" si="0"/>
        <v>364</v>
      </c>
    </row>
    <row r="4" spans="1:27" x14ac:dyDescent="0.25">
      <c r="A4" t="s">
        <v>3</v>
      </c>
      <c r="B4" s="8">
        <v>190.4</v>
      </c>
      <c r="C4" s="8">
        <v>197.5</v>
      </c>
      <c r="D4" s="8">
        <v>206.1</v>
      </c>
      <c r="E4" s="8">
        <v>209.2</v>
      </c>
      <c r="F4" s="8">
        <v>213.7</v>
      </c>
      <c r="G4" s="8">
        <v>216.7</v>
      </c>
      <c r="H4" s="8">
        <v>223.4</v>
      </c>
      <c r="I4" s="8">
        <v>231.1</v>
      </c>
      <c r="J4" s="8">
        <v>242.7</v>
      </c>
      <c r="K4" s="8">
        <v>245.5</v>
      </c>
      <c r="L4" s="8">
        <v>248.8</v>
      </c>
      <c r="M4" s="8">
        <v>257.5</v>
      </c>
      <c r="N4" s="8">
        <v>265.89999999999998</v>
      </c>
      <c r="O4" s="8">
        <v>272.8</v>
      </c>
      <c r="P4" s="8">
        <v>279.7</v>
      </c>
      <c r="Q4" s="8">
        <v>292.2</v>
      </c>
      <c r="R4" s="8">
        <v>301.7</v>
      </c>
      <c r="S4" s="8">
        <v>310.10000000000002</v>
      </c>
      <c r="T4" s="8">
        <v>318.7</v>
      </c>
      <c r="U4" s="8">
        <v>329</v>
      </c>
      <c r="V4" s="8">
        <v>334.1</v>
      </c>
      <c r="W4" s="8">
        <v>345.8</v>
      </c>
      <c r="X4" s="8">
        <v>358.3</v>
      </c>
      <c r="Y4" s="8">
        <v>373.7</v>
      </c>
      <c r="Z4" s="12">
        <f t="shared" si="0"/>
        <v>373.7</v>
      </c>
    </row>
    <row r="5" spans="1:27" x14ac:dyDescent="0.25">
      <c r="A5" t="s">
        <v>4</v>
      </c>
      <c r="B5" s="8">
        <v>181</v>
      </c>
      <c r="C5" s="8">
        <v>188.3</v>
      </c>
      <c r="D5" s="8">
        <v>195.9</v>
      </c>
      <c r="E5" s="8">
        <v>201.1</v>
      </c>
      <c r="F5" s="8">
        <v>206</v>
      </c>
      <c r="G5" s="8">
        <v>210.5</v>
      </c>
      <c r="H5" s="8">
        <v>217.7</v>
      </c>
      <c r="I5" s="8">
        <v>227.1</v>
      </c>
      <c r="J5" s="8">
        <v>237.5</v>
      </c>
      <c r="K5" s="8">
        <v>241.4</v>
      </c>
      <c r="L5" s="8">
        <v>245.9</v>
      </c>
      <c r="M5" s="8">
        <v>254.2</v>
      </c>
      <c r="N5" s="8">
        <v>261.7</v>
      </c>
      <c r="O5" s="8">
        <v>267</v>
      </c>
      <c r="P5" s="8">
        <v>274</v>
      </c>
      <c r="Q5" s="8">
        <v>282.89999999999998</v>
      </c>
      <c r="R5" s="8">
        <v>292.3</v>
      </c>
      <c r="S5" s="8">
        <v>301.60000000000002</v>
      </c>
      <c r="T5" s="8">
        <v>311.89999999999998</v>
      </c>
      <c r="U5" s="8">
        <v>320.39999999999998</v>
      </c>
      <c r="V5" s="8">
        <v>326.8</v>
      </c>
      <c r="W5" s="8">
        <v>339.5</v>
      </c>
      <c r="X5" s="8">
        <v>352</v>
      </c>
      <c r="Y5" s="8">
        <v>366.7</v>
      </c>
      <c r="Z5" s="12">
        <f t="shared" si="0"/>
        <v>366.7</v>
      </c>
    </row>
    <row r="6" spans="1:27" x14ac:dyDescent="0.25">
      <c r="A6" t="s">
        <v>5</v>
      </c>
      <c r="B6" s="8">
        <v>189.8</v>
      </c>
      <c r="C6" s="8">
        <v>198.3</v>
      </c>
      <c r="D6" s="8">
        <v>207.8</v>
      </c>
      <c r="E6" s="8">
        <v>214.3</v>
      </c>
      <c r="F6" s="8">
        <v>220.3</v>
      </c>
      <c r="G6" s="8">
        <v>224.3</v>
      </c>
      <c r="H6" s="8">
        <v>232.3</v>
      </c>
      <c r="I6" s="8">
        <v>241.4</v>
      </c>
      <c r="J6" s="8">
        <v>251.8</v>
      </c>
      <c r="K6" s="8">
        <v>255.8</v>
      </c>
      <c r="L6" s="8">
        <v>260.3</v>
      </c>
      <c r="M6" s="8">
        <v>269.39999999999998</v>
      </c>
      <c r="N6" s="8">
        <v>277.5</v>
      </c>
      <c r="O6" s="8">
        <v>282.7</v>
      </c>
      <c r="P6" s="8">
        <v>290.89999999999998</v>
      </c>
      <c r="Q6" s="8">
        <v>299.39999999999998</v>
      </c>
      <c r="R6" s="8">
        <v>309.5</v>
      </c>
      <c r="S6" s="8">
        <v>320</v>
      </c>
      <c r="T6" s="8">
        <v>329.9</v>
      </c>
      <c r="U6" s="8">
        <v>337.5</v>
      </c>
      <c r="V6" s="8">
        <v>341.1</v>
      </c>
      <c r="W6" s="8">
        <v>353.6</v>
      </c>
      <c r="X6" s="8">
        <v>365.4</v>
      </c>
      <c r="Y6" s="8">
        <v>377.5</v>
      </c>
      <c r="Z6" s="12">
        <f t="shared" si="0"/>
        <v>377.5</v>
      </c>
    </row>
    <row r="7" spans="1:27" x14ac:dyDescent="0.25">
      <c r="A7" t="s">
        <v>6</v>
      </c>
      <c r="B7" s="8">
        <v>166.1</v>
      </c>
      <c r="C7" s="8">
        <v>173.4</v>
      </c>
      <c r="D7" s="8">
        <v>178.8</v>
      </c>
      <c r="E7" s="8">
        <v>182.7</v>
      </c>
      <c r="F7" s="8">
        <v>184.5</v>
      </c>
      <c r="G7" s="8">
        <v>187</v>
      </c>
      <c r="H7" s="8">
        <v>192.6</v>
      </c>
      <c r="I7" s="8">
        <v>197.1</v>
      </c>
      <c r="J7" s="8">
        <v>203.6</v>
      </c>
      <c r="K7" s="8">
        <v>199.9</v>
      </c>
      <c r="L7" s="8">
        <v>200.1</v>
      </c>
      <c r="M7" s="8">
        <v>223.1</v>
      </c>
      <c r="N7" s="8">
        <v>229.9</v>
      </c>
      <c r="O7" s="8">
        <v>237.2</v>
      </c>
      <c r="P7" s="8">
        <v>244.1</v>
      </c>
      <c r="Q7" s="8">
        <v>254.5</v>
      </c>
      <c r="R7" s="8">
        <v>264.89999999999998</v>
      </c>
      <c r="S7" s="8">
        <v>273.60000000000002</v>
      </c>
      <c r="T7" s="8">
        <v>283.10000000000002</v>
      </c>
      <c r="U7" s="8">
        <v>293.60000000000002</v>
      </c>
      <c r="V7" s="8">
        <v>301.10000000000002</v>
      </c>
      <c r="W7" s="8">
        <v>312.7</v>
      </c>
      <c r="X7" s="8">
        <v>329.5</v>
      </c>
      <c r="Y7" s="8">
        <v>344.8</v>
      </c>
      <c r="Z7" s="12">
        <f t="shared" si="0"/>
        <v>344.8</v>
      </c>
    </row>
    <row r="8" spans="1:27" x14ac:dyDescent="0.25">
      <c r="A8" t="s">
        <v>7</v>
      </c>
      <c r="B8" s="8">
        <v>176.4</v>
      </c>
      <c r="C8" s="8">
        <v>185.3</v>
      </c>
      <c r="D8" s="8">
        <v>191.2</v>
      </c>
      <c r="E8" s="8">
        <v>195.4</v>
      </c>
      <c r="F8" s="8">
        <v>200</v>
      </c>
      <c r="G8" s="8">
        <v>202.9</v>
      </c>
      <c r="H8" s="8">
        <v>212.8</v>
      </c>
      <c r="I8" s="8">
        <v>221.4</v>
      </c>
      <c r="J8" s="8">
        <v>230.3</v>
      </c>
      <c r="K8" s="8">
        <v>229.3</v>
      </c>
      <c r="L8" s="8">
        <v>229.3</v>
      </c>
      <c r="M8" s="8">
        <v>240.8</v>
      </c>
      <c r="N8" s="8">
        <v>248.6</v>
      </c>
      <c r="O8" s="8">
        <v>253.5</v>
      </c>
      <c r="P8" s="8">
        <v>257.39999999999998</v>
      </c>
      <c r="Q8" s="8">
        <v>269.2</v>
      </c>
      <c r="R8" s="8">
        <v>279.3</v>
      </c>
      <c r="S8" s="8">
        <v>285.10000000000002</v>
      </c>
      <c r="T8" s="8">
        <v>294.39999999999998</v>
      </c>
      <c r="U8" s="8">
        <v>299.60000000000002</v>
      </c>
      <c r="V8" s="8">
        <v>304.60000000000002</v>
      </c>
      <c r="W8" s="8">
        <v>313.3</v>
      </c>
      <c r="X8" s="8">
        <v>324</v>
      </c>
      <c r="Y8" s="8">
        <v>337.6</v>
      </c>
      <c r="Z8" s="12">
        <f t="shared" si="0"/>
        <v>337.6</v>
      </c>
    </row>
    <row r="9" spans="1:27" x14ac:dyDescent="0.25">
      <c r="A9" t="s">
        <v>8</v>
      </c>
      <c r="B9" s="8">
        <v>183.1</v>
      </c>
      <c r="C9" s="8">
        <v>191.8</v>
      </c>
      <c r="D9" s="8">
        <v>200.3</v>
      </c>
      <c r="E9" s="8">
        <v>206.2</v>
      </c>
      <c r="F9" s="8">
        <v>211.8</v>
      </c>
      <c r="G9" s="8">
        <v>216.9</v>
      </c>
      <c r="H9" s="8">
        <v>223.2</v>
      </c>
      <c r="I9" s="8">
        <v>232.5</v>
      </c>
      <c r="J9" s="8">
        <v>242.2</v>
      </c>
      <c r="K9" s="8">
        <v>245</v>
      </c>
      <c r="L9" s="8">
        <v>248.1</v>
      </c>
      <c r="M9" s="8">
        <v>258.2</v>
      </c>
      <c r="N9" s="8">
        <v>265.10000000000002</v>
      </c>
      <c r="O9" s="8">
        <v>271.8</v>
      </c>
      <c r="P9" s="8">
        <v>276.7</v>
      </c>
      <c r="Q9" s="8">
        <v>285.10000000000002</v>
      </c>
      <c r="R9" s="8">
        <v>296</v>
      </c>
      <c r="S9" s="8">
        <v>304</v>
      </c>
      <c r="T9" s="8">
        <v>313.7</v>
      </c>
      <c r="U9" s="8">
        <v>321.89999999999998</v>
      </c>
      <c r="V9" s="8">
        <v>327.60000000000002</v>
      </c>
      <c r="W9" s="8">
        <v>340</v>
      </c>
      <c r="X9" s="8">
        <v>352.8</v>
      </c>
      <c r="Y9" s="8">
        <v>364.3</v>
      </c>
      <c r="Z9" s="12">
        <f t="shared" si="0"/>
        <v>364.3</v>
      </c>
    </row>
    <row r="10" spans="1:27" x14ac:dyDescent="0.25">
      <c r="A10" t="s">
        <v>9</v>
      </c>
      <c r="B10" s="8">
        <v>183.3</v>
      </c>
      <c r="C10" s="8">
        <v>193.3</v>
      </c>
      <c r="D10" s="8">
        <v>201.2</v>
      </c>
      <c r="E10" s="8">
        <v>207</v>
      </c>
      <c r="F10" s="8">
        <v>212.3</v>
      </c>
      <c r="G10" s="8">
        <v>216.2</v>
      </c>
      <c r="H10" s="8">
        <v>223.4</v>
      </c>
      <c r="I10" s="8">
        <v>233</v>
      </c>
      <c r="J10" s="8">
        <v>243.8</v>
      </c>
      <c r="K10" s="8">
        <v>242.9</v>
      </c>
      <c r="L10" s="8">
        <v>243.5</v>
      </c>
      <c r="M10" s="8">
        <v>253.8</v>
      </c>
      <c r="N10" s="8">
        <v>263.89999999999998</v>
      </c>
      <c r="O10" s="8">
        <v>269.39999999999998</v>
      </c>
      <c r="P10" s="8">
        <v>275.39999999999998</v>
      </c>
      <c r="Q10" s="8">
        <v>288.10000000000002</v>
      </c>
      <c r="R10" s="8">
        <v>300.5</v>
      </c>
      <c r="S10" s="8">
        <v>311.8</v>
      </c>
      <c r="T10" s="8">
        <v>322.2</v>
      </c>
      <c r="U10" s="8">
        <v>331.5</v>
      </c>
      <c r="V10" s="8">
        <v>335.3</v>
      </c>
      <c r="W10" s="8">
        <v>346.5</v>
      </c>
      <c r="X10" s="8">
        <v>362.9</v>
      </c>
      <c r="Y10" s="8">
        <v>380.2</v>
      </c>
      <c r="Z10" s="12">
        <f t="shared" si="0"/>
        <v>380.2</v>
      </c>
    </row>
    <row r="11" spans="1:27" x14ac:dyDescent="0.25">
      <c r="A11" t="s">
        <v>10</v>
      </c>
      <c r="B11" s="8">
        <v>185.8</v>
      </c>
      <c r="C11" s="8">
        <v>193.5</v>
      </c>
      <c r="D11" s="8">
        <v>201.2</v>
      </c>
      <c r="E11" s="8">
        <v>205.6</v>
      </c>
      <c r="F11" s="8">
        <v>211.1</v>
      </c>
      <c r="G11" s="8">
        <v>215.6</v>
      </c>
      <c r="H11" s="8">
        <v>222.5</v>
      </c>
      <c r="I11" s="8">
        <v>232</v>
      </c>
      <c r="J11" s="8">
        <v>243</v>
      </c>
      <c r="K11" s="8">
        <v>247</v>
      </c>
      <c r="L11" s="8">
        <v>249.7</v>
      </c>
      <c r="M11" s="8">
        <v>258.89999999999998</v>
      </c>
      <c r="N11" s="8">
        <v>267.2</v>
      </c>
      <c r="O11" s="8">
        <v>273.2</v>
      </c>
      <c r="P11" s="8">
        <v>279.10000000000002</v>
      </c>
      <c r="Q11" s="8">
        <v>289</v>
      </c>
      <c r="R11" s="8">
        <v>297.89999999999998</v>
      </c>
      <c r="S11" s="8">
        <v>306</v>
      </c>
      <c r="T11" s="8">
        <v>313.8</v>
      </c>
      <c r="U11" s="8">
        <v>321</v>
      </c>
      <c r="V11" s="8">
        <v>326</v>
      </c>
      <c r="W11" s="8">
        <v>337.7</v>
      </c>
      <c r="X11" s="8">
        <v>350.1</v>
      </c>
      <c r="Y11" s="8">
        <v>363.7</v>
      </c>
      <c r="Z11" s="12">
        <f t="shared" si="0"/>
        <v>363.7</v>
      </c>
    </row>
    <row r="12" spans="1:27" x14ac:dyDescent="0.25">
      <c r="A12" t="s">
        <v>11</v>
      </c>
      <c r="B12" s="8">
        <v>192.3</v>
      </c>
      <c r="C12" s="8">
        <v>201.5</v>
      </c>
      <c r="D12" s="8">
        <v>209</v>
      </c>
      <c r="E12" s="8">
        <v>214.8</v>
      </c>
      <c r="F12" s="8">
        <v>219.8</v>
      </c>
      <c r="G12" s="8">
        <v>223.9</v>
      </c>
      <c r="H12" s="8">
        <v>230.9</v>
      </c>
      <c r="I12" s="8">
        <v>240.4</v>
      </c>
      <c r="J12" s="8">
        <v>251.4</v>
      </c>
      <c r="K12" s="8">
        <v>256.2</v>
      </c>
      <c r="L12" s="8">
        <v>261.10000000000002</v>
      </c>
      <c r="M12" s="8">
        <v>270</v>
      </c>
      <c r="N12" s="8">
        <v>278.3</v>
      </c>
      <c r="O12" s="8">
        <v>285</v>
      </c>
      <c r="P12" s="8">
        <v>291.89999999999998</v>
      </c>
      <c r="Q12" s="8">
        <v>300.60000000000002</v>
      </c>
      <c r="R12" s="8">
        <v>309.7</v>
      </c>
      <c r="S12" s="8">
        <v>317.89999999999998</v>
      </c>
      <c r="T12" s="8">
        <v>328.2</v>
      </c>
      <c r="U12" s="8">
        <v>335.6</v>
      </c>
      <c r="V12" s="8">
        <v>340.7</v>
      </c>
      <c r="W12" s="8">
        <v>352.6</v>
      </c>
      <c r="X12" s="8">
        <v>365.6</v>
      </c>
      <c r="Y12" s="8">
        <v>381.3</v>
      </c>
      <c r="Z12" s="12">
        <f t="shared" si="0"/>
        <v>381.3</v>
      </c>
    </row>
    <row r="13" spans="1:27" x14ac:dyDescent="0.25">
      <c r="A13" t="s">
        <v>12</v>
      </c>
      <c r="B13" s="8">
        <v>185.9</v>
      </c>
      <c r="C13" s="8">
        <v>194.3</v>
      </c>
      <c r="D13" s="8">
        <v>200.7</v>
      </c>
      <c r="E13" s="8">
        <v>206.8</v>
      </c>
      <c r="F13" s="8">
        <v>211.6</v>
      </c>
      <c r="G13" s="8">
        <v>216.8</v>
      </c>
      <c r="H13" s="8">
        <v>224.1</v>
      </c>
      <c r="I13" s="8">
        <v>234.2</v>
      </c>
      <c r="J13" s="8">
        <v>245.2</v>
      </c>
      <c r="K13" s="8">
        <v>248.4</v>
      </c>
      <c r="L13" s="8">
        <v>252</v>
      </c>
      <c r="M13" s="8">
        <v>259.8</v>
      </c>
      <c r="N13" s="8">
        <v>268.2</v>
      </c>
      <c r="O13" s="8">
        <v>274.39999999999998</v>
      </c>
      <c r="P13" s="8">
        <v>281.10000000000002</v>
      </c>
      <c r="Q13" s="8">
        <v>290.7</v>
      </c>
      <c r="R13" s="8">
        <v>298.2</v>
      </c>
      <c r="S13" s="8">
        <v>306</v>
      </c>
      <c r="T13" s="8">
        <v>315.3</v>
      </c>
      <c r="U13" s="8">
        <v>322.60000000000002</v>
      </c>
      <c r="V13" s="8">
        <v>328.5</v>
      </c>
      <c r="W13" s="8">
        <v>341.2</v>
      </c>
      <c r="X13" s="8">
        <v>355.5</v>
      </c>
      <c r="Y13" s="8">
        <v>372.8</v>
      </c>
      <c r="Z13" s="12">
        <f t="shared" si="0"/>
        <v>372.8</v>
      </c>
    </row>
    <row r="14" spans="1:27" x14ac:dyDescent="0.25">
      <c r="A14" t="s">
        <v>21</v>
      </c>
      <c r="B14" s="8">
        <v>185.9</v>
      </c>
      <c r="C14" s="8">
        <v>192.9</v>
      </c>
      <c r="D14" s="8">
        <v>201.3</v>
      </c>
      <c r="E14" s="8">
        <v>206</v>
      </c>
      <c r="F14" s="8">
        <v>211</v>
      </c>
      <c r="G14" s="8">
        <v>215</v>
      </c>
      <c r="H14" s="8">
        <v>221.9</v>
      </c>
      <c r="I14" s="8">
        <v>230.9</v>
      </c>
      <c r="J14" s="8">
        <v>241.7</v>
      </c>
      <c r="K14" s="8">
        <v>245.8</v>
      </c>
      <c r="L14" s="8">
        <v>249.7</v>
      </c>
      <c r="M14" s="8">
        <v>258.3</v>
      </c>
      <c r="N14" s="8">
        <v>266.2</v>
      </c>
      <c r="O14" s="8">
        <v>272.2</v>
      </c>
      <c r="P14" s="8">
        <v>278.8</v>
      </c>
      <c r="Q14" s="8">
        <v>288.8</v>
      </c>
      <c r="R14" s="8">
        <v>298.3</v>
      </c>
      <c r="S14" s="8">
        <v>307.10000000000002</v>
      </c>
      <c r="T14" s="8">
        <v>317.2</v>
      </c>
      <c r="U14" s="8">
        <v>326.2</v>
      </c>
      <c r="V14" s="8">
        <v>332.2</v>
      </c>
      <c r="W14" s="8">
        <v>344.5</v>
      </c>
      <c r="X14" s="8">
        <v>357</v>
      </c>
      <c r="Y14" s="8">
        <v>371.6</v>
      </c>
      <c r="Z14" s="12">
        <f t="shared" si="0"/>
        <v>371.6</v>
      </c>
    </row>
    <row r="15" spans="1:27" s="3" customFormat="1" x14ac:dyDescent="0.25">
      <c r="A15" t="s">
        <v>18</v>
      </c>
      <c r="B15" s="9">
        <v>190</v>
      </c>
      <c r="C15" s="9">
        <v>198.6</v>
      </c>
      <c r="D15" s="9">
        <v>206.3</v>
      </c>
      <c r="E15" s="9">
        <v>212.1</v>
      </c>
      <c r="F15" s="9">
        <v>217.3</v>
      </c>
      <c r="G15" s="9">
        <v>222.3</v>
      </c>
      <c r="H15" s="9">
        <v>229.5</v>
      </c>
      <c r="I15" s="9">
        <v>239</v>
      </c>
      <c r="J15" s="9">
        <v>249.7</v>
      </c>
      <c r="K15" s="9">
        <v>253</v>
      </c>
      <c r="L15" s="9">
        <v>257.2</v>
      </c>
      <c r="M15" s="9">
        <v>266.3</v>
      </c>
      <c r="N15" s="9">
        <v>275.10000000000002</v>
      </c>
      <c r="O15" s="9">
        <v>281.10000000000002</v>
      </c>
      <c r="P15" s="9">
        <v>287.8</v>
      </c>
      <c r="Q15" s="9">
        <v>297.5</v>
      </c>
      <c r="R15" s="9">
        <v>307.2</v>
      </c>
      <c r="S15" s="9">
        <v>316.89999999999998</v>
      </c>
      <c r="T15" s="9">
        <v>326.89999999999998</v>
      </c>
      <c r="U15" s="9">
        <v>335.7</v>
      </c>
      <c r="V15" s="9">
        <v>341.4</v>
      </c>
      <c r="W15" s="9">
        <v>353.8</v>
      </c>
      <c r="X15" s="9">
        <v>368.1</v>
      </c>
      <c r="Y15" s="9">
        <v>383.1</v>
      </c>
      <c r="Z15" s="12">
        <f t="shared" si="0"/>
        <v>383.1</v>
      </c>
    </row>
    <row r="16" spans="1:27" x14ac:dyDescent="0.25">
      <c r="A16" t="s">
        <v>16</v>
      </c>
      <c r="B16" s="10">
        <f t="shared" ref="B16:Z16" si="1">SUM(B2:B13)/12</f>
        <v>185.32499999999996</v>
      </c>
      <c r="C16" s="10">
        <f t="shared" si="1"/>
        <v>194.06666666666669</v>
      </c>
      <c r="D16" s="10">
        <f t="shared" si="1"/>
        <v>201.375</v>
      </c>
      <c r="E16" s="10">
        <f t="shared" si="1"/>
        <v>206.3666666666667</v>
      </c>
      <c r="F16" s="10">
        <f t="shared" si="1"/>
        <v>211.02500000000001</v>
      </c>
      <c r="G16" s="10">
        <f t="shared" si="1"/>
        <v>215.06666666666672</v>
      </c>
      <c r="H16" s="10">
        <f t="shared" si="1"/>
        <v>222.35</v>
      </c>
      <c r="I16" s="10">
        <f t="shared" si="1"/>
        <v>231.28333333333333</v>
      </c>
      <c r="J16" s="10">
        <f t="shared" si="1"/>
        <v>241.625</v>
      </c>
      <c r="K16" s="10">
        <f t="shared" si="1"/>
        <v>243.79166666666666</v>
      </c>
      <c r="L16" s="10">
        <f t="shared" si="1"/>
        <v>246.69999999999993</v>
      </c>
      <c r="M16" s="10">
        <f t="shared" si="1"/>
        <v>257.12500000000006</v>
      </c>
      <c r="N16" s="10">
        <f t="shared" si="1"/>
        <v>265.33333333333331</v>
      </c>
      <c r="O16" s="10">
        <f t="shared" si="1"/>
        <v>271.43333333333334</v>
      </c>
      <c r="P16" s="10">
        <f t="shared" si="1"/>
        <v>278.05</v>
      </c>
      <c r="Q16" s="10">
        <f t="shared" si="1"/>
        <v>288.3</v>
      </c>
      <c r="R16" s="10">
        <f t="shared" si="1"/>
        <v>298.2833333333333</v>
      </c>
      <c r="S16" s="10">
        <f t="shared" si="1"/>
        <v>307.04166666666669</v>
      </c>
      <c r="T16" s="10">
        <f t="shared" si="1"/>
        <v>316.64166666666665</v>
      </c>
      <c r="U16" s="10">
        <f t="shared" si="1"/>
        <v>324.99166666666662</v>
      </c>
      <c r="V16" s="10">
        <f t="shared" si="1"/>
        <v>330.41666666666669</v>
      </c>
      <c r="W16" s="10">
        <f t="shared" si="1"/>
        <v>342.07499999999999</v>
      </c>
      <c r="X16" s="10">
        <f t="shared" si="1"/>
        <v>356.05833333333339</v>
      </c>
      <c r="Y16" s="10">
        <f t="shared" si="1"/>
        <v>370.875</v>
      </c>
      <c r="Z16" s="10">
        <f t="shared" si="1"/>
        <v>370.875</v>
      </c>
    </row>
    <row r="17" spans="1:26" x14ac:dyDescent="0.25">
      <c r="A17" t="s">
        <v>17</v>
      </c>
      <c r="B17" s="10">
        <f t="shared" ref="B17:Z17" si="2">SUM(B2+B7+B10)/3</f>
        <v>184.30000000000004</v>
      </c>
      <c r="C17" s="10">
        <f t="shared" si="2"/>
        <v>194</v>
      </c>
      <c r="D17" s="10">
        <f t="shared" si="2"/>
        <v>200.23333333333335</v>
      </c>
      <c r="E17" s="10">
        <f t="shared" si="2"/>
        <v>204.66666666666666</v>
      </c>
      <c r="F17" s="10">
        <f t="shared" si="2"/>
        <v>208.33333333333334</v>
      </c>
      <c r="G17" s="10">
        <f t="shared" si="2"/>
        <v>212.13333333333333</v>
      </c>
      <c r="H17" s="10">
        <f t="shared" si="2"/>
        <v>219.26666666666665</v>
      </c>
      <c r="I17" s="10">
        <f t="shared" si="2"/>
        <v>227.70000000000002</v>
      </c>
      <c r="J17" s="10">
        <f t="shared" si="2"/>
        <v>237.80000000000004</v>
      </c>
      <c r="K17" s="10">
        <f t="shared" si="2"/>
        <v>237.33333333333334</v>
      </c>
      <c r="L17" s="10">
        <f t="shared" si="2"/>
        <v>239.16666666666666</v>
      </c>
      <c r="M17" s="10">
        <f t="shared" si="2"/>
        <v>253.36666666666665</v>
      </c>
      <c r="N17" s="10">
        <f t="shared" si="2"/>
        <v>262.16666666666669</v>
      </c>
      <c r="O17" s="10">
        <f t="shared" si="2"/>
        <v>268.63333333333333</v>
      </c>
      <c r="P17" s="10">
        <f t="shared" si="2"/>
        <v>275.43333333333334</v>
      </c>
      <c r="Q17" s="10">
        <f t="shared" si="2"/>
        <v>286.90000000000003</v>
      </c>
      <c r="R17" s="10">
        <f t="shared" si="2"/>
        <v>298.26666666666665</v>
      </c>
      <c r="S17" s="10">
        <f t="shared" si="2"/>
        <v>308.56666666666666</v>
      </c>
      <c r="T17" s="10">
        <f t="shared" si="2"/>
        <v>319.20000000000005</v>
      </c>
      <c r="U17" s="10">
        <f t="shared" si="2"/>
        <v>329.59999999999997</v>
      </c>
      <c r="V17" s="10">
        <f t="shared" si="2"/>
        <v>335.73333333333335</v>
      </c>
      <c r="W17" s="10">
        <f t="shared" si="2"/>
        <v>348.09999999999997</v>
      </c>
      <c r="X17" s="10">
        <f t="shared" si="2"/>
        <v>365.9666666666667</v>
      </c>
      <c r="Y17" s="10">
        <f t="shared" si="2"/>
        <v>382.9666666666667</v>
      </c>
      <c r="Z17" s="10">
        <f t="shared" si="2"/>
        <v>382.9666666666667</v>
      </c>
    </row>
    <row r="18" spans="1:26" x14ac:dyDescent="0.25">
      <c r="A18" t="s">
        <v>13</v>
      </c>
      <c r="B18" s="10">
        <f t="shared" ref="B18:Z18" si="3">SUM(B2+B3+B7+B10)/4</f>
        <v>184.8</v>
      </c>
      <c r="C18" s="10">
        <f t="shared" si="3"/>
        <v>194.57499999999999</v>
      </c>
      <c r="D18" s="10">
        <f t="shared" si="3"/>
        <v>201.07499999999999</v>
      </c>
      <c r="E18" s="10">
        <f t="shared" si="3"/>
        <v>205.75</v>
      </c>
      <c r="F18" s="10">
        <f t="shared" si="3"/>
        <v>209.5</v>
      </c>
      <c r="G18" s="10">
        <f t="shared" si="3"/>
        <v>213.3</v>
      </c>
      <c r="H18" s="10">
        <f t="shared" si="3"/>
        <v>220.32499999999999</v>
      </c>
      <c r="I18" s="10">
        <f t="shared" si="3"/>
        <v>228.82499999999999</v>
      </c>
      <c r="J18" s="10">
        <f t="shared" si="3"/>
        <v>238.85000000000002</v>
      </c>
      <c r="K18" s="10">
        <f t="shared" si="3"/>
        <v>239.22499999999999</v>
      </c>
      <c r="L18" s="10">
        <f t="shared" si="3"/>
        <v>241.29999999999998</v>
      </c>
      <c r="M18" s="10">
        <f t="shared" si="3"/>
        <v>254.17500000000001</v>
      </c>
      <c r="N18" s="10">
        <f t="shared" si="3"/>
        <v>262.875</v>
      </c>
      <c r="O18" s="10">
        <f t="shared" si="3"/>
        <v>269.20000000000005</v>
      </c>
      <c r="P18" s="10">
        <f t="shared" si="3"/>
        <v>276.45</v>
      </c>
      <c r="Q18" s="10">
        <f t="shared" si="3"/>
        <v>287.625</v>
      </c>
      <c r="R18" s="10">
        <f t="shared" si="3"/>
        <v>298.7</v>
      </c>
      <c r="S18" s="10">
        <f t="shared" si="3"/>
        <v>308.45000000000005</v>
      </c>
      <c r="T18" s="10">
        <f t="shared" si="3"/>
        <v>318.45</v>
      </c>
      <c r="U18" s="10">
        <f t="shared" si="3"/>
        <v>328.07500000000005</v>
      </c>
      <c r="V18" s="10">
        <f t="shared" si="3"/>
        <v>333.90000000000003</v>
      </c>
      <c r="W18" s="10">
        <f t="shared" si="3"/>
        <v>345.3</v>
      </c>
      <c r="X18" s="10">
        <f t="shared" si="3"/>
        <v>362.25</v>
      </c>
      <c r="Y18" s="10">
        <f t="shared" si="3"/>
        <v>378.22500000000002</v>
      </c>
      <c r="Z18" s="10">
        <f t="shared" si="3"/>
        <v>378.22500000000002</v>
      </c>
    </row>
    <row r="19" spans="1:26" x14ac:dyDescent="0.25">
      <c r="A19" t="s">
        <v>14</v>
      </c>
      <c r="B19" s="10">
        <f t="shared" ref="B19:Z19" si="4">(B4+B5+B6+B8+B9+B11+B12+B13)/8</f>
        <v>185.58750000000001</v>
      </c>
      <c r="C19" s="10">
        <f t="shared" si="4"/>
        <v>193.8125</v>
      </c>
      <c r="D19" s="10">
        <f t="shared" si="4"/>
        <v>201.52500000000001</v>
      </c>
      <c r="E19" s="10">
        <f t="shared" si="4"/>
        <v>206.67499999999995</v>
      </c>
      <c r="F19" s="10">
        <f t="shared" si="4"/>
        <v>211.78749999999997</v>
      </c>
      <c r="G19" s="10">
        <f t="shared" si="4"/>
        <v>215.95</v>
      </c>
      <c r="H19" s="10">
        <f t="shared" si="4"/>
        <v>223.36250000000001</v>
      </c>
      <c r="I19" s="10">
        <f t="shared" si="4"/>
        <v>232.51250000000002</v>
      </c>
      <c r="J19" s="10">
        <f t="shared" si="4"/>
        <v>243.01250000000002</v>
      </c>
      <c r="K19" s="10">
        <f t="shared" si="4"/>
        <v>246.07500000000002</v>
      </c>
      <c r="L19" s="10">
        <f t="shared" si="4"/>
        <v>249.39999999999998</v>
      </c>
      <c r="M19" s="10">
        <f t="shared" si="4"/>
        <v>258.60000000000002</v>
      </c>
      <c r="N19" s="10">
        <f t="shared" si="4"/>
        <v>266.56249999999994</v>
      </c>
      <c r="O19" s="10">
        <f t="shared" si="4"/>
        <v>272.55</v>
      </c>
      <c r="P19" s="10">
        <f t="shared" si="4"/>
        <v>278.85000000000002</v>
      </c>
      <c r="Q19" s="10">
        <f t="shared" si="4"/>
        <v>288.63749999999993</v>
      </c>
      <c r="R19" s="10">
        <f t="shared" si="4"/>
        <v>298.07499999999993</v>
      </c>
      <c r="S19" s="10">
        <f t="shared" si="4"/>
        <v>306.33750000000003</v>
      </c>
      <c r="T19" s="10">
        <f t="shared" si="4"/>
        <v>315.73750000000001</v>
      </c>
      <c r="U19" s="10">
        <f t="shared" si="4"/>
        <v>323.45</v>
      </c>
      <c r="V19" s="10">
        <f t="shared" si="4"/>
        <v>328.67500000000001</v>
      </c>
      <c r="W19" s="10">
        <f t="shared" si="4"/>
        <v>340.46249999999998</v>
      </c>
      <c r="X19" s="10">
        <f t="shared" si="4"/>
        <v>352.96249999999998</v>
      </c>
      <c r="Y19" s="10">
        <f t="shared" si="4"/>
        <v>367.20000000000005</v>
      </c>
      <c r="Z19" s="10">
        <f t="shared" si="4"/>
        <v>367.20000000000005</v>
      </c>
    </row>
    <row r="20" spans="1:26" x14ac:dyDescent="0.25">
      <c r="A20" t="s">
        <v>20</v>
      </c>
      <c r="B20" s="10">
        <f t="shared" ref="B20:Z20" si="5">(B6+B8+B9+B11+B12+B13)/6</f>
        <v>185.55000000000004</v>
      </c>
      <c r="C20" s="10">
        <f t="shared" si="5"/>
        <v>194.11666666666667</v>
      </c>
      <c r="D20" s="10">
        <f t="shared" si="5"/>
        <v>201.70000000000002</v>
      </c>
      <c r="E20" s="10">
        <f t="shared" si="5"/>
        <v>207.18333333333337</v>
      </c>
      <c r="F20" s="10">
        <f t="shared" si="5"/>
        <v>212.43333333333331</v>
      </c>
      <c r="G20" s="10">
        <f t="shared" si="5"/>
        <v>216.73333333333335</v>
      </c>
      <c r="H20" s="10">
        <f t="shared" si="5"/>
        <v>224.29999999999998</v>
      </c>
      <c r="I20" s="10">
        <f t="shared" si="5"/>
        <v>233.65</v>
      </c>
      <c r="J20" s="10">
        <f t="shared" si="5"/>
        <v>243.98333333333335</v>
      </c>
      <c r="K20" s="10">
        <f t="shared" si="5"/>
        <v>246.95000000000002</v>
      </c>
      <c r="L20" s="10">
        <f t="shared" si="5"/>
        <v>250.08333333333334</v>
      </c>
      <c r="M20" s="10">
        <f t="shared" si="5"/>
        <v>259.51666666666665</v>
      </c>
      <c r="N20" s="10">
        <f t="shared" si="5"/>
        <v>267.48333333333335</v>
      </c>
      <c r="O20" s="10">
        <f t="shared" si="5"/>
        <v>273.43333333333334</v>
      </c>
      <c r="P20" s="10">
        <f t="shared" si="5"/>
        <v>279.51666666666665</v>
      </c>
      <c r="Q20" s="10">
        <f t="shared" si="5"/>
        <v>288.99999999999994</v>
      </c>
      <c r="R20" s="10">
        <f t="shared" si="5"/>
        <v>298.43333333333334</v>
      </c>
      <c r="S20" s="10">
        <f t="shared" si="5"/>
        <v>306.5</v>
      </c>
      <c r="T20" s="10">
        <f t="shared" si="5"/>
        <v>315.88333333333333</v>
      </c>
      <c r="U20" s="10">
        <f t="shared" si="5"/>
        <v>323.0333333333333</v>
      </c>
      <c r="V20" s="10">
        <f t="shared" si="5"/>
        <v>328.08333333333337</v>
      </c>
      <c r="W20" s="10">
        <f t="shared" si="5"/>
        <v>339.73333333333341</v>
      </c>
      <c r="X20" s="10">
        <f t="shared" si="5"/>
        <v>352.23333333333335</v>
      </c>
      <c r="Y20" s="10">
        <f t="shared" si="5"/>
        <v>366.20000000000005</v>
      </c>
      <c r="Z20" s="10">
        <f t="shared" si="5"/>
        <v>366.20000000000005</v>
      </c>
    </row>
    <row r="21" spans="1:26" x14ac:dyDescent="0.25">
      <c r="A21" t="s">
        <v>34</v>
      </c>
      <c r="B21" s="10">
        <f t="shared" ref="B21:Z21" si="6">(B5+B6+B8+B9+B11+B12+B13)/7</f>
        <v>184.90000000000003</v>
      </c>
      <c r="C21" s="10">
        <f t="shared" si="6"/>
        <v>193.28571428571428</v>
      </c>
      <c r="D21" s="10">
        <f t="shared" si="6"/>
        <v>200.87142857142859</v>
      </c>
      <c r="E21" s="10">
        <f t="shared" si="6"/>
        <v>206.31428571428572</v>
      </c>
      <c r="F21" s="10">
        <f t="shared" si="6"/>
        <v>211.51428571428568</v>
      </c>
      <c r="G21" s="10">
        <f t="shared" si="6"/>
        <v>215.84285714285716</v>
      </c>
      <c r="H21" s="10">
        <f t="shared" si="6"/>
        <v>223.35714285714286</v>
      </c>
      <c r="I21" s="10">
        <f t="shared" si="6"/>
        <v>232.71428571428575</v>
      </c>
      <c r="J21" s="10">
        <f t="shared" si="6"/>
        <v>243.05714285714288</v>
      </c>
      <c r="K21" s="10">
        <f t="shared" si="6"/>
        <v>246.15714285714287</v>
      </c>
      <c r="L21" s="10">
        <f t="shared" si="6"/>
        <v>249.48571428571429</v>
      </c>
      <c r="M21" s="10">
        <f t="shared" si="6"/>
        <v>258.75714285714287</v>
      </c>
      <c r="N21" s="10">
        <f t="shared" si="6"/>
        <v>266.6571428571429</v>
      </c>
      <c r="O21" s="10">
        <f t="shared" si="6"/>
        <v>272.51428571428568</v>
      </c>
      <c r="P21" s="10">
        <f t="shared" si="6"/>
        <v>278.7285714285714</v>
      </c>
      <c r="Q21" s="10">
        <f t="shared" si="6"/>
        <v>288.12857142857143</v>
      </c>
      <c r="R21" s="10">
        <f t="shared" si="6"/>
        <v>297.55714285714288</v>
      </c>
      <c r="S21" s="10">
        <f t="shared" si="6"/>
        <v>305.8</v>
      </c>
      <c r="T21" s="10">
        <f t="shared" si="6"/>
        <v>315.31428571428569</v>
      </c>
      <c r="U21" s="10">
        <f t="shared" si="6"/>
        <v>322.65714285714284</v>
      </c>
      <c r="V21" s="10">
        <f t="shared" si="6"/>
        <v>327.90000000000003</v>
      </c>
      <c r="W21" s="10">
        <f t="shared" si="6"/>
        <v>339.7</v>
      </c>
      <c r="X21" s="10">
        <f t="shared" si="6"/>
        <v>352.2</v>
      </c>
      <c r="Y21" s="10">
        <f t="shared" si="6"/>
        <v>366.27142857142866</v>
      </c>
      <c r="Z21" s="10">
        <f t="shared" si="6"/>
        <v>366.27142857142866</v>
      </c>
    </row>
    <row r="22" spans="1:26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t="s">
        <v>15</v>
      </c>
      <c r="B23" s="10">
        <f t="shared" ref="B23:Z23" si="7">(B4+B5)/2</f>
        <v>185.7</v>
      </c>
      <c r="C23" s="10">
        <f t="shared" si="7"/>
        <v>192.9</v>
      </c>
      <c r="D23" s="10">
        <f t="shared" si="7"/>
        <v>201</v>
      </c>
      <c r="E23" s="10">
        <f t="shared" si="7"/>
        <v>205.14999999999998</v>
      </c>
      <c r="F23" s="10">
        <f t="shared" si="7"/>
        <v>209.85</v>
      </c>
      <c r="G23" s="10">
        <f t="shared" si="7"/>
        <v>213.6</v>
      </c>
      <c r="H23" s="10">
        <f t="shared" si="7"/>
        <v>220.55</v>
      </c>
      <c r="I23" s="10">
        <f t="shared" si="7"/>
        <v>229.1</v>
      </c>
      <c r="J23" s="10">
        <f t="shared" si="7"/>
        <v>240.1</v>
      </c>
      <c r="K23" s="10">
        <f t="shared" si="7"/>
        <v>243.45</v>
      </c>
      <c r="L23" s="10">
        <f t="shared" si="7"/>
        <v>247.35000000000002</v>
      </c>
      <c r="M23" s="10">
        <f t="shared" si="7"/>
        <v>255.85</v>
      </c>
      <c r="N23" s="10">
        <f t="shared" si="7"/>
        <v>263.79999999999995</v>
      </c>
      <c r="O23" s="10">
        <f t="shared" si="7"/>
        <v>269.89999999999998</v>
      </c>
      <c r="P23" s="10">
        <f t="shared" si="7"/>
        <v>276.85000000000002</v>
      </c>
      <c r="Q23" s="10">
        <f t="shared" si="7"/>
        <v>287.54999999999995</v>
      </c>
      <c r="R23" s="10">
        <f t="shared" si="7"/>
        <v>297</v>
      </c>
      <c r="S23" s="10">
        <f t="shared" si="7"/>
        <v>305.85000000000002</v>
      </c>
      <c r="T23" s="10">
        <f t="shared" si="7"/>
        <v>315.29999999999995</v>
      </c>
      <c r="U23" s="10">
        <f t="shared" si="7"/>
        <v>324.7</v>
      </c>
      <c r="V23" s="10">
        <f t="shared" si="7"/>
        <v>330.45000000000005</v>
      </c>
      <c r="W23" s="10">
        <f t="shared" si="7"/>
        <v>342.65</v>
      </c>
      <c r="X23" s="10">
        <f t="shared" si="7"/>
        <v>355.15</v>
      </c>
      <c r="Y23" s="10">
        <f t="shared" si="7"/>
        <v>370.2</v>
      </c>
      <c r="Z23" s="10">
        <f t="shared" si="7"/>
        <v>370.2</v>
      </c>
    </row>
    <row r="24" spans="1:26" x14ac:dyDescent="0.25">
      <c r="A24" t="s">
        <v>35</v>
      </c>
    </row>
    <row r="25" spans="1:26" x14ac:dyDescent="0.25">
      <c r="A25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2F77-5D61-4E51-AEC2-CC6E3A18CC78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502.5</v>
      </c>
      <c r="C2">
        <v>504.3</v>
      </c>
      <c r="D2" s="1">
        <v>508.5</v>
      </c>
      <c r="E2" s="1">
        <v>522.29999999999995</v>
      </c>
      <c r="F2" s="1">
        <v>556.4</v>
      </c>
      <c r="G2" s="1">
        <v>599</v>
      </c>
      <c r="H2" s="1">
        <v>613.6</v>
      </c>
      <c r="I2" s="1">
        <v>665.5</v>
      </c>
      <c r="J2" s="1">
        <v>675</v>
      </c>
      <c r="K2" s="1">
        <v>668</v>
      </c>
      <c r="L2" s="1">
        <v>683</v>
      </c>
      <c r="M2" s="1">
        <v>723.3</v>
      </c>
      <c r="N2" s="1">
        <v>769.6</v>
      </c>
      <c r="O2" s="1">
        <v>785.1</v>
      </c>
      <c r="P2" s="1">
        <v>835.2</v>
      </c>
      <c r="Q2" s="1">
        <v>894.2</v>
      </c>
      <c r="R2" s="1">
        <v>882.8</v>
      </c>
      <c r="S2" s="1">
        <v>878.6</v>
      </c>
      <c r="T2" s="1">
        <v>917.5</v>
      </c>
      <c r="U2" s="1">
        <v>965.8</v>
      </c>
      <c r="V2" s="1">
        <v>957.1</v>
      </c>
      <c r="W2" s="1">
        <v>1053</v>
      </c>
      <c r="X2" s="1">
        <v>1143.2</v>
      </c>
      <c r="Y2" s="1">
        <v>1166.3</v>
      </c>
      <c r="Z2" s="12">
        <f>+Y2</f>
        <v>1166.3</v>
      </c>
      <c r="AA2" s="12">
        <f>+Z2</f>
        <v>1166.3</v>
      </c>
    </row>
    <row r="3" spans="1:27" x14ac:dyDescent="0.25">
      <c r="A3" t="s">
        <v>2</v>
      </c>
      <c r="B3">
        <v>228.9</v>
      </c>
      <c r="C3">
        <v>251.7</v>
      </c>
      <c r="D3" s="1">
        <v>266.3</v>
      </c>
      <c r="E3" s="1">
        <v>277.7</v>
      </c>
      <c r="F3" s="1">
        <v>276.10000000000002</v>
      </c>
      <c r="G3" s="1">
        <v>290.10000000000002</v>
      </c>
      <c r="H3" s="1">
        <v>301.8</v>
      </c>
      <c r="I3" s="1">
        <v>314.10000000000002</v>
      </c>
      <c r="J3" s="1">
        <v>320.10000000000002</v>
      </c>
      <c r="K3" s="1">
        <v>322.39999999999998</v>
      </c>
      <c r="L3" s="1">
        <v>325.39999999999998</v>
      </c>
      <c r="M3" s="1">
        <v>345</v>
      </c>
      <c r="N3" s="1">
        <v>418.3</v>
      </c>
      <c r="O3" s="1">
        <v>438</v>
      </c>
      <c r="P3" s="1">
        <v>453.3</v>
      </c>
      <c r="Q3" s="1">
        <v>478</v>
      </c>
      <c r="R3" s="1">
        <v>501.3</v>
      </c>
      <c r="S3" s="1">
        <v>520</v>
      </c>
      <c r="T3" s="1">
        <v>516</v>
      </c>
      <c r="U3" s="1">
        <v>536.29999999999995</v>
      </c>
      <c r="V3" s="1">
        <v>536.1</v>
      </c>
      <c r="W3" s="1">
        <v>566.5</v>
      </c>
      <c r="X3" s="1">
        <v>648.70000000000005</v>
      </c>
      <c r="Y3" s="1">
        <v>662.6</v>
      </c>
      <c r="Z3" s="12">
        <f t="shared" ref="Z3:AA18" si="0">+Y3</f>
        <v>662.6</v>
      </c>
      <c r="AA3" s="12">
        <f t="shared" si="0"/>
        <v>662.6</v>
      </c>
    </row>
    <row r="4" spans="1:27" x14ac:dyDescent="0.25">
      <c r="A4" t="s">
        <v>3</v>
      </c>
      <c r="B4">
        <v>256.60000000000002</v>
      </c>
      <c r="C4">
        <v>259.39999999999998</v>
      </c>
      <c r="D4" s="1">
        <v>284.2</v>
      </c>
      <c r="E4" s="1">
        <v>287.39999999999998</v>
      </c>
      <c r="F4" s="1">
        <v>304.7</v>
      </c>
      <c r="G4" s="1">
        <v>310.89999999999998</v>
      </c>
      <c r="H4" s="1">
        <v>329.4</v>
      </c>
      <c r="I4" s="1">
        <v>356.2</v>
      </c>
      <c r="J4" s="1">
        <v>341.1</v>
      </c>
      <c r="K4" s="1">
        <v>352.5</v>
      </c>
      <c r="L4" s="1">
        <v>363.9</v>
      </c>
      <c r="M4" s="1">
        <v>370.7</v>
      </c>
      <c r="N4" s="1">
        <v>419.4</v>
      </c>
      <c r="O4" s="1">
        <v>450.3</v>
      </c>
      <c r="P4" s="1">
        <v>469.7</v>
      </c>
      <c r="Q4" s="1">
        <v>508.4</v>
      </c>
      <c r="R4" s="1">
        <v>511.3</v>
      </c>
      <c r="S4" s="1">
        <v>524.1</v>
      </c>
      <c r="T4" s="1">
        <v>523.9</v>
      </c>
      <c r="U4" s="1">
        <v>565.20000000000005</v>
      </c>
      <c r="V4" s="1">
        <v>567.4</v>
      </c>
      <c r="W4" s="1">
        <v>602</v>
      </c>
      <c r="X4" s="1">
        <v>620.6</v>
      </c>
      <c r="Y4" s="1">
        <v>667.3</v>
      </c>
      <c r="Z4" s="12">
        <f t="shared" si="0"/>
        <v>667.3</v>
      </c>
      <c r="AA4" s="12">
        <f t="shared" si="0"/>
        <v>667.3</v>
      </c>
    </row>
    <row r="5" spans="1:27" x14ac:dyDescent="0.25">
      <c r="A5" t="s">
        <v>4</v>
      </c>
      <c r="B5">
        <v>233.8</v>
      </c>
      <c r="C5">
        <v>252.1</v>
      </c>
      <c r="D5" s="1">
        <v>254.2</v>
      </c>
      <c r="E5" s="1">
        <v>260.2</v>
      </c>
      <c r="F5" s="1">
        <v>258</v>
      </c>
      <c r="G5" s="1">
        <v>265.2</v>
      </c>
      <c r="H5" s="1">
        <v>276.39999999999998</v>
      </c>
      <c r="I5" s="1">
        <v>287.3</v>
      </c>
      <c r="J5" s="1">
        <v>294.3</v>
      </c>
      <c r="K5" s="1">
        <v>290.8</v>
      </c>
      <c r="L5" s="1">
        <v>298.7</v>
      </c>
      <c r="M5" s="1">
        <v>313</v>
      </c>
      <c r="N5" s="1">
        <v>333.9</v>
      </c>
      <c r="O5" s="1">
        <v>330.7</v>
      </c>
      <c r="P5" s="1">
        <v>336.2</v>
      </c>
      <c r="Q5" s="1">
        <v>341.5</v>
      </c>
      <c r="R5" s="1">
        <v>355.2</v>
      </c>
      <c r="S5" s="1">
        <v>384.7</v>
      </c>
      <c r="T5" s="1">
        <v>426.1</v>
      </c>
      <c r="U5" s="1">
        <v>404</v>
      </c>
      <c r="V5" s="1">
        <v>407.9</v>
      </c>
      <c r="W5" s="1">
        <v>439.3</v>
      </c>
      <c r="X5" s="1">
        <v>475.5</v>
      </c>
      <c r="Y5" s="1">
        <v>485.4</v>
      </c>
      <c r="Z5" s="12">
        <f t="shared" si="0"/>
        <v>485.4</v>
      </c>
      <c r="AA5" s="12">
        <f t="shared" si="0"/>
        <v>485.4</v>
      </c>
    </row>
    <row r="6" spans="1:27" x14ac:dyDescent="0.25">
      <c r="A6" t="s">
        <v>5</v>
      </c>
      <c r="B6">
        <v>253</v>
      </c>
      <c r="C6">
        <v>262</v>
      </c>
      <c r="D6" s="1">
        <v>271.89999999999998</v>
      </c>
      <c r="E6" s="1">
        <v>285</v>
      </c>
      <c r="F6" s="1">
        <v>301.8</v>
      </c>
      <c r="G6" s="1">
        <v>299</v>
      </c>
      <c r="H6" s="1">
        <v>316.2</v>
      </c>
      <c r="I6" s="1">
        <v>338.4</v>
      </c>
      <c r="J6" s="1">
        <v>344.7</v>
      </c>
      <c r="K6" s="1">
        <v>320.2</v>
      </c>
      <c r="L6" s="1">
        <v>337.9</v>
      </c>
      <c r="M6" s="1">
        <v>362.7</v>
      </c>
      <c r="N6" s="1">
        <v>379.7</v>
      </c>
      <c r="O6" s="1">
        <v>377.2</v>
      </c>
      <c r="P6" s="1">
        <v>396.6</v>
      </c>
      <c r="Q6" s="1">
        <v>411.7</v>
      </c>
      <c r="R6" s="1">
        <v>435.4</v>
      </c>
      <c r="S6" s="1">
        <v>459.8</v>
      </c>
      <c r="T6" s="1">
        <v>469.3</v>
      </c>
      <c r="U6" s="1">
        <v>491.1</v>
      </c>
      <c r="V6" s="1">
        <v>492</v>
      </c>
      <c r="W6" s="1">
        <v>526.1</v>
      </c>
      <c r="X6" s="1">
        <v>541.9</v>
      </c>
      <c r="Y6" s="1">
        <v>559.4</v>
      </c>
      <c r="Z6" s="12">
        <f t="shared" si="0"/>
        <v>559.4</v>
      </c>
      <c r="AA6" s="12">
        <f t="shared" si="0"/>
        <v>559.4</v>
      </c>
    </row>
    <row r="7" spans="1:27" x14ac:dyDescent="0.25">
      <c r="A7" t="s">
        <v>6</v>
      </c>
      <c r="B7">
        <v>293.3</v>
      </c>
      <c r="C7">
        <v>305.89999999999998</v>
      </c>
      <c r="D7" s="1">
        <v>311.60000000000002</v>
      </c>
      <c r="E7" s="1">
        <v>320.39999999999998</v>
      </c>
      <c r="F7" s="1">
        <v>342.1</v>
      </c>
      <c r="G7" s="1">
        <v>349.3</v>
      </c>
      <c r="H7" s="1">
        <v>369.4</v>
      </c>
      <c r="I7" s="1">
        <v>393.5</v>
      </c>
      <c r="J7" s="1">
        <v>403.2</v>
      </c>
      <c r="K7" s="1">
        <v>398.1</v>
      </c>
      <c r="L7" s="1">
        <v>396.1</v>
      </c>
      <c r="M7" s="1">
        <v>410</v>
      </c>
      <c r="N7" s="1">
        <v>437.6</v>
      </c>
      <c r="O7" s="1">
        <v>438.9</v>
      </c>
      <c r="P7" s="1">
        <v>466.2</v>
      </c>
      <c r="Q7" s="1">
        <v>492</v>
      </c>
      <c r="R7" s="1">
        <v>475.4</v>
      </c>
      <c r="S7" s="1">
        <v>527.1</v>
      </c>
      <c r="T7" s="1">
        <v>540.79999999999995</v>
      </c>
      <c r="U7" s="1">
        <v>572</v>
      </c>
      <c r="V7" s="1">
        <v>575.9</v>
      </c>
      <c r="W7" s="1">
        <v>623.5</v>
      </c>
      <c r="X7" s="1">
        <v>659.2</v>
      </c>
      <c r="Y7" s="1">
        <v>686.9</v>
      </c>
      <c r="Z7" s="12">
        <f t="shared" si="0"/>
        <v>686.9</v>
      </c>
      <c r="AA7" s="12">
        <f t="shared" si="0"/>
        <v>686.9</v>
      </c>
    </row>
    <row r="8" spans="1:27" x14ac:dyDescent="0.25">
      <c r="A8" t="s">
        <v>7</v>
      </c>
      <c r="B8">
        <v>316.8</v>
      </c>
      <c r="C8">
        <v>323.39999999999998</v>
      </c>
      <c r="D8" s="1">
        <v>358.6</v>
      </c>
      <c r="E8" s="1">
        <v>370.4</v>
      </c>
      <c r="F8" s="1">
        <v>367.9</v>
      </c>
      <c r="G8" s="1">
        <v>392.5</v>
      </c>
      <c r="H8" s="1">
        <v>425.6</v>
      </c>
      <c r="I8" s="1">
        <v>572.79999999999995</v>
      </c>
      <c r="J8" s="1">
        <v>441.8</v>
      </c>
      <c r="K8" s="1">
        <v>351.1</v>
      </c>
      <c r="L8" s="1">
        <v>460.8</v>
      </c>
      <c r="M8" s="1">
        <v>446.4</v>
      </c>
      <c r="N8" s="1">
        <v>508.2</v>
      </c>
      <c r="O8" s="1">
        <v>537.4</v>
      </c>
      <c r="P8" s="1">
        <v>558.5</v>
      </c>
      <c r="Q8" s="1">
        <v>575.1</v>
      </c>
      <c r="R8" s="1">
        <v>478.6</v>
      </c>
      <c r="S8" s="1">
        <v>515.70000000000005</v>
      </c>
      <c r="T8" s="1">
        <v>536.29999999999995</v>
      </c>
      <c r="U8" s="1">
        <v>572.1</v>
      </c>
      <c r="V8" s="1">
        <v>592.20000000000005</v>
      </c>
      <c r="W8" s="1">
        <v>624.9</v>
      </c>
      <c r="X8" s="1">
        <v>667.9</v>
      </c>
      <c r="Y8" s="1">
        <v>689.5</v>
      </c>
      <c r="Z8" s="12">
        <f t="shared" si="0"/>
        <v>689.5</v>
      </c>
      <c r="AA8" s="12">
        <f t="shared" si="0"/>
        <v>689.5</v>
      </c>
    </row>
    <row r="9" spans="1:27" x14ac:dyDescent="0.25">
      <c r="A9" t="s">
        <v>8</v>
      </c>
      <c r="B9">
        <v>281</v>
      </c>
      <c r="C9">
        <v>291.7</v>
      </c>
      <c r="D9" s="1">
        <v>312</v>
      </c>
      <c r="E9" s="1">
        <v>309.39999999999998</v>
      </c>
      <c r="F9" s="1">
        <v>334.3</v>
      </c>
      <c r="G9" s="1">
        <v>355.5</v>
      </c>
      <c r="H9" s="1">
        <v>363.9</v>
      </c>
      <c r="I9" s="1">
        <v>370.4</v>
      </c>
      <c r="J9" s="1">
        <v>362.5</v>
      </c>
      <c r="K9" s="1">
        <v>348</v>
      </c>
      <c r="L9" s="1">
        <v>358.5</v>
      </c>
      <c r="M9" s="1">
        <v>374.6</v>
      </c>
      <c r="N9" s="1">
        <v>395.4</v>
      </c>
      <c r="O9" s="1">
        <v>400.2</v>
      </c>
      <c r="P9" s="1">
        <v>408.7</v>
      </c>
      <c r="Q9" s="1">
        <v>417.7</v>
      </c>
      <c r="R9" s="1">
        <v>433.1</v>
      </c>
      <c r="S9" s="1">
        <v>457.6</v>
      </c>
      <c r="T9" s="1">
        <v>467.5</v>
      </c>
      <c r="U9" s="1">
        <v>480.8</v>
      </c>
      <c r="V9" s="1">
        <v>484</v>
      </c>
      <c r="W9" s="1">
        <v>501.8</v>
      </c>
      <c r="X9" s="1">
        <v>524.29999999999995</v>
      </c>
      <c r="Y9" s="1">
        <v>551.6</v>
      </c>
      <c r="Z9" s="12">
        <f t="shared" si="0"/>
        <v>551.6</v>
      </c>
      <c r="AA9" s="12">
        <f t="shared" si="0"/>
        <v>551.6</v>
      </c>
    </row>
    <row r="10" spans="1:27" x14ac:dyDescent="0.25">
      <c r="A10" t="s">
        <v>9</v>
      </c>
      <c r="B10">
        <v>337.3</v>
      </c>
      <c r="C10">
        <v>366.8</v>
      </c>
      <c r="D10" s="1">
        <v>355.7</v>
      </c>
      <c r="E10" s="1">
        <v>399.5</v>
      </c>
      <c r="F10" s="1">
        <v>402.7</v>
      </c>
      <c r="G10" s="1">
        <v>422.5</v>
      </c>
      <c r="H10" s="1">
        <v>449.8</v>
      </c>
      <c r="I10" s="1">
        <v>466.7</v>
      </c>
      <c r="J10" s="1">
        <v>466.5</v>
      </c>
      <c r="K10" s="1">
        <v>430.7</v>
      </c>
      <c r="L10" s="1">
        <v>464.4</v>
      </c>
      <c r="M10" s="1">
        <v>474.7</v>
      </c>
      <c r="N10" s="1">
        <v>534.1</v>
      </c>
      <c r="O10" s="1">
        <v>542</v>
      </c>
      <c r="P10" s="1">
        <v>565.1</v>
      </c>
      <c r="Q10" s="1">
        <v>628.79999999999995</v>
      </c>
      <c r="R10" s="1">
        <v>654.29999999999995</v>
      </c>
      <c r="S10" s="1">
        <v>673.8</v>
      </c>
      <c r="T10" s="1">
        <v>693.7</v>
      </c>
      <c r="U10" s="1">
        <v>720.6</v>
      </c>
      <c r="V10" s="1">
        <v>683.2</v>
      </c>
      <c r="W10" s="1">
        <v>742.7</v>
      </c>
      <c r="X10" s="1">
        <v>826.5</v>
      </c>
      <c r="Y10" s="1">
        <v>899.5</v>
      </c>
      <c r="Z10" s="12">
        <f t="shared" si="0"/>
        <v>899.5</v>
      </c>
      <c r="AA10" s="12">
        <f t="shared" si="0"/>
        <v>899.5</v>
      </c>
    </row>
    <row r="11" spans="1:27" x14ac:dyDescent="0.25">
      <c r="A11" t="s">
        <v>10</v>
      </c>
      <c r="B11">
        <v>235.7</v>
      </c>
      <c r="C11">
        <v>249.5</v>
      </c>
      <c r="D11" s="1">
        <v>264.7</v>
      </c>
      <c r="E11" s="1">
        <v>275.10000000000002</v>
      </c>
      <c r="F11" s="1">
        <v>288.7</v>
      </c>
      <c r="G11" s="1">
        <v>299.10000000000002</v>
      </c>
      <c r="H11" s="1">
        <v>323</v>
      </c>
      <c r="I11" s="1">
        <v>335.7</v>
      </c>
      <c r="J11" s="1">
        <v>352</v>
      </c>
      <c r="K11" s="1">
        <v>323.5</v>
      </c>
      <c r="L11" s="1">
        <v>351.9</v>
      </c>
      <c r="M11" s="1">
        <v>380.7</v>
      </c>
      <c r="N11" s="1">
        <v>415.6</v>
      </c>
      <c r="O11" s="1">
        <v>397.5</v>
      </c>
      <c r="P11" s="1">
        <v>410.5</v>
      </c>
      <c r="Q11" s="1">
        <v>428.1</v>
      </c>
      <c r="R11" s="1">
        <v>453.5</v>
      </c>
      <c r="S11" s="1">
        <v>473.8</v>
      </c>
      <c r="T11" s="1">
        <v>480.6</v>
      </c>
      <c r="U11" s="1">
        <v>486.4</v>
      </c>
      <c r="V11" s="1">
        <v>492.3</v>
      </c>
      <c r="W11" s="1">
        <v>518.29999999999995</v>
      </c>
      <c r="X11" s="1">
        <v>545.29999999999995</v>
      </c>
      <c r="Y11" s="1">
        <v>589.70000000000005</v>
      </c>
      <c r="Z11" s="12">
        <f t="shared" si="0"/>
        <v>589.70000000000005</v>
      </c>
      <c r="AA11" s="12">
        <f t="shared" si="0"/>
        <v>589.70000000000005</v>
      </c>
    </row>
    <row r="12" spans="1:27" x14ac:dyDescent="0.25">
      <c r="A12" t="s">
        <v>11</v>
      </c>
      <c r="B12">
        <v>261</v>
      </c>
      <c r="C12">
        <v>274.2</v>
      </c>
      <c r="D12" s="1">
        <v>271.2</v>
      </c>
      <c r="E12" s="1">
        <v>284.10000000000002</v>
      </c>
      <c r="F12" s="1">
        <v>286.60000000000002</v>
      </c>
      <c r="G12" s="1">
        <v>291.10000000000002</v>
      </c>
      <c r="H12" s="1">
        <v>311.7</v>
      </c>
      <c r="I12" s="1">
        <v>336.1</v>
      </c>
      <c r="J12" s="1">
        <v>338.6</v>
      </c>
      <c r="K12" s="1">
        <v>329.8</v>
      </c>
      <c r="L12" s="1">
        <v>350.1</v>
      </c>
      <c r="M12" s="1">
        <v>369.9</v>
      </c>
      <c r="N12" s="1">
        <v>379.5</v>
      </c>
      <c r="O12" s="1">
        <v>395.7</v>
      </c>
      <c r="P12" s="1">
        <v>387</v>
      </c>
      <c r="Q12" s="1">
        <v>424.2</v>
      </c>
      <c r="R12" s="1">
        <v>432</v>
      </c>
      <c r="S12" s="1">
        <v>441.7</v>
      </c>
      <c r="T12" s="1">
        <v>449.5</v>
      </c>
      <c r="U12" s="1">
        <v>445.5</v>
      </c>
      <c r="V12" s="1">
        <v>445.9</v>
      </c>
      <c r="W12" s="1">
        <v>463.1</v>
      </c>
      <c r="X12" s="1">
        <v>492.6</v>
      </c>
      <c r="Y12" s="1">
        <v>501.2</v>
      </c>
      <c r="Z12" s="12">
        <f t="shared" si="0"/>
        <v>501.2</v>
      </c>
      <c r="AA12" s="12">
        <f t="shared" si="0"/>
        <v>501.2</v>
      </c>
    </row>
    <row r="13" spans="1:27" x14ac:dyDescent="0.25">
      <c r="A13" t="s">
        <v>12</v>
      </c>
      <c r="B13">
        <v>231.3</v>
      </c>
      <c r="C13">
        <v>251.9</v>
      </c>
      <c r="D13" s="1">
        <v>264.8</v>
      </c>
      <c r="E13" s="1">
        <v>274.60000000000002</v>
      </c>
      <c r="F13" s="1">
        <v>294.89999999999998</v>
      </c>
      <c r="G13" s="1">
        <v>294.60000000000002</v>
      </c>
      <c r="H13" s="1">
        <v>313.8</v>
      </c>
      <c r="I13" s="1">
        <v>315.8</v>
      </c>
      <c r="J13" s="1">
        <v>322.5</v>
      </c>
      <c r="K13" s="1">
        <v>321.39999999999998</v>
      </c>
      <c r="L13" s="1">
        <v>339.6</v>
      </c>
      <c r="M13" s="1">
        <v>341</v>
      </c>
      <c r="N13" s="1">
        <v>376.3</v>
      </c>
      <c r="O13" s="1">
        <v>375.3</v>
      </c>
      <c r="P13" s="1">
        <v>384.9</v>
      </c>
      <c r="Q13" s="1">
        <v>421</v>
      </c>
      <c r="R13" s="1">
        <v>424.1</v>
      </c>
      <c r="S13" s="1">
        <v>437</v>
      </c>
      <c r="T13" s="1">
        <v>449.5</v>
      </c>
      <c r="U13" s="1">
        <v>473.1</v>
      </c>
      <c r="V13" s="1">
        <v>455.9</v>
      </c>
      <c r="W13" s="1">
        <v>521.1</v>
      </c>
      <c r="X13" s="1">
        <v>579</v>
      </c>
      <c r="Y13" s="1">
        <v>610.29999999999995</v>
      </c>
      <c r="Z13" s="12">
        <f t="shared" si="0"/>
        <v>610.29999999999995</v>
      </c>
      <c r="AA13" s="12">
        <f t="shared" si="0"/>
        <v>610.29999999999995</v>
      </c>
    </row>
    <row r="14" spans="1:27" x14ac:dyDescent="0.25">
      <c r="A14" t="s">
        <v>21</v>
      </c>
      <c r="B14">
        <v>234.1</v>
      </c>
      <c r="C14">
        <v>244.7</v>
      </c>
      <c r="D14">
        <v>256.8</v>
      </c>
      <c r="E14">
        <v>258.8</v>
      </c>
      <c r="F14">
        <v>267.2</v>
      </c>
      <c r="G14">
        <v>277.5</v>
      </c>
      <c r="H14">
        <v>291.10000000000002</v>
      </c>
      <c r="I14">
        <v>314.39999999999998</v>
      </c>
      <c r="J14">
        <v>314</v>
      </c>
      <c r="K14">
        <v>316</v>
      </c>
      <c r="L14">
        <v>329.4</v>
      </c>
      <c r="M14">
        <v>339</v>
      </c>
      <c r="N14">
        <v>337.9</v>
      </c>
      <c r="O14">
        <v>347.8</v>
      </c>
      <c r="P14">
        <v>358.9</v>
      </c>
      <c r="Q14">
        <v>377.3</v>
      </c>
      <c r="R14">
        <v>386.6</v>
      </c>
      <c r="S14">
        <v>399.2</v>
      </c>
      <c r="T14">
        <v>414.5</v>
      </c>
      <c r="U14">
        <v>427.1</v>
      </c>
      <c r="V14">
        <v>427.6</v>
      </c>
      <c r="W14">
        <v>458.5</v>
      </c>
      <c r="X14">
        <v>483.2</v>
      </c>
      <c r="Y14">
        <v>516.70000000000005</v>
      </c>
      <c r="Z14" s="12">
        <f t="shared" si="0"/>
        <v>516.70000000000005</v>
      </c>
      <c r="AA14" s="12">
        <f t="shared" si="0"/>
        <v>516.70000000000005</v>
      </c>
    </row>
    <row r="15" spans="1:27" x14ac:dyDescent="0.25">
      <c r="A15" t="s">
        <v>18</v>
      </c>
      <c r="B15" s="3">
        <v>255.3</v>
      </c>
      <c r="C15" s="3">
        <v>264</v>
      </c>
      <c r="D15" s="4">
        <v>273.8</v>
      </c>
      <c r="E15" s="4">
        <v>284.10000000000002</v>
      </c>
      <c r="F15" s="4">
        <v>295.89999999999998</v>
      </c>
      <c r="G15" s="4">
        <v>306.7</v>
      </c>
      <c r="H15" s="4">
        <v>324.3</v>
      </c>
      <c r="I15" s="4">
        <v>341.7</v>
      </c>
      <c r="J15" s="4">
        <v>347.6</v>
      </c>
      <c r="K15" s="4">
        <v>334</v>
      </c>
      <c r="L15" s="4">
        <v>355.9</v>
      </c>
      <c r="M15" s="4">
        <v>368.3</v>
      </c>
      <c r="N15" s="4">
        <v>391.3</v>
      </c>
      <c r="O15" s="4">
        <v>396.3</v>
      </c>
      <c r="P15" s="4">
        <v>408.8</v>
      </c>
      <c r="Q15" s="4">
        <v>431.8</v>
      </c>
      <c r="R15" s="4">
        <v>442.7</v>
      </c>
      <c r="S15" s="4">
        <v>454.9</v>
      </c>
      <c r="T15" s="4">
        <v>469.6</v>
      </c>
      <c r="U15" s="4">
        <v>488.5</v>
      </c>
      <c r="V15" s="4">
        <v>484.2</v>
      </c>
      <c r="W15" s="4">
        <v>520.1</v>
      </c>
      <c r="X15" s="4">
        <v>554.6</v>
      </c>
      <c r="Y15" s="4">
        <v>583</v>
      </c>
      <c r="Z15" s="12">
        <f t="shared" si="0"/>
        <v>583</v>
      </c>
      <c r="AA15" s="12">
        <f t="shared" si="0"/>
        <v>583</v>
      </c>
    </row>
    <row r="16" spans="1:27" x14ac:dyDescent="0.25">
      <c r="A16" t="s">
        <v>16</v>
      </c>
      <c r="B16" s="10">
        <f t="shared" ref="B16:Z16" si="1">SUM(B2:B13)/12</f>
        <v>285.93333333333334</v>
      </c>
      <c r="C16" s="10">
        <f t="shared" si="1"/>
        <v>299.40833333333336</v>
      </c>
      <c r="D16" s="10">
        <f t="shared" si="1"/>
        <v>310.30833333333328</v>
      </c>
      <c r="E16" s="10">
        <f t="shared" si="1"/>
        <v>322.17500000000001</v>
      </c>
      <c r="F16" s="10">
        <f t="shared" si="1"/>
        <v>334.51666666666665</v>
      </c>
      <c r="G16" s="10">
        <f t="shared" si="1"/>
        <v>347.40000000000003</v>
      </c>
      <c r="H16" s="10">
        <f t="shared" si="1"/>
        <v>366.2166666666667</v>
      </c>
      <c r="I16" s="10">
        <f t="shared" si="1"/>
        <v>396.04166666666674</v>
      </c>
      <c r="J16" s="10">
        <f t="shared" si="1"/>
        <v>388.52500000000003</v>
      </c>
      <c r="K16" s="10">
        <f t="shared" si="1"/>
        <v>371.37499999999994</v>
      </c>
      <c r="L16" s="10">
        <f t="shared" si="1"/>
        <v>394.19166666666678</v>
      </c>
      <c r="M16" s="10">
        <f t="shared" si="1"/>
        <v>409.33333333333326</v>
      </c>
      <c r="N16" s="10">
        <f t="shared" si="1"/>
        <v>447.3</v>
      </c>
      <c r="O16" s="10">
        <f t="shared" si="1"/>
        <v>455.69166666666661</v>
      </c>
      <c r="P16" s="10">
        <f t="shared" si="1"/>
        <v>472.6583333333333</v>
      </c>
      <c r="Q16" s="10">
        <f t="shared" si="1"/>
        <v>501.72499999999997</v>
      </c>
      <c r="R16" s="10">
        <f t="shared" si="1"/>
        <v>503.08333333333331</v>
      </c>
      <c r="S16" s="10">
        <f t="shared" si="1"/>
        <v>524.49166666666667</v>
      </c>
      <c r="T16" s="10">
        <f t="shared" si="1"/>
        <v>539.22500000000002</v>
      </c>
      <c r="U16" s="10">
        <f t="shared" si="1"/>
        <v>559.40833333333342</v>
      </c>
      <c r="V16" s="10">
        <f t="shared" si="1"/>
        <v>557.49166666666667</v>
      </c>
      <c r="W16" s="10">
        <f t="shared" si="1"/>
        <v>598.52500000000009</v>
      </c>
      <c r="X16" s="10">
        <f t="shared" si="1"/>
        <v>643.72500000000002</v>
      </c>
      <c r="Y16" s="10">
        <f t="shared" si="1"/>
        <v>672.47500000000002</v>
      </c>
      <c r="Z16" s="10">
        <f t="shared" si="1"/>
        <v>672.47500000000002</v>
      </c>
      <c r="AA16" s="12">
        <f t="shared" si="0"/>
        <v>672.47500000000002</v>
      </c>
    </row>
    <row r="17" spans="1:27" x14ac:dyDescent="0.25">
      <c r="A17" t="s">
        <v>17</v>
      </c>
      <c r="B17" s="10">
        <f t="shared" ref="B17:Z17" si="2">SUM(B2+B7+B10)/3</f>
        <v>377.7</v>
      </c>
      <c r="C17" s="10">
        <f t="shared" si="2"/>
        <v>392.33333333333331</v>
      </c>
      <c r="D17" s="10">
        <f t="shared" si="2"/>
        <v>391.93333333333334</v>
      </c>
      <c r="E17" s="10">
        <f t="shared" si="2"/>
        <v>414.06666666666661</v>
      </c>
      <c r="F17" s="10">
        <f t="shared" si="2"/>
        <v>433.73333333333335</v>
      </c>
      <c r="G17" s="10">
        <f t="shared" si="2"/>
        <v>456.93333333333334</v>
      </c>
      <c r="H17" s="10">
        <f t="shared" si="2"/>
        <v>477.59999999999997</v>
      </c>
      <c r="I17" s="10">
        <f t="shared" si="2"/>
        <v>508.56666666666666</v>
      </c>
      <c r="J17" s="10">
        <f t="shared" si="2"/>
        <v>514.9</v>
      </c>
      <c r="K17" s="10">
        <f t="shared" si="2"/>
        <v>498.93333333333334</v>
      </c>
      <c r="L17" s="10">
        <f t="shared" si="2"/>
        <v>514.5</v>
      </c>
      <c r="M17" s="10">
        <f t="shared" si="2"/>
        <v>536</v>
      </c>
      <c r="N17" s="10">
        <f t="shared" si="2"/>
        <v>580.43333333333339</v>
      </c>
      <c r="O17" s="10">
        <f t="shared" si="2"/>
        <v>588.66666666666663</v>
      </c>
      <c r="P17" s="10">
        <f t="shared" si="2"/>
        <v>622.16666666666663</v>
      </c>
      <c r="Q17" s="10">
        <f t="shared" si="2"/>
        <v>671.66666666666663</v>
      </c>
      <c r="R17" s="10">
        <f t="shared" si="2"/>
        <v>670.83333333333326</v>
      </c>
      <c r="S17" s="10">
        <f t="shared" si="2"/>
        <v>693.16666666666663</v>
      </c>
      <c r="T17" s="10">
        <f t="shared" si="2"/>
        <v>717.33333333333337</v>
      </c>
      <c r="U17" s="10">
        <f t="shared" si="2"/>
        <v>752.80000000000007</v>
      </c>
      <c r="V17" s="10">
        <f t="shared" si="2"/>
        <v>738.73333333333323</v>
      </c>
      <c r="W17" s="10">
        <f t="shared" si="2"/>
        <v>806.4</v>
      </c>
      <c r="X17" s="10">
        <f t="shared" si="2"/>
        <v>876.30000000000007</v>
      </c>
      <c r="Y17" s="10">
        <f t="shared" si="2"/>
        <v>917.56666666666661</v>
      </c>
      <c r="Z17" s="10">
        <f t="shared" si="2"/>
        <v>917.56666666666661</v>
      </c>
      <c r="AA17" s="12">
        <f t="shared" si="0"/>
        <v>917.56666666666661</v>
      </c>
    </row>
    <row r="18" spans="1:27" x14ac:dyDescent="0.25">
      <c r="A18" t="s">
        <v>13</v>
      </c>
      <c r="B18" s="10">
        <f t="shared" ref="B18:Z18" si="3">SUM(B2+B3+B7+B10)/4</f>
        <v>340.5</v>
      </c>
      <c r="C18" s="10">
        <f t="shared" si="3"/>
        <v>357.17500000000001</v>
      </c>
      <c r="D18" s="10">
        <f t="shared" si="3"/>
        <v>360.52500000000003</v>
      </c>
      <c r="E18" s="10">
        <f t="shared" si="3"/>
        <v>379.97500000000002</v>
      </c>
      <c r="F18" s="10">
        <f t="shared" si="3"/>
        <v>394.32499999999999</v>
      </c>
      <c r="G18" s="10">
        <f t="shared" si="3"/>
        <v>415.22500000000002</v>
      </c>
      <c r="H18" s="10">
        <f t="shared" si="3"/>
        <v>433.65000000000003</v>
      </c>
      <c r="I18" s="10">
        <f t="shared" si="3"/>
        <v>459.95</v>
      </c>
      <c r="J18" s="10">
        <f t="shared" si="3"/>
        <v>466.2</v>
      </c>
      <c r="K18" s="10">
        <f t="shared" si="3"/>
        <v>454.8</v>
      </c>
      <c r="L18" s="10">
        <f t="shared" si="3"/>
        <v>467.22500000000002</v>
      </c>
      <c r="M18" s="10">
        <f t="shared" si="3"/>
        <v>488.25</v>
      </c>
      <c r="N18" s="10">
        <f t="shared" si="3"/>
        <v>539.9</v>
      </c>
      <c r="O18" s="10">
        <f t="shared" si="3"/>
        <v>551</v>
      </c>
      <c r="P18" s="10">
        <f t="shared" si="3"/>
        <v>579.95000000000005</v>
      </c>
      <c r="Q18" s="10">
        <f t="shared" si="3"/>
        <v>623.25</v>
      </c>
      <c r="R18" s="10">
        <f t="shared" si="3"/>
        <v>628.45000000000005</v>
      </c>
      <c r="S18" s="10">
        <f t="shared" si="3"/>
        <v>649.875</v>
      </c>
      <c r="T18" s="10">
        <f t="shared" si="3"/>
        <v>667</v>
      </c>
      <c r="U18" s="10">
        <f t="shared" si="3"/>
        <v>698.67499999999995</v>
      </c>
      <c r="V18" s="10">
        <f t="shared" si="3"/>
        <v>688.07500000000005</v>
      </c>
      <c r="W18" s="10">
        <f t="shared" si="3"/>
        <v>746.42499999999995</v>
      </c>
      <c r="X18" s="10">
        <f t="shared" si="3"/>
        <v>819.40000000000009</v>
      </c>
      <c r="Y18" s="10">
        <f t="shared" si="3"/>
        <v>853.82500000000005</v>
      </c>
      <c r="Z18" s="10">
        <f t="shared" si="3"/>
        <v>853.82500000000005</v>
      </c>
      <c r="AA18" s="12">
        <f t="shared" si="0"/>
        <v>853.82500000000005</v>
      </c>
    </row>
    <row r="19" spans="1:27" x14ac:dyDescent="0.25">
      <c r="A19" t="s">
        <v>14</v>
      </c>
      <c r="B19" s="10">
        <f t="shared" ref="B19:Z19" si="4">(B4+B5+B6+B8+B9+B11+B12+B13)/8</f>
        <v>258.65000000000003</v>
      </c>
      <c r="C19" s="10">
        <f t="shared" si="4"/>
        <v>270.52500000000003</v>
      </c>
      <c r="D19" s="10">
        <f t="shared" si="4"/>
        <v>285.20000000000005</v>
      </c>
      <c r="E19" s="10">
        <f t="shared" si="4"/>
        <v>293.27499999999998</v>
      </c>
      <c r="F19" s="10">
        <f t="shared" si="4"/>
        <v>304.61250000000001</v>
      </c>
      <c r="G19" s="10">
        <f t="shared" si="4"/>
        <v>313.48749999999995</v>
      </c>
      <c r="H19" s="10">
        <f t="shared" si="4"/>
        <v>332.5</v>
      </c>
      <c r="I19" s="10">
        <f t="shared" si="4"/>
        <v>364.08749999999998</v>
      </c>
      <c r="J19" s="10">
        <f t="shared" si="4"/>
        <v>349.6875</v>
      </c>
      <c r="K19" s="10">
        <f t="shared" si="4"/>
        <v>329.66250000000002</v>
      </c>
      <c r="L19" s="10">
        <f t="shared" si="4"/>
        <v>357.67499999999995</v>
      </c>
      <c r="M19" s="10">
        <f t="shared" si="4"/>
        <v>369.875</v>
      </c>
      <c r="N19" s="10">
        <f t="shared" si="4"/>
        <v>401</v>
      </c>
      <c r="O19" s="10">
        <f t="shared" si="4"/>
        <v>408.03749999999997</v>
      </c>
      <c r="P19" s="10">
        <f t="shared" si="4"/>
        <v>419.01249999999999</v>
      </c>
      <c r="Q19" s="10">
        <f t="shared" si="4"/>
        <v>440.96249999999992</v>
      </c>
      <c r="R19" s="10">
        <f t="shared" si="4"/>
        <v>440.4</v>
      </c>
      <c r="S19" s="10">
        <f t="shared" si="4"/>
        <v>461.8</v>
      </c>
      <c r="T19" s="10">
        <f t="shared" si="4"/>
        <v>475.33749999999998</v>
      </c>
      <c r="U19" s="10">
        <f t="shared" si="4"/>
        <v>489.77500000000003</v>
      </c>
      <c r="V19" s="10">
        <f t="shared" si="4"/>
        <v>492.20000000000005</v>
      </c>
      <c r="W19" s="10">
        <f t="shared" si="4"/>
        <v>524.57500000000005</v>
      </c>
      <c r="X19" s="10">
        <f t="shared" si="4"/>
        <v>555.88750000000005</v>
      </c>
      <c r="Y19" s="10">
        <f t="shared" si="4"/>
        <v>581.79999999999995</v>
      </c>
      <c r="Z19" s="10">
        <f t="shared" si="4"/>
        <v>581.79999999999995</v>
      </c>
      <c r="AA19" s="12">
        <f t="shared" ref="AA19:AA25" si="5">+Z19</f>
        <v>581.79999999999995</v>
      </c>
    </row>
    <row r="20" spans="1:27" x14ac:dyDescent="0.25">
      <c r="A20" t="s">
        <v>20</v>
      </c>
      <c r="B20" s="10">
        <f t="shared" ref="B20:Z20" si="6">(B6+B8+B9+B11+B12+B13)/6</f>
        <v>263.13333333333333</v>
      </c>
      <c r="C20" s="10">
        <f t="shared" si="6"/>
        <v>275.45</v>
      </c>
      <c r="D20" s="10">
        <f t="shared" si="6"/>
        <v>290.53333333333336</v>
      </c>
      <c r="E20" s="10">
        <f t="shared" si="6"/>
        <v>299.76666666666665</v>
      </c>
      <c r="F20" s="10">
        <f t="shared" si="6"/>
        <v>312.36666666666673</v>
      </c>
      <c r="G20" s="10">
        <f t="shared" si="6"/>
        <v>321.96666666666664</v>
      </c>
      <c r="H20" s="10">
        <f t="shared" si="6"/>
        <v>342.36666666666662</v>
      </c>
      <c r="I20" s="10">
        <f t="shared" si="6"/>
        <v>378.20000000000005</v>
      </c>
      <c r="J20" s="10">
        <f t="shared" si="6"/>
        <v>360.34999999999997</v>
      </c>
      <c r="K20" s="10">
        <f t="shared" si="6"/>
        <v>332.33333333333331</v>
      </c>
      <c r="L20" s="10">
        <f t="shared" si="6"/>
        <v>366.46666666666664</v>
      </c>
      <c r="M20" s="10">
        <f t="shared" si="6"/>
        <v>379.21666666666664</v>
      </c>
      <c r="N20" s="10">
        <f t="shared" si="6"/>
        <v>409.11666666666673</v>
      </c>
      <c r="O20" s="10">
        <f t="shared" si="6"/>
        <v>413.88333333333338</v>
      </c>
      <c r="P20" s="10">
        <f t="shared" si="6"/>
        <v>424.36666666666673</v>
      </c>
      <c r="Q20" s="10">
        <f t="shared" si="6"/>
        <v>446.29999999999995</v>
      </c>
      <c r="R20" s="10">
        <f t="shared" si="6"/>
        <v>442.7833333333333</v>
      </c>
      <c r="S20" s="10">
        <f t="shared" si="6"/>
        <v>464.26666666666665</v>
      </c>
      <c r="T20" s="10">
        <f t="shared" si="6"/>
        <v>475.45</v>
      </c>
      <c r="U20" s="10">
        <f t="shared" si="6"/>
        <v>491.5</v>
      </c>
      <c r="V20" s="10">
        <f t="shared" si="6"/>
        <v>493.7166666666667</v>
      </c>
      <c r="W20" s="10">
        <f t="shared" si="6"/>
        <v>525.88333333333333</v>
      </c>
      <c r="X20" s="10">
        <f t="shared" si="6"/>
        <v>558.49999999999989</v>
      </c>
      <c r="Y20" s="10">
        <f t="shared" si="6"/>
        <v>583.61666666666667</v>
      </c>
      <c r="Z20" s="10">
        <f t="shared" si="6"/>
        <v>583.61666666666667</v>
      </c>
      <c r="AA20" s="12">
        <f t="shared" si="5"/>
        <v>583.61666666666667</v>
      </c>
    </row>
    <row r="21" spans="1:27" x14ac:dyDescent="0.25">
      <c r="A21" t="s">
        <v>34</v>
      </c>
      <c r="B21" s="10">
        <f t="shared" ref="B21:Z21" si="7">(B5+B6+B8+B9+B11+B12+B13)/7</f>
        <v>258.94285714285712</v>
      </c>
      <c r="C21" s="10">
        <f t="shared" si="7"/>
        <v>272.11428571428576</v>
      </c>
      <c r="D21" s="10">
        <f t="shared" si="7"/>
        <v>285.3428571428571</v>
      </c>
      <c r="E21" s="10">
        <f t="shared" si="7"/>
        <v>294.1142857142857</v>
      </c>
      <c r="F21" s="10">
        <f t="shared" si="7"/>
        <v>304.60000000000002</v>
      </c>
      <c r="G21" s="10">
        <f t="shared" si="7"/>
        <v>313.85714285714283</v>
      </c>
      <c r="H21" s="10">
        <f t="shared" si="7"/>
        <v>332.94285714285712</v>
      </c>
      <c r="I21" s="10">
        <f t="shared" si="7"/>
        <v>365.21428571428578</v>
      </c>
      <c r="J21" s="10">
        <f t="shared" si="7"/>
        <v>350.91428571428571</v>
      </c>
      <c r="K21" s="10">
        <f t="shared" si="7"/>
        <v>326.39999999999998</v>
      </c>
      <c r="L21" s="10">
        <f t="shared" si="7"/>
        <v>356.78571428571422</v>
      </c>
      <c r="M21" s="10">
        <f t="shared" si="7"/>
        <v>369.75714285714281</v>
      </c>
      <c r="N21" s="10">
        <f t="shared" si="7"/>
        <v>398.37142857142857</v>
      </c>
      <c r="O21" s="10">
        <f t="shared" si="7"/>
        <v>402</v>
      </c>
      <c r="P21" s="10">
        <f t="shared" si="7"/>
        <v>411.7714285714286</v>
      </c>
      <c r="Q21" s="10">
        <f t="shared" si="7"/>
        <v>431.32857142857148</v>
      </c>
      <c r="R21" s="10">
        <f t="shared" si="7"/>
        <v>430.27142857142854</v>
      </c>
      <c r="S21" s="10">
        <f t="shared" si="7"/>
        <v>452.90000000000003</v>
      </c>
      <c r="T21" s="10">
        <f t="shared" si="7"/>
        <v>468.40000000000003</v>
      </c>
      <c r="U21" s="10">
        <f t="shared" si="7"/>
        <v>479</v>
      </c>
      <c r="V21" s="10">
        <f t="shared" si="7"/>
        <v>481.45714285714291</v>
      </c>
      <c r="W21" s="10">
        <f t="shared" si="7"/>
        <v>513.51428571428573</v>
      </c>
      <c r="X21" s="10">
        <f t="shared" si="7"/>
        <v>546.64285714285711</v>
      </c>
      <c r="Y21" s="10">
        <f t="shared" si="7"/>
        <v>569.58571428571429</v>
      </c>
      <c r="Z21" s="10">
        <f t="shared" si="7"/>
        <v>569.58571428571429</v>
      </c>
      <c r="AA21" s="12">
        <f t="shared" si="5"/>
        <v>569.58571428571429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2"/>
    </row>
    <row r="23" spans="1:27" x14ac:dyDescent="0.25">
      <c r="A23" t="s">
        <v>15</v>
      </c>
      <c r="B23" s="1">
        <f t="shared" ref="B23:Z23" si="8">(B4+B5)/2</f>
        <v>245.20000000000002</v>
      </c>
      <c r="C23" s="1">
        <f t="shared" si="8"/>
        <v>255.75</v>
      </c>
      <c r="D23" s="1">
        <f t="shared" si="8"/>
        <v>269.2</v>
      </c>
      <c r="E23" s="1">
        <f t="shared" si="8"/>
        <v>273.79999999999995</v>
      </c>
      <c r="F23" s="1">
        <f t="shared" si="8"/>
        <v>281.35000000000002</v>
      </c>
      <c r="G23" s="1">
        <f t="shared" si="8"/>
        <v>288.04999999999995</v>
      </c>
      <c r="H23" s="1">
        <f t="shared" si="8"/>
        <v>302.89999999999998</v>
      </c>
      <c r="I23" s="1">
        <f t="shared" si="8"/>
        <v>321.75</v>
      </c>
      <c r="J23" s="1">
        <f t="shared" si="8"/>
        <v>317.70000000000005</v>
      </c>
      <c r="K23" s="1">
        <f t="shared" si="8"/>
        <v>321.64999999999998</v>
      </c>
      <c r="L23" s="1">
        <f t="shared" si="8"/>
        <v>331.29999999999995</v>
      </c>
      <c r="M23" s="1">
        <f t="shared" si="8"/>
        <v>341.85</v>
      </c>
      <c r="N23" s="1">
        <f t="shared" si="8"/>
        <v>376.65</v>
      </c>
      <c r="O23" s="1">
        <f t="shared" si="8"/>
        <v>390.5</v>
      </c>
      <c r="P23" s="1">
        <f t="shared" si="8"/>
        <v>402.95</v>
      </c>
      <c r="Q23" s="1">
        <f t="shared" si="8"/>
        <v>424.95</v>
      </c>
      <c r="R23" s="1">
        <f t="shared" si="8"/>
        <v>433.25</v>
      </c>
      <c r="S23" s="1">
        <f t="shared" si="8"/>
        <v>454.4</v>
      </c>
      <c r="T23" s="1">
        <f t="shared" si="8"/>
        <v>475</v>
      </c>
      <c r="U23" s="1">
        <f t="shared" si="8"/>
        <v>484.6</v>
      </c>
      <c r="V23" s="1">
        <f t="shared" si="8"/>
        <v>487.65</v>
      </c>
      <c r="W23" s="1">
        <f t="shared" si="8"/>
        <v>520.65</v>
      </c>
      <c r="X23" s="1">
        <f t="shared" si="8"/>
        <v>548.04999999999995</v>
      </c>
      <c r="Y23" s="1">
        <f t="shared" si="8"/>
        <v>576.34999999999991</v>
      </c>
      <c r="Z23" s="1">
        <f t="shared" si="8"/>
        <v>576.34999999999991</v>
      </c>
      <c r="AA23" s="12">
        <f t="shared" si="5"/>
        <v>576.34999999999991</v>
      </c>
    </row>
    <row r="24" spans="1:27" x14ac:dyDescent="0.25">
      <c r="A24" t="s">
        <v>35</v>
      </c>
      <c r="B24" s="15">
        <f t="shared" ref="B24:Z24" si="9">(B14+B5+B5)/3</f>
        <v>233.9</v>
      </c>
      <c r="C24" s="15">
        <f t="shared" si="9"/>
        <v>249.63333333333333</v>
      </c>
      <c r="D24" s="15">
        <f t="shared" si="9"/>
        <v>255.06666666666669</v>
      </c>
      <c r="E24" s="15">
        <f t="shared" si="9"/>
        <v>259.73333333333335</v>
      </c>
      <c r="F24" s="15">
        <f t="shared" si="9"/>
        <v>261.06666666666666</v>
      </c>
      <c r="G24" s="15">
        <f t="shared" si="9"/>
        <v>269.3</v>
      </c>
      <c r="H24" s="15">
        <f t="shared" si="9"/>
        <v>281.3</v>
      </c>
      <c r="I24" s="15">
        <f t="shared" si="9"/>
        <v>296.33333333333331</v>
      </c>
      <c r="J24" s="15">
        <f t="shared" si="9"/>
        <v>300.86666666666662</v>
      </c>
      <c r="K24" s="15">
        <f t="shared" si="9"/>
        <v>299.2</v>
      </c>
      <c r="L24" s="15">
        <f t="shared" si="9"/>
        <v>308.93333333333334</v>
      </c>
      <c r="M24" s="15">
        <f t="shared" si="9"/>
        <v>321.66666666666669</v>
      </c>
      <c r="N24" s="15">
        <f t="shared" si="9"/>
        <v>335.23333333333329</v>
      </c>
      <c r="O24" s="15">
        <f t="shared" si="9"/>
        <v>336.40000000000003</v>
      </c>
      <c r="P24" s="15">
        <f t="shared" si="9"/>
        <v>343.76666666666665</v>
      </c>
      <c r="Q24" s="15">
        <f t="shared" si="9"/>
        <v>353.43333333333334</v>
      </c>
      <c r="R24" s="15">
        <f t="shared" si="9"/>
        <v>365.66666666666669</v>
      </c>
      <c r="S24" s="15">
        <f t="shared" si="9"/>
        <v>389.5333333333333</v>
      </c>
      <c r="T24" s="15">
        <f t="shared" si="9"/>
        <v>422.23333333333335</v>
      </c>
      <c r="U24" s="15">
        <f t="shared" si="9"/>
        <v>411.7</v>
      </c>
      <c r="V24" s="15">
        <f t="shared" si="9"/>
        <v>414.4666666666667</v>
      </c>
      <c r="W24" s="15">
        <f t="shared" si="9"/>
        <v>445.7</v>
      </c>
      <c r="X24" s="15">
        <f t="shared" si="9"/>
        <v>478.06666666666666</v>
      </c>
      <c r="Y24" s="15">
        <f t="shared" si="9"/>
        <v>495.83333333333331</v>
      </c>
      <c r="Z24" s="15">
        <f t="shared" si="9"/>
        <v>495.83333333333331</v>
      </c>
      <c r="AA24" s="12">
        <f t="shared" si="5"/>
        <v>495.83333333333331</v>
      </c>
    </row>
    <row r="25" spans="1:27" x14ac:dyDescent="0.25">
      <c r="A25" t="s">
        <v>36</v>
      </c>
      <c r="B25" s="15">
        <f t="shared" ref="B25:Z25" si="10">SUM(B14+B4+B4)/3</f>
        <v>249.10000000000002</v>
      </c>
      <c r="C25" s="15">
        <f t="shared" si="10"/>
        <v>254.5</v>
      </c>
      <c r="D25" s="15">
        <f t="shared" si="10"/>
        <v>275.06666666666666</v>
      </c>
      <c r="E25" s="15">
        <f t="shared" si="10"/>
        <v>277.86666666666667</v>
      </c>
      <c r="F25" s="15">
        <f t="shared" si="10"/>
        <v>292.2</v>
      </c>
      <c r="G25" s="15">
        <f t="shared" si="10"/>
        <v>299.76666666666665</v>
      </c>
      <c r="H25" s="15">
        <f t="shared" si="10"/>
        <v>316.63333333333333</v>
      </c>
      <c r="I25" s="15">
        <f t="shared" si="10"/>
        <v>342.26666666666665</v>
      </c>
      <c r="J25" s="15">
        <f t="shared" si="10"/>
        <v>332.06666666666666</v>
      </c>
      <c r="K25" s="15">
        <f t="shared" si="10"/>
        <v>340.33333333333331</v>
      </c>
      <c r="L25" s="15">
        <f t="shared" si="10"/>
        <v>352.39999999999992</v>
      </c>
      <c r="M25" s="15">
        <f t="shared" si="10"/>
        <v>360.13333333333338</v>
      </c>
      <c r="N25" s="15">
        <f t="shared" si="10"/>
        <v>392.23333333333329</v>
      </c>
      <c r="O25" s="15">
        <f t="shared" si="10"/>
        <v>416.13333333333338</v>
      </c>
      <c r="P25" s="15">
        <f t="shared" si="10"/>
        <v>432.76666666666665</v>
      </c>
      <c r="Q25" s="15">
        <f t="shared" si="10"/>
        <v>464.7</v>
      </c>
      <c r="R25" s="15">
        <f t="shared" si="10"/>
        <v>469.73333333333335</v>
      </c>
      <c r="S25" s="15">
        <f t="shared" si="10"/>
        <v>482.4666666666667</v>
      </c>
      <c r="T25" s="15">
        <f t="shared" si="10"/>
        <v>487.43333333333334</v>
      </c>
      <c r="U25" s="15">
        <f t="shared" si="10"/>
        <v>519.16666666666663</v>
      </c>
      <c r="V25" s="15">
        <f t="shared" si="10"/>
        <v>520.80000000000007</v>
      </c>
      <c r="W25" s="15">
        <f t="shared" si="10"/>
        <v>554.16666666666663</v>
      </c>
      <c r="X25" s="15">
        <f t="shared" si="10"/>
        <v>574.80000000000007</v>
      </c>
      <c r="Y25" s="15">
        <f t="shared" si="10"/>
        <v>617.1</v>
      </c>
      <c r="Z25" s="15">
        <f t="shared" si="10"/>
        <v>617.1</v>
      </c>
      <c r="AA25" s="12">
        <f t="shared" si="5"/>
        <v>617.1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C5CB-AF9F-4922-A795-1107DC336249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/>
      <c r="C2" s="8"/>
      <c r="D2" s="8"/>
      <c r="E2" s="8"/>
      <c r="F2" s="8"/>
      <c r="G2" s="8"/>
      <c r="H2" s="8">
        <v>5.9</v>
      </c>
      <c r="I2" s="8">
        <v>5</v>
      </c>
      <c r="J2" s="8">
        <v>4.0999999999999996</v>
      </c>
      <c r="K2" s="8">
        <v>5.2</v>
      </c>
      <c r="L2" s="8">
        <v>6.9</v>
      </c>
      <c r="M2" s="8">
        <v>6.8</v>
      </c>
      <c r="N2" s="8">
        <v>6.6</v>
      </c>
      <c r="O2" s="8">
        <v>7</v>
      </c>
      <c r="P2" s="8">
        <v>6.7</v>
      </c>
      <c r="Q2" s="8">
        <v>6.4</v>
      </c>
      <c r="R2" s="8">
        <v>6.1</v>
      </c>
      <c r="S2" s="8">
        <v>6</v>
      </c>
      <c r="T2" s="8">
        <v>5.9</v>
      </c>
      <c r="U2" s="8">
        <v>5.7</v>
      </c>
      <c r="V2" s="8">
        <v>6.8</v>
      </c>
      <c r="W2" s="8">
        <v>8.1999999999999993</v>
      </c>
      <c r="X2" s="8">
        <v>6.5</v>
      </c>
      <c r="Y2" s="8">
        <v>6</v>
      </c>
      <c r="Z2" s="8">
        <v>6.7</v>
      </c>
      <c r="AA2" s="8">
        <v>7.2</v>
      </c>
    </row>
    <row r="3" spans="1:27" x14ac:dyDescent="0.25">
      <c r="A3" t="s">
        <v>2</v>
      </c>
      <c r="B3" s="8"/>
      <c r="C3" s="8"/>
      <c r="D3" s="8"/>
      <c r="E3" s="8"/>
      <c r="F3" s="8"/>
      <c r="G3" s="8"/>
      <c r="H3" s="8">
        <v>6.1</v>
      </c>
      <c r="I3" s="8">
        <v>4.9000000000000004</v>
      </c>
      <c r="J3" s="8">
        <v>3.9</v>
      </c>
      <c r="K3" s="8">
        <v>5</v>
      </c>
      <c r="L3" s="8">
        <v>7</v>
      </c>
      <c r="M3" s="8">
        <v>6.6</v>
      </c>
      <c r="N3" s="8">
        <v>6.2</v>
      </c>
      <c r="O3" s="8">
        <v>6.1</v>
      </c>
      <c r="P3" s="8">
        <v>5.5</v>
      </c>
      <c r="Q3" s="8">
        <v>5.4</v>
      </c>
      <c r="R3" s="8">
        <v>5.3</v>
      </c>
      <c r="S3" s="8">
        <v>5.7</v>
      </c>
      <c r="T3" s="8">
        <v>5.7</v>
      </c>
      <c r="U3" s="8">
        <v>5.4</v>
      </c>
      <c r="V3" s="8">
        <v>6.4</v>
      </c>
      <c r="W3" s="8">
        <v>7.6</v>
      </c>
      <c r="X3" s="8">
        <v>6.7</v>
      </c>
      <c r="Y3" s="8">
        <v>6.1</v>
      </c>
      <c r="Z3" s="8">
        <v>5.9</v>
      </c>
      <c r="AA3" s="8">
        <v>6.3</v>
      </c>
    </row>
    <row r="4" spans="1:27" x14ac:dyDescent="0.25">
      <c r="A4" t="s">
        <v>3</v>
      </c>
      <c r="B4" s="8"/>
      <c r="C4" s="8"/>
      <c r="D4" s="8"/>
      <c r="E4" s="8"/>
      <c r="F4" s="8"/>
      <c r="G4" s="8"/>
      <c r="H4" s="8">
        <v>7.7</v>
      </c>
      <c r="I4" s="8">
        <v>6.3</v>
      </c>
      <c r="J4" s="8">
        <v>5.7</v>
      </c>
      <c r="K4" s="8">
        <v>7.2</v>
      </c>
      <c r="L4" s="8">
        <v>9.1999999999999993</v>
      </c>
      <c r="M4" s="8">
        <v>8.8000000000000007</v>
      </c>
      <c r="N4" s="8">
        <v>8.5</v>
      </c>
      <c r="O4" s="8">
        <v>8.4</v>
      </c>
      <c r="P4" s="8">
        <v>7.3</v>
      </c>
      <c r="Q4" s="8">
        <v>6.6</v>
      </c>
      <c r="R4" s="8">
        <v>6.2</v>
      </c>
      <c r="S4" s="8">
        <v>6</v>
      </c>
      <c r="T4" s="8">
        <v>5.9</v>
      </c>
      <c r="U4" s="8">
        <v>5.8</v>
      </c>
      <c r="V4" s="8">
        <v>6.4</v>
      </c>
      <c r="W4" s="8">
        <v>6.9</v>
      </c>
      <c r="X4" s="8">
        <v>6</v>
      </c>
      <c r="Y4" s="8">
        <v>5.7</v>
      </c>
      <c r="Z4" s="8">
        <v>5.9</v>
      </c>
      <c r="AA4" s="8">
        <v>6.2</v>
      </c>
    </row>
    <row r="5" spans="1:27" x14ac:dyDescent="0.25">
      <c r="A5" t="s">
        <v>4</v>
      </c>
      <c r="B5" s="8"/>
      <c r="C5" s="8"/>
      <c r="D5" s="8"/>
      <c r="E5" s="8"/>
      <c r="F5" s="8"/>
      <c r="G5" s="8"/>
      <c r="H5" s="8">
        <v>11.3</v>
      </c>
      <c r="I5" s="8">
        <v>9.5</v>
      </c>
      <c r="J5" s="8">
        <v>8.4</v>
      </c>
      <c r="K5" s="8">
        <v>10.4</v>
      </c>
      <c r="L5" s="8">
        <v>12</v>
      </c>
      <c r="M5" s="8">
        <v>12.1</v>
      </c>
      <c r="N5" s="8">
        <v>12.4</v>
      </c>
      <c r="O5" s="8">
        <v>12.8</v>
      </c>
      <c r="P5" s="8">
        <v>12.8</v>
      </c>
      <c r="Q5" s="8">
        <v>12.5</v>
      </c>
      <c r="R5" s="8">
        <v>12.2</v>
      </c>
      <c r="S5" s="8">
        <v>12.4</v>
      </c>
      <c r="T5" s="8">
        <v>11.6</v>
      </c>
      <c r="U5" s="8">
        <v>10.6</v>
      </c>
      <c r="V5" s="8">
        <v>11</v>
      </c>
      <c r="W5" s="8">
        <v>11.3</v>
      </c>
      <c r="X5" s="8">
        <v>9.8000000000000007</v>
      </c>
      <c r="Y5" s="8">
        <v>9</v>
      </c>
      <c r="Z5" s="8">
        <v>9.1</v>
      </c>
      <c r="AA5" s="8">
        <v>9.6999999999999993</v>
      </c>
    </row>
    <row r="6" spans="1:27" x14ac:dyDescent="0.25">
      <c r="A6" t="s">
        <v>5</v>
      </c>
      <c r="B6" s="8"/>
      <c r="C6" s="8"/>
      <c r="D6" s="8"/>
      <c r="E6" s="8"/>
      <c r="F6" s="8"/>
      <c r="G6" s="8"/>
      <c r="H6" s="8">
        <v>6.1</v>
      </c>
      <c r="I6" s="8">
        <v>4.9000000000000004</v>
      </c>
      <c r="J6" s="8">
        <v>4</v>
      </c>
      <c r="K6" s="8">
        <v>6.4</v>
      </c>
      <c r="L6" s="8">
        <v>7.3</v>
      </c>
      <c r="M6" s="8">
        <v>6.6</v>
      </c>
      <c r="N6" s="8">
        <v>6.3</v>
      </c>
      <c r="O6" s="8">
        <v>7.2</v>
      </c>
      <c r="P6" s="8">
        <v>6.6</v>
      </c>
      <c r="Q6" s="8">
        <v>6.2</v>
      </c>
      <c r="R6" s="8">
        <v>5.9</v>
      </c>
      <c r="S6" s="8">
        <v>5.8</v>
      </c>
      <c r="T6" s="8">
        <v>5.4</v>
      </c>
      <c r="U6" s="8">
        <v>5.0999999999999996</v>
      </c>
      <c r="V6" s="8">
        <v>5.8</v>
      </c>
      <c r="W6" s="8">
        <v>6.4</v>
      </c>
      <c r="X6" s="8">
        <v>5.2</v>
      </c>
      <c r="Y6" s="8">
        <v>5</v>
      </c>
      <c r="Z6" s="8">
        <v>5.6</v>
      </c>
      <c r="AA6" s="8">
        <v>6</v>
      </c>
    </row>
    <row r="7" spans="1:27" x14ac:dyDescent="0.25">
      <c r="A7" t="s">
        <v>6</v>
      </c>
      <c r="B7" s="8"/>
      <c r="C7" s="8"/>
      <c r="D7" s="8"/>
      <c r="E7" s="8"/>
      <c r="F7" s="8"/>
      <c r="G7" s="8"/>
      <c r="H7" s="8">
        <v>11.1</v>
      </c>
      <c r="I7" s="8">
        <v>8.9</v>
      </c>
      <c r="J7" s="8">
        <v>7.4</v>
      </c>
      <c r="K7" s="8">
        <v>9.6</v>
      </c>
      <c r="L7" s="8">
        <v>13</v>
      </c>
      <c r="M7" s="8">
        <v>13.4</v>
      </c>
      <c r="N7" s="8">
        <v>13.7</v>
      </c>
      <c r="O7" s="8">
        <v>14.5</v>
      </c>
      <c r="P7" s="8">
        <v>14.9</v>
      </c>
      <c r="Q7" s="8">
        <v>14.7</v>
      </c>
      <c r="R7" s="8">
        <v>15.1</v>
      </c>
      <c r="S7" s="8">
        <v>14.7</v>
      </c>
      <c r="T7" s="8">
        <v>14</v>
      </c>
      <c r="U7" s="8">
        <v>13.6</v>
      </c>
      <c r="V7" s="8">
        <v>13.9</v>
      </c>
      <c r="W7" s="8">
        <v>15.3</v>
      </c>
      <c r="X7" s="8">
        <v>12.8</v>
      </c>
      <c r="Y7" s="8">
        <v>11.8</v>
      </c>
      <c r="Z7" s="8">
        <v>12.3</v>
      </c>
      <c r="AA7" s="8">
        <v>12.4</v>
      </c>
    </row>
    <row r="8" spans="1:27" x14ac:dyDescent="0.25">
      <c r="A8" t="s">
        <v>7</v>
      </c>
      <c r="B8" s="8"/>
      <c r="C8" s="8"/>
      <c r="D8" s="8"/>
      <c r="E8" s="8"/>
      <c r="F8" s="8"/>
      <c r="G8" s="8"/>
      <c r="H8" s="8">
        <v>6.4</v>
      </c>
      <c r="I8" s="8">
        <v>5.2</v>
      </c>
      <c r="J8" s="8">
        <v>4.0999999999999996</v>
      </c>
      <c r="K8" s="8">
        <v>5</v>
      </c>
      <c r="L8" s="8">
        <v>6.2</v>
      </c>
      <c r="M8" s="8">
        <v>6</v>
      </c>
      <c r="N8" s="8">
        <v>5.8</v>
      </c>
      <c r="O8" s="8">
        <v>6</v>
      </c>
      <c r="P8" s="8">
        <v>5.9</v>
      </c>
      <c r="Q8" s="8">
        <v>5.8</v>
      </c>
      <c r="R8" s="8">
        <v>5.6</v>
      </c>
      <c r="S8" s="8">
        <v>6.1</v>
      </c>
      <c r="T8" s="8">
        <v>6.3</v>
      </c>
      <c r="U8" s="8">
        <v>6.3</v>
      </c>
      <c r="V8" s="8">
        <v>6.9</v>
      </c>
      <c r="W8" s="8">
        <v>7.4</v>
      </c>
      <c r="X8" s="8">
        <v>6.3</v>
      </c>
      <c r="Y8" s="8">
        <v>5.7</v>
      </c>
      <c r="Z8" s="8">
        <v>5.9</v>
      </c>
      <c r="AA8" s="8">
        <v>6.3</v>
      </c>
    </row>
    <row r="9" spans="1:27" x14ac:dyDescent="0.25">
      <c r="A9" t="s">
        <v>8</v>
      </c>
      <c r="B9" s="8"/>
      <c r="C9" s="8"/>
      <c r="D9" s="8"/>
      <c r="E9" s="8"/>
      <c r="F9" s="8"/>
      <c r="G9" s="8"/>
      <c r="H9" s="8">
        <v>8.6</v>
      </c>
      <c r="I9" s="8">
        <v>6.9</v>
      </c>
      <c r="J9" s="8">
        <v>6.5</v>
      </c>
      <c r="K9" s="8">
        <v>8.6</v>
      </c>
      <c r="L9" s="8">
        <v>11</v>
      </c>
      <c r="M9" s="8">
        <v>11.4</v>
      </c>
      <c r="N9" s="8">
        <v>11.7</v>
      </c>
      <c r="O9" s="8">
        <v>11.1</v>
      </c>
      <c r="P9" s="8">
        <v>11.1</v>
      </c>
      <c r="Q9" s="8">
        <v>10.8</v>
      </c>
      <c r="R9" s="8">
        <v>10.9</v>
      </c>
      <c r="S9" s="8">
        <v>10.7</v>
      </c>
      <c r="T9" s="8">
        <v>10.5</v>
      </c>
      <c r="U9" s="8">
        <v>10</v>
      </c>
      <c r="V9" s="8">
        <v>11</v>
      </c>
      <c r="W9" s="8">
        <v>11.8</v>
      </c>
      <c r="X9" s="8">
        <v>10.3</v>
      </c>
      <c r="Y9" s="8">
        <v>10.1</v>
      </c>
      <c r="Z9" s="8">
        <v>11</v>
      </c>
      <c r="AA9" s="8">
        <v>11.6</v>
      </c>
    </row>
    <row r="10" spans="1:27" x14ac:dyDescent="0.25">
      <c r="A10" t="s">
        <v>9</v>
      </c>
      <c r="B10" s="8"/>
      <c r="C10" s="8"/>
      <c r="D10" s="8"/>
      <c r="E10" s="8"/>
      <c r="F10" s="8"/>
      <c r="G10" s="8"/>
      <c r="H10" s="8">
        <v>8.9</v>
      </c>
      <c r="I10" s="8">
        <v>6.6</v>
      </c>
      <c r="J10" s="8">
        <v>5.4</v>
      </c>
      <c r="K10" s="8">
        <v>8.1</v>
      </c>
      <c r="L10" s="8">
        <v>10.3</v>
      </c>
      <c r="M10" s="8">
        <v>9.3000000000000007</v>
      </c>
      <c r="N10" s="8">
        <v>9.1</v>
      </c>
      <c r="O10" s="8">
        <v>9.4</v>
      </c>
      <c r="P10" s="8">
        <v>8.8000000000000007</v>
      </c>
      <c r="Q10" s="8">
        <v>8.4</v>
      </c>
      <c r="R10" s="8">
        <v>8</v>
      </c>
      <c r="S10" s="8">
        <v>7.3</v>
      </c>
      <c r="T10" s="8">
        <v>7.1</v>
      </c>
      <c r="U10" s="8">
        <v>6.9</v>
      </c>
      <c r="V10" s="8">
        <v>7.9</v>
      </c>
      <c r="W10" s="8">
        <v>9.5</v>
      </c>
      <c r="X10" s="8">
        <v>7.7</v>
      </c>
      <c r="Y10" s="8">
        <v>6.9</v>
      </c>
      <c r="Z10" s="8">
        <v>7.4</v>
      </c>
      <c r="AA10" s="8">
        <v>8.1999999999999993</v>
      </c>
    </row>
    <row r="11" spans="1:27" x14ac:dyDescent="0.25">
      <c r="A11" t="s">
        <v>10</v>
      </c>
      <c r="B11" s="8"/>
      <c r="C11" s="8"/>
      <c r="D11" s="8"/>
      <c r="E11" s="8"/>
      <c r="F11" s="8"/>
      <c r="G11" s="8"/>
      <c r="H11" s="8">
        <v>9.8000000000000007</v>
      </c>
      <c r="I11" s="8">
        <v>8.1999999999999993</v>
      </c>
      <c r="J11" s="8">
        <v>8.3000000000000007</v>
      </c>
      <c r="K11" s="8">
        <v>8.6999999999999993</v>
      </c>
      <c r="L11" s="8">
        <v>10.7</v>
      </c>
      <c r="M11" s="8">
        <v>9.8000000000000007</v>
      </c>
      <c r="N11" s="8">
        <v>9.8000000000000007</v>
      </c>
      <c r="O11" s="8">
        <v>9.9</v>
      </c>
      <c r="P11" s="8">
        <v>9.1</v>
      </c>
      <c r="Q11" s="8">
        <v>8.1999999999999993</v>
      </c>
      <c r="R11" s="8">
        <v>7.8</v>
      </c>
      <c r="S11" s="8">
        <v>7.6</v>
      </c>
      <c r="T11" s="8">
        <v>7.5</v>
      </c>
      <c r="U11" s="8">
        <v>7.6</v>
      </c>
      <c r="V11" s="8">
        <v>8.6999999999999993</v>
      </c>
      <c r="W11" s="8">
        <v>9.5</v>
      </c>
      <c r="X11" s="8">
        <v>8</v>
      </c>
      <c r="Y11" s="8">
        <v>7.4</v>
      </c>
      <c r="Z11" s="8">
        <v>7.6</v>
      </c>
      <c r="AA11" s="8">
        <v>7.7</v>
      </c>
    </row>
    <row r="12" spans="1:27" x14ac:dyDescent="0.25">
      <c r="A12" t="s">
        <v>11</v>
      </c>
      <c r="B12" s="8"/>
      <c r="C12" s="8"/>
      <c r="D12" s="8"/>
      <c r="E12" s="8"/>
      <c r="F12" s="8"/>
      <c r="G12" s="8"/>
      <c r="H12" s="8">
        <v>9.6999999999999993</v>
      </c>
      <c r="I12" s="8">
        <v>7.8</v>
      </c>
      <c r="J12" s="8">
        <v>6.6</v>
      </c>
      <c r="K12" s="8">
        <v>8.5</v>
      </c>
      <c r="L12" s="8">
        <v>10.3</v>
      </c>
      <c r="M12" s="8">
        <v>10.199999999999999</v>
      </c>
      <c r="N12" s="8">
        <v>10.3</v>
      </c>
      <c r="O12" s="8">
        <v>10.4</v>
      </c>
      <c r="P12" s="8">
        <v>9.5</v>
      </c>
      <c r="Q12" s="8">
        <v>8.6999999999999993</v>
      </c>
      <c r="R12" s="8">
        <v>8.8000000000000007</v>
      </c>
      <c r="S12" s="8">
        <v>9.1</v>
      </c>
      <c r="T12" s="8">
        <v>8.8000000000000007</v>
      </c>
      <c r="U12" s="8">
        <v>8.4</v>
      </c>
      <c r="V12" s="8">
        <v>9.4</v>
      </c>
      <c r="W12" s="8">
        <v>10.5</v>
      </c>
      <c r="X12" s="8">
        <v>8.8000000000000007</v>
      </c>
      <c r="Y12" s="8">
        <v>8.1</v>
      </c>
      <c r="Z12" s="8">
        <v>8.1999999999999993</v>
      </c>
      <c r="AA12" s="8">
        <v>9.1</v>
      </c>
    </row>
    <row r="13" spans="1:27" x14ac:dyDescent="0.25">
      <c r="A13" t="s">
        <v>12</v>
      </c>
      <c r="B13" s="8"/>
      <c r="C13" s="8"/>
      <c r="D13" s="8"/>
      <c r="E13" s="8"/>
      <c r="F13" s="8"/>
      <c r="G13" s="8"/>
      <c r="H13" s="8">
        <v>8.1</v>
      </c>
      <c r="I13" s="8">
        <v>6.2</v>
      </c>
      <c r="J13" s="8">
        <v>4.9000000000000004</v>
      </c>
      <c r="K13" s="8">
        <v>6.8</v>
      </c>
      <c r="L13" s="8">
        <v>8.6999999999999993</v>
      </c>
      <c r="M13" s="8">
        <v>7.7</v>
      </c>
      <c r="N13" s="8">
        <v>7.9</v>
      </c>
      <c r="O13" s="8">
        <v>7.3</v>
      </c>
      <c r="P13" s="8">
        <v>6.8</v>
      </c>
      <c r="Q13" s="8">
        <v>5.9</v>
      </c>
      <c r="R13" s="8">
        <v>5.8</v>
      </c>
      <c r="S13" s="8">
        <v>5.3</v>
      </c>
      <c r="T13" s="8">
        <v>5.3</v>
      </c>
      <c r="U13" s="8">
        <v>5</v>
      </c>
      <c r="V13" s="8">
        <v>5.6</v>
      </c>
      <c r="W13" s="8">
        <v>6.3</v>
      </c>
      <c r="X13" s="8">
        <v>4.5999999999999996</v>
      </c>
      <c r="Y13" s="8">
        <v>3.9</v>
      </c>
      <c r="Z13" s="8">
        <v>3.9</v>
      </c>
      <c r="AA13" s="8">
        <v>4.2</v>
      </c>
    </row>
    <row r="14" spans="1:27" x14ac:dyDescent="0.25">
      <c r="A14" t="s">
        <v>21</v>
      </c>
      <c r="B14" s="8"/>
      <c r="C14" s="8"/>
      <c r="D14" s="8"/>
      <c r="E14" s="8"/>
      <c r="F14" s="8"/>
      <c r="G14" s="8"/>
      <c r="H14" s="8">
        <v>8.6</v>
      </c>
      <c r="I14" s="8">
        <v>7</v>
      </c>
      <c r="J14" s="8">
        <v>6.4</v>
      </c>
      <c r="K14" s="8">
        <v>8.3000000000000007</v>
      </c>
      <c r="L14" s="8">
        <v>10.3</v>
      </c>
      <c r="M14" s="8">
        <v>10</v>
      </c>
      <c r="N14" s="8">
        <v>10</v>
      </c>
      <c r="O14" s="8">
        <v>10.1</v>
      </c>
      <c r="P14" s="8">
        <v>9.6</v>
      </c>
      <c r="Q14" s="8">
        <v>9.1999999999999993</v>
      </c>
      <c r="R14" s="8">
        <v>8.8000000000000007</v>
      </c>
      <c r="S14" s="8">
        <v>8.8000000000000007</v>
      </c>
      <c r="T14" s="8">
        <v>8.3000000000000007</v>
      </c>
      <c r="U14" s="8">
        <v>7.8</v>
      </c>
      <c r="V14" s="8">
        <v>8.1999999999999993</v>
      </c>
      <c r="W14" s="8">
        <v>8.5</v>
      </c>
      <c r="X14" s="8">
        <v>7.3</v>
      </c>
      <c r="Y14" s="8">
        <v>6.7</v>
      </c>
      <c r="Z14" s="8">
        <v>7</v>
      </c>
      <c r="AA14" s="8">
        <v>7.4</v>
      </c>
    </row>
    <row r="15" spans="1:27" x14ac:dyDescent="0.25">
      <c r="A15" t="s">
        <v>18</v>
      </c>
      <c r="B15" s="9"/>
      <c r="C15" s="9"/>
      <c r="D15" s="9"/>
      <c r="E15" s="9"/>
      <c r="F15" s="9"/>
      <c r="G15" s="9"/>
      <c r="H15" s="9">
        <v>7.4</v>
      </c>
      <c r="I15" s="9">
        <v>5.7</v>
      </c>
      <c r="J15" s="9">
        <v>4.9000000000000004</v>
      </c>
      <c r="K15" s="9">
        <v>7</v>
      </c>
      <c r="L15" s="9">
        <v>9.1</v>
      </c>
      <c r="M15" s="9">
        <v>8.5</v>
      </c>
      <c r="N15" s="9">
        <v>8.5</v>
      </c>
      <c r="O15" s="9">
        <v>8.6999999999999993</v>
      </c>
      <c r="P15" s="9">
        <v>8.1999999999999993</v>
      </c>
      <c r="Q15" s="9">
        <v>7.9</v>
      </c>
      <c r="R15" s="9">
        <v>7.8</v>
      </c>
      <c r="S15" s="9">
        <v>7.7</v>
      </c>
      <c r="T15" s="9">
        <v>7.2</v>
      </c>
      <c r="U15" s="9">
        <v>6.9</v>
      </c>
      <c r="V15" s="9">
        <v>7.6</v>
      </c>
      <c r="W15" s="9">
        <v>8.4</v>
      </c>
      <c r="X15" s="9">
        <v>7</v>
      </c>
      <c r="Y15" s="9">
        <v>6.4</v>
      </c>
      <c r="Z15" s="9">
        <v>6.7</v>
      </c>
      <c r="AA15" s="9">
        <v>7.1</v>
      </c>
    </row>
    <row r="16" spans="1:27" x14ac:dyDescent="0.25">
      <c r="A16" t="s">
        <v>16</v>
      </c>
      <c r="B16" s="10"/>
      <c r="C16" s="10"/>
      <c r="D16" s="10"/>
      <c r="E16" s="10"/>
      <c r="F16" s="10"/>
      <c r="G16" s="10"/>
      <c r="H16" s="8">
        <f t="shared" ref="H16:AA16" si="0">SUM(H2:H13)/12</f>
        <v>8.3083333333333336</v>
      </c>
      <c r="I16" s="8">
        <f t="shared" si="0"/>
        <v>6.7</v>
      </c>
      <c r="J16" s="8">
        <f t="shared" si="0"/>
        <v>5.7749999999999995</v>
      </c>
      <c r="K16" s="8">
        <f t="shared" si="0"/>
        <v>7.458333333333333</v>
      </c>
      <c r="L16" s="8">
        <f t="shared" si="0"/>
        <v>9.3833333333333329</v>
      </c>
      <c r="M16" s="8">
        <f t="shared" si="0"/>
        <v>9.0583333333333336</v>
      </c>
      <c r="N16" s="8">
        <f t="shared" si="0"/>
        <v>9.0250000000000004</v>
      </c>
      <c r="O16" s="8">
        <f t="shared" si="0"/>
        <v>9.1750000000000007</v>
      </c>
      <c r="P16" s="8">
        <f t="shared" si="0"/>
        <v>8.7499999999999982</v>
      </c>
      <c r="Q16" s="8">
        <f t="shared" si="0"/>
        <v>8.3000000000000007</v>
      </c>
      <c r="R16" s="8">
        <f t="shared" si="0"/>
        <v>8.1416666666666657</v>
      </c>
      <c r="S16" s="8">
        <f t="shared" si="0"/>
        <v>8.0583333333333318</v>
      </c>
      <c r="T16" s="8">
        <f t="shared" si="0"/>
        <v>7.8333333333333321</v>
      </c>
      <c r="U16" s="8">
        <f t="shared" si="0"/>
        <v>7.5333333333333341</v>
      </c>
      <c r="V16" s="8">
        <f t="shared" si="0"/>
        <v>8.3166666666666664</v>
      </c>
      <c r="W16" s="8">
        <f t="shared" si="0"/>
        <v>9.2249999999999996</v>
      </c>
      <c r="X16" s="8">
        <f t="shared" si="0"/>
        <v>7.7249999999999988</v>
      </c>
      <c r="Y16" s="8">
        <f t="shared" si="0"/>
        <v>7.1416666666666684</v>
      </c>
      <c r="Z16" s="8">
        <f t="shared" si="0"/>
        <v>7.458333333333333</v>
      </c>
      <c r="AA16" s="8">
        <f t="shared" si="0"/>
        <v>7.9083333333333323</v>
      </c>
    </row>
    <row r="17" spans="1:27" x14ac:dyDescent="0.25">
      <c r="A17" t="s">
        <v>17</v>
      </c>
      <c r="B17" s="10"/>
      <c r="C17" s="10"/>
      <c r="D17" s="10"/>
      <c r="E17" s="10"/>
      <c r="F17" s="10"/>
      <c r="G17" s="10"/>
      <c r="H17" s="8">
        <f t="shared" ref="H17:AA17" si="1">SUM(H2+H7+H10)/3</f>
        <v>8.6333333333333329</v>
      </c>
      <c r="I17" s="8">
        <f t="shared" si="1"/>
        <v>6.833333333333333</v>
      </c>
      <c r="J17" s="8">
        <f t="shared" si="1"/>
        <v>5.6333333333333329</v>
      </c>
      <c r="K17" s="8">
        <f t="shared" si="1"/>
        <v>7.6333333333333329</v>
      </c>
      <c r="L17" s="8">
        <f t="shared" si="1"/>
        <v>10.066666666666666</v>
      </c>
      <c r="M17" s="8">
        <f t="shared" si="1"/>
        <v>9.8333333333333339</v>
      </c>
      <c r="N17" s="8">
        <f t="shared" si="1"/>
        <v>9.7999999999999989</v>
      </c>
      <c r="O17" s="8">
        <f t="shared" si="1"/>
        <v>10.299999999999999</v>
      </c>
      <c r="P17" s="8">
        <f t="shared" si="1"/>
        <v>10.133333333333335</v>
      </c>
      <c r="Q17" s="8">
        <f t="shared" si="1"/>
        <v>9.8333333333333339</v>
      </c>
      <c r="R17" s="8">
        <f t="shared" si="1"/>
        <v>9.7333333333333325</v>
      </c>
      <c r="S17" s="8">
        <f t="shared" si="1"/>
        <v>9.3333333333333339</v>
      </c>
      <c r="T17" s="8">
        <f t="shared" si="1"/>
        <v>9</v>
      </c>
      <c r="U17" s="8">
        <f t="shared" si="1"/>
        <v>8.7333333333333343</v>
      </c>
      <c r="V17" s="8">
        <f t="shared" si="1"/>
        <v>9.5333333333333332</v>
      </c>
      <c r="W17" s="8">
        <f t="shared" si="1"/>
        <v>11</v>
      </c>
      <c r="X17" s="8">
        <f t="shared" si="1"/>
        <v>9</v>
      </c>
      <c r="Y17" s="8">
        <f t="shared" si="1"/>
        <v>8.2333333333333343</v>
      </c>
      <c r="Z17" s="8">
        <f t="shared" si="1"/>
        <v>8.7999999999999989</v>
      </c>
      <c r="AA17" s="8">
        <f t="shared" si="1"/>
        <v>9.2666666666666675</v>
      </c>
    </row>
    <row r="18" spans="1:27" x14ac:dyDescent="0.25">
      <c r="A18" t="s">
        <v>13</v>
      </c>
      <c r="B18" s="10"/>
      <c r="C18" s="10"/>
      <c r="D18" s="10"/>
      <c r="E18" s="10"/>
      <c r="F18" s="10"/>
      <c r="G18" s="10"/>
      <c r="H18" s="8">
        <f t="shared" ref="H18:AA18" si="2">SUM(H2+H3+H7+H10)/4</f>
        <v>8</v>
      </c>
      <c r="I18" s="8">
        <f t="shared" si="2"/>
        <v>6.35</v>
      </c>
      <c r="J18" s="8">
        <f t="shared" si="2"/>
        <v>5.2</v>
      </c>
      <c r="K18" s="8">
        <f t="shared" si="2"/>
        <v>6.9749999999999996</v>
      </c>
      <c r="L18" s="8">
        <f t="shared" si="2"/>
        <v>9.3000000000000007</v>
      </c>
      <c r="M18" s="8">
        <f t="shared" si="2"/>
        <v>9.0249999999999986</v>
      </c>
      <c r="N18" s="8">
        <f t="shared" si="2"/>
        <v>8.9</v>
      </c>
      <c r="O18" s="8">
        <f t="shared" si="2"/>
        <v>9.25</v>
      </c>
      <c r="P18" s="8">
        <f t="shared" si="2"/>
        <v>8.9750000000000014</v>
      </c>
      <c r="Q18" s="8">
        <f t="shared" si="2"/>
        <v>8.7249999999999996</v>
      </c>
      <c r="R18" s="8">
        <f t="shared" si="2"/>
        <v>8.625</v>
      </c>
      <c r="S18" s="8">
        <f t="shared" si="2"/>
        <v>8.4249999999999989</v>
      </c>
      <c r="T18" s="8">
        <f t="shared" si="2"/>
        <v>8.1750000000000007</v>
      </c>
      <c r="U18" s="8">
        <f t="shared" si="2"/>
        <v>7.9</v>
      </c>
      <c r="V18" s="8">
        <f t="shared" si="2"/>
        <v>8.75</v>
      </c>
      <c r="W18" s="8">
        <f t="shared" si="2"/>
        <v>10.15</v>
      </c>
      <c r="X18" s="8">
        <f t="shared" si="2"/>
        <v>8.4250000000000007</v>
      </c>
      <c r="Y18" s="8">
        <f t="shared" si="2"/>
        <v>7.6999999999999993</v>
      </c>
      <c r="Z18" s="8">
        <f t="shared" si="2"/>
        <v>8.0750000000000011</v>
      </c>
      <c r="AA18" s="8">
        <f t="shared" si="2"/>
        <v>8.5249999999999986</v>
      </c>
    </row>
    <row r="19" spans="1:27" x14ac:dyDescent="0.25">
      <c r="A19" t="s">
        <v>14</v>
      </c>
      <c r="B19" s="10"/>
      <c r="C19" s="10"/>
      <c r="D19" s="10"/>
      <c r="E19" s="10"/>
      <c r="F19" s="10"/>
      <c r="G19" s="10"/>
      <c r="H19" s="8">
        <f t="shared" ref="H19:AA19" si="3">(H4+H5+H6+H8+H9+H11+H12+H13)/8</f>
        <v>8.4625000000000004</v>
      </c>
      <c r="I19" s="8">
        <f t="shared" si="3"/>
        <v>6.875</v>
      </c>
      <c r="J19" s="8">
        <f t="shared" si="3"/>
        <v>6.0625</v>
      </c>
      <c r="K19" s="8">
        <f t="shared" si="3"/>
        <v>7.6999999999999993</v>
      </c>
      <c r="L19" s="8">
        <f t="shared" si="3"/>
        <v>9.4250000000000007</v>
      </c>
      <c r="M19" s="8">
        <f t="shared" si="3"/>
        <v>9.0750000000000011</v>
      </c>
      <c r="N19" s="8">
        <f t="shared" si="3"/>
        <v>9.0875000000000004</v>
      </c>
      <c r="O19" s="8">
        <f t="shared" si="3"/>
        <v>9.1375000000000011</v>
      </c>
      <c r="P19" s="8">
        <f t="shared" si="3"/>
        <v>8.6375000000000011</v>
      </c>
      <c r="Q19" s="8">
        <f t="shared" si="3"/>
        <v>8.0875000000000021</v>
      </c>
      <c r="R19" s="8">
        <f t="shared" si="3"/>
        <v>7.8999999999999986</v>
      </c>
      <c r="S19" s="8">
        <f t="shared" si="3"/>
        <v>7.875</v>
      </c>
      <c r="T19" s="8">
        <f t="shared" si="3"/>
        <v>7.6624999999999996</v>
      </c>
      <c r="U19" s="8">
        <f t="shared" si="3"/>
        <v>7.35</v>
      </c>
      <c r="V19" s="8">
        <f t="shared" si="3"/>
        <v>8.1</v>
      </c>
      <c r="W19" s="8">
        <f t="shared" si="3"/>
        <v>8.7624999999999993</v>
      </c>
      <c r="X19" s="8">
        <f t="shared" si="3"/>
        <v>7.3750000000000009</v>
      </c>
      <c r="Y19" s="8">
        <f t="shared" si="3"/>
        <v>6.8624999999999998</v>
      </c>
      <c r="Z19" s="8">
        <f t="shared" si="3"/>
        <v>7.1499999999999995</v>
      </c>
      <c r="AA19" s="8">
        <f t="shared" si="3"/>
        <v>7.6000000000000005</v>
      </c>
    </row>
    <row r="20" spans="1:27" x14ac:dyDescent="0.25">
      <c r="A20" t="s">
        <v>20</v>
      </c>
      <c r="B20" s="10"/>
      <c r="C20" s="10"/>
      <c r="D20" s="10"/>
      <c r="E20" s="10"/>
      <c r="F20" s="10"/>
      <c r="G20" s="10"/>
      <c r="H20" s="8">
        <f t="shared" ref="H20:AA20" si="4">(H6+H8+H9+H11+H12+H13)/6</f>
        <v>8.1166666666666671</v>
      </c>
      <c r="I20" s="8">
        <f t="shared" si="4"/>
        <v>6.5333333333333341</v>
      </c>
      <c r="J20" s="8">
        <f t="shared" si="4"/>
        <v>5.7333333333333334</v>
      </c>
      <c r="K20" s="8">
        <f t="shared" si="4"/>
        <v>7.333333333333333</v>
      </c>
      <c r="L20" s="8">
        <f t="shared" si="4"/>
        <v>9.0333333333333332</v>
      </c>
      <c r="M20" s="8">
        <f t="shared" si="4"/>
        <v>8.6166666666666671</v>
      </c>
      <c r="N20" s="8">
        <f t="shared" si="4"/>
        <v>8.6333333333333311</v>
      </c>
      <c r="O20" s="8">
        <f t="shared" si="4"/>
        <v>8.6499999999999986</v>
      </c>
      <c r="P20" s="8">
        <f t="shared" si="4"/>
        <v>8.1666666666666661</v>
      </c>
      <c r="Q20" s="8">
        <f t="shared" si="4"/>
        <v>7.6000000000000005</v>
      </c>
      <c r="R20" s="8">
        <f t="shared" si="4"/>
        <v>7.4666666666666659</v>
      </c>
      <c r="S20" s="8">
        <f t="shared" si="4"/>
        <v>7.4333333333333327</v>
      </c>
      <c r="T20" s="8">
        <f t="shared" si="4"/>
        <v>7.3</v>
      </c>
      <c r="U20" s="8">
        <f t="shared" si="4"/>
        <v>7.0666666666666664</v>
      </c>
      <c r="V20" s="8">
        <f t="shared" si="4"/>
        <v>7.8999999999999995</v>
      </c>
      <c r="W20" s="8">
        <f t="shared" si="4"/>
        <v>8.65</v>
      </c>
      <c r="X20" s="8">
        <f t="shared" si="4"/>
        <v>7.2</v>
      </c>
      <c r="Y20" s="8">
        <f t="shared" si="4"/>
        <v>6.6999999999999993</v>
      </c>
      <c r="Z20" s="8">
        <f t="shared" si="4"/>
        <v>7.0333333333333323</v>
      </c>
      <c r="AA20" s="8">
        <f t="shared" si="4"/>
        <v>7.4833333333333334</v>
      </c>
    </row>
    <row r="21" spans="1:27" x14ac:dyDescent="0.25">
      <c r="A21" t="s">
        <v>34</v>
      </c>
      <c r="B21" s="10"/>
      <c r="C21" s="10"/>
      <c r="D21" s="10"/>
      <c r="E21" s="10"/>
      <c r="F21" s="10"/>
      <c r="G21" s="10"/>
      <c r="H21" s="8">
        <f t="shared" ref="H21:AA21" si="5">(H5+H6+H8+H9+H11+H12+H13)/7</f>
        <v>8.571428571428573</v>
      </c>
      <c r="I21" s="8">
        <f t="shared" si="5"/>
        <v>6.9571428571428573</v>
      </c>
      <c r="J21" s="8">
        <f t="shared" si="5"/>
        <v>6.1142857142857139</v>
      </c>
      <c r="K21" s="8">
        <f t="shared" si="5"/>
        <v>7.7714285714285705</v>
      </c>
      <c r="L21" s="8">
        <f t="shared" si="5"/>
        <v>9.4571428571428573</v>
      </c>
      <c r="M21" s="8">
        <f t="shared" si="5"/>
        <v>9.1142857142857157</v>
      </c>
      <c r="N21" s="8">
        <f t="shared" si="5"/>
        <v>9.1714285714285726</v>
      </c>
      <c r="O21" s="8">
        <f t="shared" si="5"/>
        <v>9.2428571428571438</v>
      </c>
      <c r="P21" s="8">
        <f t="shared" si="5"/>
        <v>8.8285714285714274</v>
      </c>
      <c r="Q21" s="8">
        <f t="shared" si="5"/>
        <v>8.3000000000000007</v>
      </c>
      <c r="R21" s="8">
        <f t="shared" si="5"/>
        <v>8.1428571428571423</v>
      </c>
      <c r="S21" s="8">
        <f t="shared" si="5"/>
        <v>8.1428571428571423</v>
      </c>
      <c r="T21" s="8">
        <f t="shared" si="5"/>
        <v>7.9142857142857128</v>
      </c>
      <c r="U21" s="8">
        <f t="shared" si="5"/>
        <v>7.5714285714285712</v>
      </c>
      <c r="V21" s="8">
        <f t="shared" si="5"/>
        <v>8.3428571428571434</v>
      </c>
      <c r="W21" s="8">
        <f t="shared" si="5"/>
        <v>9.0285714285714285</v>
      </c>
      <c r="X21" s="8">
        <f t="shared" si="5"/>
        <v>7.5714285714285721</v>
      </c>
      <c r="Y21" s="8">
        <f t="shared" si="5"/>
        <v>7.0285714285714276</v>
      </c>
      <c r="Z21" s="8">
        <f t="shared" si="5"/>
        <v>7.3285714285714292</v>
      </c>
      <c r="AA21" s="8">
        <f t="shared" si="5"/>
        <v>7.8000000000000016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A23" t="s">
        <v>15</v>
      </c>
      <c r="B23" s="10"/>
      <c r="C23" s="10"/>
      <c r="D23" s="10"/>
      <c r="E23" s="10"/>
      <c r="F23" s="10"/>
      <c r="G23" s="10"/>
      <c r="H23" s="8">
        <f t="shared" ref="H23:AA23" si="6">(H4+H5)/2</f>
        <v>9.5</v>
      </c>
      <c r="I23" s="8">
        <f t="shared" si="6"/>
        <v>7.9</v>
      </c>
      <c r="J23" s="8">
        <f t="shared" si="6"/>
        <v>7.0500000000000007</v>
      </c>
      <c r="K23" s="8">
        <f t="shared" si="6"/>
        <v>8.8000000000000007</v>
      </c>
      <c r="L23" s="8">
        <f t="shared" si="6"/>
        <v>10.6</v>
      </c>
      <c r="M23" s="8">
        <f t="shared" si="6"/>
        <v>10.45</v>
      </c>
      <c r="N23" s="8">
        <f t="shared" si="6"/>
        <v>10.45</v>
      </c>
      <c r="O23" s="8">
        <f t="shared" si="6"/>
        <v>10.600000000000001</v>
      </c>
      <c r="P23" s="8">
        <f t="shared" si="6"/>
        <v>10.050000000000001</v>
      </c>
      <c r="Q23" s="8">
        <f t="shared" si="6"/>
        <v>9.5500000000000007</v>
      </c>
      <c r="R23" s="8">
        <f t="shared" si="6"/>
        <v>9.1999999999999993</v>
      </c>
      <c r="S23" s="8">
        <f t="shared" si="6"/>
        <v>9.1999999999999993</v>
      </c>
      <c r="T23" s="8">
        <f t="shared" si="6"/>
        <v>8.75</v>
      </c>
      <c r="U23" s="8">
        <f t="shared" si="6"/>
        <v>8.1999999999999993</v>
      </c>
      <c r="V23" s="8">
        <f t="shared" si="6"/>
        <v>8.6999999999999993</v>
      </c>
      <c r="W23" s="8">
        <f t="shared" si="6"/>
        <v>9.1000000000000014</v>
      </c>
      <c r="X23" s="8">
        <f t="shared" si="6"/>
        <v>7.9</v>
      </c>
      <c r="Y23" s="8">
        <f t="shared" si="6"/>
        <v>7.35</v>
      </c>
      <c r="Z23" s="8">
        <f t="shared" si="6"/>
        <v>7.5</v>
      </c>
      <c r="AA23" s="8">
        <f t="shared" si="6"/>
        <v>7.9499999999999993</v>
      </c>
    </row>
    <row r="24" spans="1:27" x14ac:dyDescent="0.25">
      <c r="A24" t="s">
        <v>35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7" x14ac:dyDescent="0.25">
      <c r="A25" t="s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7F54-CDCD-4935-A92C-81401C705958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/>
      <c r="C2" s="8"/>
      <c r="D2" s="8"/>
      <c r="E2" s="8"/>
      <c r="F2" s="8"/>
      <c r="G2" s="8"/>
      <c r="H2" s="8">
        <v>1.3</v>
      </c>
      <c r="I2" s="8">
        <v>1.2</v>
      </c>
      <c r="J2" s="8">
        <v>1.1000000000000001</v>
      </c>
      <c r="K2" s="8">
        <v>1.2</v>
      </c>
      <c r="L2" s="8">
        <v>1.9</v>
      </c>
      <c r="M2" s="8">
        <v>2.2000000000000002</v>
      </c>
      <c r="N2" s="8">
        <v>2.2000000000000002</v>
      </c>
      <c r="O2" s="8">
        <v>2.2999999999999998</v>
      </c>
      <c r="P2" s="8">
        <v>2.4</v>
      </c>
      <c r="Q2" s="8">
        <v>2.2999999999999998</v>
      </c>
      <c r="R2" s="8">
        <v>2.2999999999999998</v>
      </c>
      <c r="S2" s="8">
        <v>2.2000000000000002</v>
      </c>
      <c r="T2" s="8">
        <v>2.4</v>
      </c>
      <c r="U2" s="8">
        <v>2.2000000000000002</v>
      </c>
      <c r="V2" s="8">
        <v>2.5</v>
      </c>
      <c r="W2" s="8">
        <v>3.2</v>
      </c>
      <c r="X2" s="8">
        <v>3.3</v>
      </c>
      <c r="Y2" s="8">
        <v>2.6</v>
      </c>
      <c r="Z2" s="8">
        <v>2.7</v>
      </c>
      <c r="AA2" s="8">
        <v>2.9</v>
      </c>
    </row>
    <row r="3" spans="1:27" x14ac:dyDescent="0.25">
      <c r="A3" t="s">
        <v>2</v>
      </c>
      <c r="B3" s="8"/>
      <c r="C3" s="8"/>
      <c r="D3" s="8"/>
      <c r="E3" s="8"/>
      <c r="F3" s="8"/>
      <c r="G3" s="8"/>
      <c r="H3" s="8">
        <v>1.3</v>
      </c>
      <c r="I3" s="8">
        <v>1.2</v>
      </c>
      <c r="J3" s="8">
        <v>1</v>
      </c>
      <c r="K3" s="8">
        <v>1.1000000000000001</v>
      </c>
      <c r="L3" s="8">
        <v>1.8</v>
      </c>
      <c r="M3" s="8">
        <v>2.1</v>
      </c>
      <c r="N3" s="8">
        <v>2</v>
      </c>
      <c r="O3" s="8">
        <v>1.9</v>
      </c>
      <c r="P3" s="8">
        <v>1.9</v>
      </c>
      <c r="Q3" s="8">
        <v>1.7</v>
      </c>
      <c r="R3" s="8">
        <v>1.9</v>
      </c>
      <c r="S3" s="8">
        <v>2.1</v>
      </c>
      <c r="T3" s="8">
        <v>2.2999999999999998</v>
      </c>
      <c r="U3" s="8">
        <v>2.1</v>
      </c>
      <c r="V3" s="8">
        <v>2.2000000000000002</v>
      </c>
      <c r="W3" s="8">
        <v>2.7</v>
      </c>
      <c r="X3" s="8">
        <v>3.2</v>
      </c>
      <c r="Y3" s="8">
        <v>2.7</v>
      </c>
      <c r="Z3" s="8">
        <v>2.2999999999999998</v>
      </c>
      <c r="AA3" s="8">
        <v>2.4</v>
      </c>
    </row>
    <row r="4" spans="1:27" x14ac:dyDescent="0.25">
      <c r="A4" t="s">
        <v>3</v>
      </c>
      <c r="B4" s="8"/>
      <c r="C4" s="8"/>
      <c r="D4" s="8"/>
      <c r="E4" s="8"/>
      <c r="F4" s="8"/>
      <c r="G4" s="8"/>
      <c r="H4" s="8">
        <v>2.2000000000000002</v>
      </c>
      <c r="I4" s="8">
        <v>1.9</v>
      </c>
      <c r="J4" s="8">
        <v>1.8</v>
      </c>
      <c r="K4" s="8">
        <v>2</v>
      </c>
      <c r="L4" s="8">
        <v>3.2</v>
      </c>
      <c r="M4" s="8">
        <v>3.5</v>
      </c>
      <c r="N4" s="8">
        <v>3.4</v>
      </c>
      <c r="O4" s="8">
        <v>3.4</v>
      </c>
      <c r="P4" s="8">
        <v>3</v>
      </c>
      <c r="Q4" s="8">
        <v>2.6</v>
      </c>
      <c r="R4" s="8">
        <v>2.4</v>
      </c>
      <c r="S4" s="8">
        <v>2.2999999999999998</v>
      </c>
      <c r="T4" s="8">
        <v>2.6</v>
      </c>
      <c r="U4" s="8">
        <v>2.5</v>
      </c>
      <c r="V4" s="8">
        <v>2.7</v>
      </c>
      <c r="W4" s="8">
        <v>2.9</v>
      </c>
      <c r="X4" s="8">
        <v>3</v>
      </c>
      <c r="Y4" s="8">
        <v>2.7</v>
      </c>
      <c r="Z4" s="8">
        <v>2.5</v>
      </c>
      <c r="AA4" s="8">
        <v>2.7</v>
      </c>
    </row>
    <row r="5" spans="1:27" x14ac:dyDescent="0.25">
      <c r="A5" t="s">
        <v>4</v>
      </c>
      <c r="B5" s="8"/>
      <c r="C5" s="8"/>
      <c r="D5" s="8"/>
      <c r="E5" s="8"/>
      <c r="F5" s="8"/>
      <c r="G5" s="8"/>
      <c r="H5" s="8">
        <v>3.4</v>
      </c>
      <c r="I5" s="8">
        <v>3.4</v>
      </c>
      <c r="J5" s="8">
        <v>3.2</v>
      </c>
      <c r="K5" s="8">
        <v>3.4</v>
      </c>
      <c r="L5" s="8">
        <v>4.5999999999999996</v>
      </c>
      <c r="M5" s="8">
        <v>5.0999999999999996</v>
      </c>
      <c r="N5" s="8">
        <v>5.2</v>
      </c>
      <c r="O5" s="8">
        <v>5.0999999999999996</v>
      </c>
      <c r="P5" s="8">
        <v>5.5</v>
      </c>
      <c r="Q5" s="8">
        <v>5.4</v>
      </c>
      <c r="R5" s="8">
        <v>5.6</v>
      </c>
      <c r="S5" s="8">
        <v>5.9</v>
      </c>
      <c r="T5" s="8">
        <v>6.4</v>
      </c>
      <c r="U5" s="8">
        <v>5.5</v>
      </c>
      <c r="V5" s="8">
        <v>5.4</v>
      </c>
      <c r="W5" s="8">
        <v>5.7</v>
      </c>
      <c r="X5" s="8">
        <v>5.3</v>
      </c>
      <c r="Y5" s="8">
        <v>4.3</v>
      </c>
      <c r="Z5" s="8">
        <v>4.2</v>
      </c>
      <c r="AA5" s="8">
        <v>4.5999999999999996</v>
      </c>
    </row>
    <row r="6" spans="1:27" x14ac:dyDescent="0.25">
      <c r="A6" t="s">
        <v>5</v>
      </c>
      <c r="B6" s="8"/>
      <c r="C6" s="8"/>
      <c r="D6" s="8"/>
      <c r="E6" s="8"/>
      <c r="F6" s="8"/>
      <c r="G6" s="8"/>
      <c r="H6" s="8">
        <v>1.6</v>
      </c>
      <c r="I6" s="8">
        <v>1.4</v>
      </c>
      <c r="J6" s="8">
        <v>1.1000000000000001</v>
      </c>
      <c r="K6" s="8">
        <v>1.1000000000000001</v>
      </c>
      <c r="L6" s="8">
        <v>2.2000000000000002</v>
      </c>
      <c r="M6" s="8">
        <v>2</v>
      </c>
      <c r="N6" s="8">
        <v>2</v>
      </c>
      <c r="O6" s="8">
        <v>2.1</v>
      </c>
      <c r="P6" s="8">
        <v>2.1</v>
      </c>
      <c r="Q6" s="8">
        <v>2</v>
      </c>
      <c r="R6" s="8">
        <v>2</v>
      </c>
      <c r="S6" s="8">
        <v>2</v>
      </c>
      <c r="T6" s="8">
        <v>2</v>
      </c>
      <c r="U6" s="8">
        <v>1.9</v>
      </c>
      <c r="V6" s="8">
        <v>2.1</v>
      </c>
      <c r="W6" s="8">
        <v>2.4</v>
      </c>
      <c r="X6" s="8">
        <v>2.2000000000000002</v>
      </c>
      <c r="Y6" s="8">
        <v>1.7</v>
      </c>
      <c r="Z6" s="8">
        <v>2</v>
      </c>
      <c r="AA6" s="8">
        <v>2.2999999999999998</v>
      </c>
    </row>
    <row r="7" spans="1:27" x14ac:dyDescent="0.25">
      <c r="A7" t="s">
        <v>6</v>
      </c>
      <c r="B7" s="8"/>
      <c r="C7" s="8"/>
      <c r="D7" s="8"/>
      <c r="E7" s="8"/>
      <c r="F7" s="8"/>
      <c r="G7" s="8"/>
      <c r="H7" s="8">
        <v>3.2</v>
      </c>
      <c r="I7" s="8">
        <v>2.7</v>
      </c>
      <c r="J7" s="8">
        <v>2.1</v>
      </c>
      <c r="K7" s="8">
        <v>2.1</v>
      </c>
      <c r="L7" s="8">
        <v>3.8</v>
      </c>
      <c r="M7" s="8">
        <v>4.9000000000000004</v>
      </c>
      <c r="N7" s="8">
        <v>5</v>
      </c>
      <c r="O7" s="8">
        <v>5.4</v>
      </c>
      <c r="P7" s="8">
        <v>6</v>
      </c>
      <c r="Q7" s="8">
        <v>6.3</v>
      </c>
      <c r="R7" s="8">
        <v>6.6</v>
      </c>
      <c r="S7" s="8">
        <v>6.7</v>
      </c>
      <c r="T7" s="8">
        <v>6.8</v>
      </c>
      <c r="U7" s="8">
        <v>6.3</v>
      </c>
      <c r="V7" s="8">
        <v>6.3</v>
      </c>
      <c r="W7" s="8">
        <v>7.1</v>
      </c>
      <c r="X7" s="8">
        <v>6.6</v>
      </c>
      <c r="Y7" s="8">
        <v>5.3</v>
      </c>
      <c r="Z7" s="8">
        <v>5.2</v>
      </c>
      <c r="AA7" s="8">
        <v>5.8</v>
      </c>
    </row>
    <row r="8" spans="1:27" x14ac:dyDescent="0.25">
      <c r="A8" t="s">
        <v>7</v>
      </c>
      <c r="B8" s="8"/>
      <c r="C8" s="8"/>
      <c r="D8" s="8"/>
      <c r="E8" s="8"/>
      <c r="F8" s="8"/>
      <c r="G8" s="8"/>
      <c r="H8" s="8">
        <v>1.7</v>
      </c>
      <c r="I8" s="8">
        <v>1.5</v>
      </c>
      <c r="J8" s="8">
        <v>1.3</v>
      </c>
      <c r="K8" s="8">
        <v>1.3</v>
      </c>
      <c r="L8" s="8">
        <v>1.8</v>
      </c>
      <c r="M8" s="8">
        <v>2</v>
      </c>
      <c r="N8" s="8">
        <v>1.8</v>
      </c>
      <c r="O8" s="8">
        <v>1.8</v>
      </c>
      <c r="P8" s="8">
        <v>1.8</v>
      </c>
      <c r="Q8" s="8">
        <v>2</v>
      </c>
      <c r="R8" s="8">
        <v>2</v>
      </c>
      <c r="S8" s="8">
        <v>2.1</v>
      </c>
      <c r="T8" s="8">
        <v>2.6</v>
      </c>
      <c r="U8" s="8">
        <v>2.7</v>
      </c>
      <c r="V8" s="8">
        <v>3</v>
      </c>
      <c r="W8" s="8">
        <v>3.3</v>
      </c>
      <c r="X8" s="8">
        <v>3.2</v>
      </c>
      <c r="Y8" s="8">
        <v>2.5</v>
      </c>
      <c r="Z8" s="8">
        <v>2.6</v>
      </c>
      <c r="AA8" s="8">
        <v>2.7</v>
      </c>
    </row>
    <row r="9" spans="1:27" x14ac:dyDescent="0.25">
      <c r="A9" t="s">
        <v>8</v>
      </c>
      <c r="B9" s="8"/>
      <c r="C9" s="8"/>
      <c r="D9" s="8"/>
      <c r="E9" s="8"/>
      <c r="F9" s="8"/>
      <c r="G9" s="8"/>
      <c r="H9" s="8">
        <v>2.4</v>
      </c>
      <c r="I9" s="8">
        <v>1.8</v>
      </c>
      <c r="J9" s="8">
        <v>1.8</v>
      </c>
      <c r="K9" s="8">
        <v>1.9</v>
      </c>
      <c r="L9" s="8">
        <v>3.5</v>
      </c>
      <c r="M9" s="8">
        <v>4.3</v>
      </c>
      <c r="N9" s="8">
        <v>4.5</v>
      </c>
      <c r="O9" s="8">
        <v>4.3</v>
      </c>
      <c r="P9" s="8">
        <v>4.0999999999999996</v>
      </c>
      <c r="Q9" s="8">
        <v>4.3</v>
      </c>
      <c r="R9" s="8">
        <v>4.5999999999999996</v>
      </c>
      <c r="S9" s="8">
        <v>4.3</v>
      </c>
      <c r="T9" s="8">
        <v>4.5</v>
      </c>
      <c r="U9" s="8">
        <v>4.0999999999999996</v>
      </c>
      <c r="V9" s="8">
        <v>4.4000000000000004</v>
      </c>
      <c r="W9" s="8">
        <v>5.0999999999999996</v>
      </c>
      <c r="X9" s="8">
        <v>4.8</v>
      </c>
      <c r="Y9" s="8">
        <v>4</v>
      </c>
      <c r="Z9" s="8">
        <v>4.5</v>
      </c>
      <c r="AA9" s="8">
        <v>5.0999999999999996</v>
      </c>
    </row>
    <row r="10" spans="1:27" x14ac:dyDescent="0.25">
      <c r="A10" t="s">
        <v>9</v>
      </c>
      <c r="B10" s="8"/>
      <c r="C10" s="8"/>
      <c r="D10" s="8"/>
      <c r="E10" s="8"/>
      <c r="F10" s="8"/>
      <c r="G10" s="8"/>
      <c r="H10" s="8">
        <v>2.4</v>
      </c>
      <c r="I10" s="8">
        <v>2.2000000000000002</v>
      </c>
      <c r="J10" s="8">
        <v>1.8</v>
      </c>
      <c r="K10" s="8">
        <v>1.8</v>
      </c>
      <c r="L10" s="8">
        <v>3.4</v>
      </c>
      <c r="M10" s="8">
        <v>3.7</v>
      </c>
      <c r="N10" s="8">
        <v>3.5</v>
      </c>
      <c r="O10" s="8">
        <v>3.3</v>
      </c>
      <c r="P10" s="8">
        <v>3.4</v>
      </c>
      <c r="Q10" s="8">
        <v>3.3</v>
      </c>
      <c r="R10" s="8">
        <v>3.2</v>
      </c>
      <c r="S10" s="8">
        <v>3</v>
      </c>
      <c r="T10" s="8">
        <v>2.9</v>
      </c>
      <c r="U10" s="8">
        <v>2.8</v>
      </c>
      <c r="V10" s="8">
        <v>3</v>
      </c>
      <c r="W10" s="8">
        <v>3.7</v>
      </c>
      <c r="X10" s="8">
        <v>3.8</v>
      </c>
      <c r="Y10" s="8">
        <v>2.9</v>
      </c>
      <c r="Z10" s="8">
        <v>2.7</v>
      </c>
      <c r="AA10" s="8">
        <v>3.2</v>
      </c>
    </row>
    <row r="11" spans="1:27" x14ac:dyDescent="0.25">
      <c r="A11" t="s">
        <v>10</v>
      </c>
      <c r="B11" s="8"/>
      <c r="C11" s="8"/>
      <c r="D11" s="8"/>
      <c r="E11" s="8"/>
      <c r="F11" s="8"/>
      <c r="G11" s="8"/>
      <c r="H11" s="8">
        <v>2.8</v>
      </c>
      <c r="I11" s="8">
        <v>2.8</v>
      </c>
      <c r="J11" s="8">
        <v>2.8</v>
      </c>
      <c r="K11" s="8">
        <v>2.8</v>
      </c>
      <c r="L11" s="8">
        <v>3.8</v>
      </c>
      <c r="M11" s="8">
        <v>3.8</v>
      </c>
      <c r="N11" s="8">
        <v>3.7</v>
      </c>
      <c r="O11" s="8">
        <v>3.6</v>
      </c>
      <c r="P11" s="8">
        <v>3.3</v>
      </c>
      <c r="Q11" s="8">
        <v>3</v>
      </c>
      <c r="R11" s="8">
        <v>2.9</v>
      </c>
      <c r="S11" s="8">
        <v>2.9</v>
      </c>
      <c r="T11" s="8">
        <v>3</v>
      </c>
      <c r="U11" s="8">
        <v>3</v>
      </c>
      <c r="V11" s="8">
        <v>3.6</v>
      </c>
      <c r="W11" s="8">
        <v>4.5999999999999996</v>
      </c>
      <c r="X11" s="8">
        <v>4.4000000000000004</v>
      </c>
      <c r="Y11" s="8">
        <v>3.6</v>
      </c>
      <c r="Z11" s="8">
        <v>3.4</v>
      </c>
      <c r="AA11" s="8">
        <v>3.5</v>
      </c>
    </row>
    <row r="12" spans="1:27" x14ac:dyDescent="0.25">
      <c r="A12" t="s">
        <v>11</v>
      </c>
      <c r="B12" s="8"/>
      <c r="C12" s="8"/>
      <c r="D12" s="8"/>
      <c r="E12" s="8"/>
      <c r="F12" s="8"/>
      <c r="G12" s="8"/>
      <c r="H12" s="8">
        <v>2.4</v>
      </c>
      <c r="I12" s="8">
        <v>2.2000000000000002</v>
      </c>
      <c r="J12" s="8">
        <v>1.9</v>
      </c>
      <c r="K12" s="8">
        <v>2</v>
      </c>
      <c r="L12" s="8">
        <v>3.4</v>
      </c>
      <c r="M12" s="8">
        <v>4</v>
      </c>
      <c r="N12" s="8">
        <v>4</v>
      </c>
      <c r="O12" s="8">
        <v>4</v>
      </c>
      <c r="P12" s="8">
        <v>3.7</v>
      </c>
      <c r="Q12" s="8">
        <v>3.4</v>
      </c>
      <c r="R12" s="8">
        <v>3.6</v>
      </c>
      <c r="S12" s="8">
        <v>3.8</v>
      </c>
      <c r="T12" s="8">
        <v>4.2</v>
      </c>
      <c r="U12" s="8">
        <v>3.9</v>
      </c>
      <c r="V12" s="8">
        <v>3.8</v>
      </c>
      <c r="W12" s="8">
        <v>4.8</v>
      </c>
      <c r="X12" s="8">
        <v>4.7</v>
      </c>
      <c r="Y12" s="8">
        <v>3.7</v>
      </c>
      <c r="Z12" s="8">
        <v>3.6</v>
      </c>
      <c r="AA12" s="8">
        <v>3.9</v>
      </c>
    </row>
    <row r="13" spans="1:27" x14ac:dyDescent="0.25">
      <c r="A13" t="s">
        <v>12</v>
      </c>
      <c r="B13" s="8"/>
      <c r="C13" s="8"/>
      <c r="D13" s="8"/>
      <c r="E13" s="8"/>
      <c r="F13" s="8"/>
      <c r="G13" s="8"/>
      <c r="H13" s="8">
        <v>1.7</v>
      </c>
      <c r="I13" s="8">
        <v>1.5</v>
      </c>
      <c r="J13" s="8">
        <v>1.2</v>
      </c>
      <c r="K13" s="8">
        <v>1.4</v>
      </c>
      <c r="L13" s="8">
        <v>2.2999999999999998</v>
      </c>
      <c r="M13" s="8">
        <v>2.5</v>
      </c>
      <c r="N13" s="8">
        <v>2.2999999999999998</v>
      </c>
      <c r="O13" s="8">
        <v>2.2999999999999998</v>
      </c>
      <c r="P13" s="8">
        <v>2.1</v>
      </c>
      <c r="Q13" s="8">
        <v>2</v>
      </c>
      <c r="R13" s="8">
        <v>1.8</v>
      </c>
      <c r="S13" s="8">
        <v>1.7</v>
      </c>
      <c r="T13" s="8">
        <v>1.9</v>
      </c>
      <c r="U13" s="8">
        <v>1.8</v>
      </c>
      <c r="V13" s="8">
        <v>1.9</v>
      </c>
      <c r="W13" s="8">
        <v>2.4</v>
      </c>
      <c r="X13" s="8">
        <v>2.1</v>
      </c>
      <c r="Y13" s="8">
        <v>1.6</v>
      </c>
      <c r="Z13" s="8">
        <v>1.3</v>
      </c>
      <c r="AA13" s="8">
        <v>1.4</v>
      </c>
    </row>
    <row r="14" spans="1:27" x14ac:dyDescent="0.25">
      <c r="A14" t="s">
        <v>21</v>
      </c>
      <c r="B14" s="8"/>
      <c r="C14" s="8"/>
      <c r="D14" s="8"/>
      <c r="E14" s="8"/>
      <c r="F14" s="8"/>
      <c r="G14" s="8"/>
      <c r="H14" s="8">
        <v>2.4</v>
      </c>
      <c r="I14" s="8">
        <v>2.2000000000000002</v>
      </c>
      <c r="J14" s="8">
        <v>2.1</v>
      </c>
      <c r="K14" s="8">
        <v>2.4</v>
      </c>
      <c r="L14" s="8">
        <v>3.7</v>
      </c>
      <c r="M14" s="8">
        <v>4.0999999999999996</v>
      </c>
      <c r="N14" s="8">
        <v>4</v>
      </c>
      <c r="O14" s="8">
        <v>4</v>
      </c>
      <c r="P14" s="8">
        <v>3.9</v>
      </c>
      <c r="Q14" s="8">
        <v>3.8</v>
      </c>
      <c r="R14" s="8">
        <v>3.8</v>
      </c>
      <c r="S14" s="8">
        <v>3.8</v>
      </c>
      <c r="T14" s="8">
        <v>4.2</v>
      </c>
      <c r="U14" s="8">
        <v>3.7</v>
      </c>
      <c r="V14" s="8">
        <v>3.8</v>
      </c>
      <c r="W14" s="8">
        <v>4</v>
      </c>
      <c r="X14" s="8">
        <v>3.8</v>
      </c>
      <c r="Y14" s="8">
        <v>3.1</v>
      </c>
      <c r="Z14" s="8">
        <v>3</v>
      </c>
      <c r="AA14" s="8">
        <v>3.3</v>
      </c>
    </row>
    <row r="15" spans="1:27" x14ac:dyDescent="0.25">
      <c r="A15" t="s">
        <v>18</v>
      </c>
      <c r="B15" s="9"/>
      <c r="C15" s="9"/>
      <c r="D15" s="9"/>
      <c r="E15" s="9"/>
      <c r="F15" s="9"/>
      <c r="G15" s="9"/>
      <c r="H15" s="9">
        <v>1.8</v>
      </c>
      <c r="I15" s="9">
        <v>1.5</v>
      </c>
      <c r="J15" s="9">
        <v>1.3</v>
      </c>
      <c r="K15" s="9">
        <v>1.5</v>
      </c>
      <c r="L15" s="9">
        <v>2.7</v>
      </c>
      <c r="M15" s="9">
        <v>3</v>
      </c>
      <c r="N15" s="9">
        <v>2.9</v>
      </c>
      <c r="O15" s="9">
        <v>3</v>
      </c>
      <c r="P15" s="9">
        <v>3</v>
      </c>
      <c r="Q15" s="9">
        <v>2.9</v>
      </c>
      <c r="R15" s="9">
        <v>3</v>
      </c>
      <c r="S15" s="9">
        <v>3</v>
      </c>
      <c r="T15" s="9">
        <v>3.1</v>
      </c>
      <c r="U15" s="9">
        <v>2.9</v>
      </c>
      <c r="V15" s="9">
        <v>3</v>
      </c>
      <c r="W15" s="9">
        <v>3.5</v>
      </c>
      <c r="X15" s="9">
        <v>3.4</v>
      </c>
      <c r="Y15" s="9">
        <v>2.7</v>
      </c>
      <c r="Z15" s="9">
        <v>2.7</v>
      </c>
      <c r="AA15" s="9">
        <v>2.9</v>
      </c>
    </row>
    <row r="16" spans="1:27" x14ac:dyDescent="0.25">
      <c r="A16" t="s">
        <v>16</v>
      </c>
      <c r="B16" s="10"/>
      <c r="C16" s="10"/>
      <c r="D16" s="10"/>
      <c r="E16" s="10"/>
      <c r="F16" s="10"/>
      <c r="G16" s="10"/>
      <c r="H16" s="8">
        <f t="shared" ref="H16:AA16" si="0">SUM(H2:H13)/12</f>
        <v>2.1999999999999997</v>
      </c>
      <c r="I16" s="8">
        <f t="shared" si="0"/>
        <v>1.9833333333333334</v>
      </c>
      <c r="J16" s="8">
        <f t="shared" si="0"/>
        <v>1.7583333333333335</v>
      </c>
      <c r="K16" s="8">
        <f t="shared" si="0"/>
        <v>1.8416666666666666</v>
      </c>
      <c r="L16" s="8">
        <f t="shared" si="0"/>
        <v>2.9749999999999996</v>
      </c>
      <c r="M16" s="8">
        <f t="shared" si="0"/>
        <v>3.3416666666666668</v>
      </c>
      <c r="N16" s="8">
        <f t="shared" si="0"/>
        <v>3.3000000000000003</v>
      </c>
      <c r="O16" s="8">
        <f t="shared" si="0"/>
        <v>3.2916666666666665</v>
      </c>
      <c r="P16" s="8">
        <f t="shared" si="0"/>
        <v>3.2749999999999999</v>
      </c>
      <c r="Q16" s="8">
        <f t="shared" si="0"/>
        <v>3.1916666666666669</v>
      </c>
      <c r="R16" s="8">
        <f t="shared" si="0"/>
        <v>3.2416666666666667</v>
      </c>
      <c r="S16" s="8">
        <f t="shared" si="0"/>
        <v>3.25</v>
      </c>
      <c r="T16" s="8">
        <f t="shared" si="0"/>
        <v>3.4666666666666668</v>
      </c>
      <c r="U16" s="8">
        <f t="shared" si="0"/>
        <v>3.2333333333333325</v>
      </c>
      <c r="V16" s="8">
        <f t="shared" si="0"/>
        <v>3.4083333333333332</v>
      </c>
      <c r="W16" s="8">
        <f t="shared" si="0"/>
        <v>3.9916666666666667</v>
      </c>
      <c r="X16" s="8">
        <f t="shared" si="0"/>
        <v>3.8833333333333333</v>
      </c>
      <c r="Y16" s="8">
        <f t="shared" si="0"/>
        <v>3.1333333333333333</v>
      </c>
      <c r="Z16" s="8">
        <f t="shared" si="0"/>
        <v>3.0833333333333335</v>
      </c>
      <c r="AA16" s="8">
        <f t="shared" si="0"/>
        <v>3.375</v>
      </c>
    </row>
    <row r="17" spans="1:27" x14ac:dyDescent="0.25">
      <c r="A17" t="s">
        <v>17</v>
      </c>
      <c r="B17" s="10"/>
      <c r="C17" s="10"/>
      <c r="D17" s="10"/>
      <c r="E17" s="10"/>
      <c r="F17" s="10"/>
      <c r="G17" s="10"/>
      <c r="H17" s="8">
        <f t="shared" ref="H17:AA17" si="1">SUM(H2+H7+H10)/3</f>
        <v>2.3000000000000003</v>
      </c>
      <c r="I17" s="8">
        <f t="shared" si="1"/>
        <v>2.0333333333333337</v>
      </c>
      <c r="J17" s="8">
        <f t="shared" si="1"/>
        <v>1.6666666666666667</v>
      </c>
      <c r="K17" s="8">
        <f t="shared" si="1"/>
        <v>1.7</v>
      </c>
      <c r="L17" s="8">
        <f t="shared" si="1"/>
        <v>3.0333333333333332</v>
      </c>
      <c r="M17" s="8">
        <f t="shared" si="1"/>
        <v>3.6</v>
      </c>
      <c r="N17" s="8">
        <f t="shared" si="1"/>
        <v>3.5666666666666664</v>
      </c>
      <c r="O17" s="8">
        <f t="shared" si="1"/>
        <v>3.6666666666666665</v>
      </c>
      <c r="P17" s="8">
        <f t="shared" si="1"/>
        <v>3.9333333333333336</v>
      </c>
      <c r="Q17" s="8">
        <f t="shared" si="1"/>
        <v>3.9666666666666663</v>
      </c>
      <c r="R17" s="8">
        <f t="shared" si="1"/>
        <v>4.0333333333333323</v>
      </c>
      <c r="S17" s="8">
        <f t="shared" si="1"/>
        <v>3.9666666666666668</v>
      </c>
      <c r="T17" s="8">
        <f t="shared" si="1"/>
        <v>4.0333333333333332</v>
      </c>
      <c r="U17" s="8">
        <f t="shared" si="1"/>
        <v>3.7666666666666671</v>
      </c>
      <c r="V17" s="8">
        <f t="shared" si="1"/>
        <v>3.9333333333333336</v>
      </c>
      <c r="W17" s="8">
        <f t="shared" si="1"/>
        <v>4.666666666666667</v>
      </c>
      <c r="X17" s="8">
        <f t="shared" si="1"/>
        <v>4.5666666666666664</v>
      </c>
      <c r="Y17" s="8">
        <f t="shared" si="1"/>
        <v>3.6</v>
      </c>
      <c r="Z17" s="8">
        <f t="shared" si="1"/>
        <v>3.5333333333333337</v>
      </c>
      <c r="AA17" s="8">
        <f t="shared" si="1"/>
        <v>3.9666666666666663</v>
      </c>
    </row>
    <row r="18" spans="1:27" x14ac:dyDescent="0.25">
      <c r="A18" t="s">
        <v>13</v>
      </c>
      <c r="B18" s="10"/>
      <c r="C18" s="10"/>
      <c r="D18" s="10"/>
      <c r="E18" s="10"/>
      <c r="F18" s="10"/>
      <c r="G18" s="10"/>
      <c r="H18" s="8">
        <f t="shared" ref="H18:AA18" si="2">SUM(H2+H3+H7+H10)/4</f>
        <v>2.0500000000000003</v>
      </c>
      <c r="I18" s="8">
        <f t="shared" si="2"/>
        <v>1.825</v>
      </c>
      <c r="J18" s="8">
        <f t="shared" si="2"/>
        <v>1.5</v>
      </c>
      <c r="K18" s="8">
        <f t="shared" si="2"/>
        <v>1.55</v>
      </c>
      <c r="L18" s="8">
        <f t="shared" si="2"/>
        <v>2.7250000000000001</v>
      </c>
      <c r="M18" s="8">
        <f t="shared" si="2"/>
        <v>3.2250000000000005</v>
      </c>
      <c r="N18" s="8">
        <f t="shared" si="2"/>
        <v>3.1749999999999998</v>
      </c>
      <c r="O18" s="8">
        <f t="shared" si="2"/>
        <v>3.2249999999999996</v>
      </c>
      <c r="P18" s="8">
        <f t="shared" si="2"/>
        <v>3.4250000000000003</v>
      </c>
      <c r="Q18" s="8">
        <f t="shared" si="2"/>
        <v>3.4000000000000004</v>
      </c>
      <c r="R18" s="8">
        <f t="shared" si="2"/>
        <v>3.5</v>
      </c>
      <c r="S18" s="8">
        <f t="shared" si="2"/>
        <v>3.5</v>
      </c>
      <c r="T18" s="8">
        <f t="shared" si="2"/>
        <v>3.6</v>
      </c>
      <c r="U18" s="8">
        <f t="shared" si="2"/>
        <v>3.3500000000000005</v>
      </c>
      <c r="V18" s="8">
        <f t="shared" si="2"/>
        <v>3.5</v>
      </c>
      <c r="W18" s="8">
        <f t="shared" si="2"/>
        <v>4.1749999999999998</v>
      </c>
      <c r="X18" s="8">
        <f t="shared" si="2"/>
        <v>4.2249999999999996</v>
      </c>
      <c r="Y18" s="8">
        <f t="shared" si="2"/>
        <v>3.3750000000000004</v>
      </c>
      <c r="Z18" s="8">
        <f t="shared" si="2"/>
        <v>3.2249999999999996</v>
      </c>
      <c r="AA18" s="8">
        <f t="shared" si="2"/>
        <v>3.5750000000000002</v>
      </c>
    </row>
    <row r="19" spans="1:27" x14ac:dyDescent="0.25">
      <c r="A19" t="s">
        <v>14</v>
      </c>
      <c r="B19" s="10"/>
      <c r="C19" s="10"/>
      <c r="D19" s="10"/>
      <c r="E19" s="10"/>
      <c r="F19" s="10"/>
      <c r="G19" s="10"/>
      <c r="H19" s="8">
        <f t="shared" ref="H19:AA19" si="3">(H4+H5+H6+H8+H9+H11+H12+H13)/8</f>
        <v>2.2749999999999995</v>
      </c>
      <c r="I19" s="8">
        <f t="shared" si="3"/>
        <v>2.0625</v>
      </c>
      <c r="J19" s="8">
        <f t="shared" si="3"/>
        <v>1.8875</v>
      </c>
      <c r="K19" s="8">
        <f t="shared" si="3"/>
        <v>1.9875</v>
      </c>
      <c r="L19" s="8">
        <f t="shared" si="3"/>
        <v>3.1</v>
      </c>
      <c r="M19" s="8">
        <f t="shared" si="3"/>
        <v>3.4</v>
      </c>
      <c r="N19" s="8">
        <f t="shared" si="3"/>
        <v>3.3624999999999998</v>
      </c>
      <c r="O19" s="8">
        <f t="shared" si="3"/>
        <v>3.3250000000000002</v>
      </c>
      <c r="P19" s="8">
        <f t="shared" si="3"/>
        <v>3.2</v>
      </c>
      <c r="Q19" s="8">
        <f t="shared" si="3"/>
        <v>3.0874999999999999</v>
      </c>
      <c r="R19" s="8">
        <f t="shared" si="3"/>
        <v>3.1125000000000003</v>
      </c>
      <c r="S19" s="8">
        <f t="shared" si="3"/>
        <v>3.1249999999999996</v>
      </c>
      <c r="T19" s="8">
        <f t="shared" si="3"/>
        <v>3.4</v>
      </c>
      <c r="U19" s="8">
        <f t="shared" si="3"/>
        <v>3.1750000000000003</v>
      </c>
      <c r="V19" s="8">
        <f t="shared" si="3"/>
        <v>3.3625000000000003</v>
      </c>
      <c r="W19" s="8">
        <f t="shared" si="3"/>
        <v>3.9</v>
      </c>
      <c r="X19" s="8">
        <f t="shared" si="3"/>
        <v>3.7124999999999999</v>
      </c>
      <c r="Y19" s="8">
        <f t="shared" si="3"/>
        <v>3.0125000000000002</v>
      </c>
      <c r="Z19" s="8">
        <f t="shared" si="3"/>
        <v>3.0125000000000002</v>
      </c>
      <c r="AA19" s="8">
        <f t="shared" si="3"/>
        <v>3.2749999999999995</v>
      </c>
    </row>
    <row r="20" spans="1:27" x14ac:dyDescent="0.25">
      <c r="A20" t="s">
        <v>20</v>
      </c>
      <c r="B20" s="10"/>
      <c r="C20" s="10"/>
      <c r="D20" s="10"/>
      <c r="E20" s="10"/>
      <c r="F20" s="10"/>
      <c r="G20" s="10"/>
      <c r="H20" s="8">
        <f t="shared" ref="H20:AA20" si="4">(H6+H8+H9+H11+H12+H13)/6</f>
        <v>2.1</v>
      </c>
      <c r="I20" s="8">
        <f t="shared" si="4"/>
        <v>1.8666666666666665</v>
      </c>
      <c r="J20" s="8">
        <f t="shared" si="4"/>
        <v>1.6833333333333333</v>
      </c>
      <c r="K20" s="8">
        <f t="shared" si="4"/>
        <v>1.7500000000000002</v>
      </c>
      <c r="L20" s="8">
        <f t="shared" si="4"/>
        <v>2.8333333333333335</v>
      </c>
      <c r="M20" s="8">
        <f t="shared" si="4"/>
        <v>3.1</v>
      </c>
      <c r="N20" s="8">
        <f t="shared" si="4"/>
        <v>3.0500000000000003</v>
      </c>
      <c r="O20" s="8">
        <f t="shared" si="4"/>
        <v>3.0166666666666662</v>
      </c>
      <c r="P20" s="8">
        <f t="shared" si="4"/>
        <v>2.85</v>
      </c>
      <c r="Q20" s="8">
        <f t="shared" si="4"/>
        <v>2.7833333333333337</v>
      </c>
      <c r="R20" s="8">
        <f t="shared" si="4"/>
        <v>2.8166666666666664</v>
      </c>
      <c r="S20" s="8">
        <f t="shared" si="4"/>
        <v>2.7999999999999994</v>
      </c>
      <c r="T20" s="8">
        <f t="shared" si="4"/>
        <v>3.0333333333333332</v>
      </c>
      <c r="U20" s="8">
        <f t="shared" si="4"/>
        <v>2.9</v>
      </c>
      <c r="V20" s="8">
        <f t="shared" si="4"/>
        <v>3.1333333333333329</v>
      </c>
      <c r="W20" s="8">
        <f t="shared" si="4"/>
        <v>3.7666666666666662</v>
      </c>
      <c r="X20" s="8">
        <f t="shared" si="4"/>
        <v>3.5666666666666669</v>
      </c>
      <c r="Y20" s="8">
        <f t="shared" si="4"/>
        <v>2.85</v>
      </c>
      <c r="Z20" s="8">
        <f t="shared" si="4"/>
        <v>2.9000000000000004</v>
      </c>
      <c r="AA20" s="8">
        <f t="shared" si="4"/>
        <v>3.15</v>
      </c>
    </row>
    <row r="21" spans="1:27" x14ac:dyDescent="0.25">
      <c r="A21" t="s">
        <v>34</v>
      </c>
      <c r="B21" s="10"/>
      <c r="C21" s="10"/>
      <c r="D21" s="10"/>
      <c r="E21" s="10"/>
      <c r="F21" s="10"/>
      <c r="G21" s="10"/>
      <c r="H21" s="8">
        <f t="shared" ref="H21:AA21" si="5">(H5+H6+H8+H9+H11+H12+H13)/7</f>
        <v>2.2857142857142856</v>
      </c>
      <c r="I21" s="8">
        <f t="shared" si="5"/>
        <v>2.0857142857142854</v>
      </c>
      <c r="J21" s="8">
        <f t="shared" si="5"/>
        <v>1.9</v>
      </c>
      <c r="K21" s="8">
        <f t="shared" si="5"/>
        <v>1.9857142857142858</v>
      </c>
      <c r="L21" s="8">
        <f t="shared" si="5"/>
        <v>3.0857142857142854</v>
      </c>
      <c r="M21" s="8">
        <f t="shared" si="5"/>
        <v>3.3857142857142857</v>
      </c>
      <c r="N21" s="8">
        <f t="shared" si="5"/>
        <v>3.3571428571428572</v>
      </c>
      <c r="O21" s="8">
        <f t="shared" si="5"/>
        <v>3.3142857142857145</v>
      </c>
      <c r="P21" s="8">
        <f t="shared" si="5"/>
        <v>3.2285714285714286</v>
      </c>
      <c r="Q21" s="8">
        <f t="shared" si="5"/>
        <v>3.157142857142857</v>
      </c>
      <c r="R21" s="8">
        <f t="shared" si="5"/>
        <v>3.2142857142857144</v>
      </c>
      <c r="S21" s="8">
        <f t="shared" si="5"/>
        <v>3.2428571428571429</v>
      </c>
      <c r="T21" s="8">
        <f t="shared" si="5"/>
        <v>3.5142857142857138</v>
      </c>
      <c r="U21" s="8">
        <f t="shared" si="5"/>
        <v>3.2714285714285718</v>
      </c>
      <c r="V21" s="8">
        <f t="shared" si="5"/>
        <v>3.4571428571428569</v>
      </c>
      <c r="W21" s="8">
        <f t="shared" si="5"/>
        <v>4.0428571428571427</v>
      </c>
      <c r="X21" s="8">
        <f t="shared" si="5"/>
        <v>3.8142857142857141</v>
      </c>
      <c r="Y21" s="8">
        <f t="shared" si="5"/>
        <v>3.0571428571428574</v>
      </c>
      <c r="Z21" s="8">
        <f t="shared" si="5"/>
        <v>3.0857142857142859</v>
      </c>
      <c r="AA21" s="8">
        <f t="shared" si="5"/>
        <v>3.3571428571428568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A23" t="s">
        <v>15</v>
      </c>
      <c r="B23" s="10"/>
      <c r="C23" s="10"/>
      <c r="D23" s="10"/>
      <c r="E23" s="10"/>
      <c r="F23" s="10"/>
      <c r="G23" s="10"/>
      <c r="H23" s="8">
        <f t="shared" ref="H23:AA23" si="6">(H4+H5)/2</f>
        <v>2.8</v>
      </c>
      <c r="I23" s="8">
        <f t="shared" si="6"/>
        <v>2.65</v>
      </c>
      <c r="J23" s="8">
        <f t="shared" si="6"/>
        <v>2.5</v>
      </c>
      <c r="K23" s="8">
        <f t="shared" si="6"/>
        <v>2.7</v>
      </c>
      <c r="L23" s="8">
        <f t="shared" si="6"/>
        <v>3.9</v>
      </c>
      <c r="M23" s="8">
        <f t="shared" si="6"/>
        <v>4.3</v>
      </c>
      <c r="N23" s="8">
        <f t="shared" si="6"/>
        <v>4.3</v>
      </c>
      <c r="O23" s="8">
        <f t="shared" si="6"/>
        <v>4.25</v>
      </c>
      <c r="P23" s="8">
        <f t="shared" si="6"/>
        <v>4.25</v>
      </c>
      <c r="Q23" s="8">
        <f t="shared" si="6"/>
        <v>4</v>
      </c>
      <c r="R23" s="8">
        <f t="shared" si="6"/>
        <v>4</v>
      </c>
      <c r="S23" s="8">
        <f t="shared" si="6"/>
        <v>4.0999999999999996</v>
      </c>
      <c r="T23" s="8">
        <f t="shared" si="6"/>
        <v>4.5</v>
      </c>
      <c r="U23" s="8">
        <f t="shared" si="6"/>
        <v>4</v>
      </c>
      <c r="V23" s="8">
        <f t="shared" si="6"/>
        <v>4.0500000000000007</v>
      </c>
      <c r="W23" s="8">
        <f t="shared" si="6"/>
        <v>4.3</v>
      </c>
      <c r="X23" s="8">
        <f t="shared" si="6"/>
        <v>4.1500000000000004</v>
      </c>
      <c r="Y23" s="8">
        <f t="shared" si="6"/>
        <v>3.5</v>
      </c>
      <c r="Z23" s="8">
        <f t="shared" si="6"/>
        <v>3.35</v>
      </c>
      <c r="AA23" s="8">
        <f t="shared" si="6"/>
        <v>3.65</v>
      </c>
    </row>
    <row r="24" spans="1:27" x14ac:dyDescent="0.25">
      <c r="A24" t="s">
        <v>35</v>
      </c>
    </row>
    <row r="25" spans="1:27" x14ac:dyDescent="0.25">
      <c r="A25" t="s">
        <v>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8C17-4AC5-4201-9049-954DC7D1020D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  <c r="AA2" s="12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/>
      <c r="AA3" s="12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/>
      <c r="AA4" s="12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2"/>
      <c r="AA5" s="12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2"/>
      <c r="AA6" s="12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/>
      <c r="AA7" s="12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  <c r="AA8" s="12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2"/>
      <c r="AA9" s="12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2"/>
      <c r="AA10" s="12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2"/>
      <c r="AA11" s="12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2"/>
      <c r="AA12" s="12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2"/>
      <c r="AA13" s="12"/>
    </row>
    <row r="14" spans="1:27" x14ac:dyDescent="0.25">
      <c r="A14" t="s">
        <v>21</v>
      </c>
      <c r="Z14" s="12"/>
      <c r="AA14" s="12"/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"/>
      <c r="AA15" s="12"/>
    </row>
    <row r="16" spans="1:27" x14ac:dyDescent="0.25">
      <c r="A16" t="s">
        <v>16</v>
      </c>
      <c r="B16" s="10">
        <f t="shared" ref="B16:Z16" si="0">SUM(B2:B13)/12</f>
        <v>0</v>
      </c>
      <c r="C16" s="10">
        <f t="shared" si="0"/>
        <v>0</v>
      </c>
      <c r="D16" s="10">
        <f t="shared" si="0"/>
        <v>0</v>
      </c>
      <c r="E16" s="10">
        <f t="shared" si="0"/>
        <v>0</v>
      </c>
      <c r="F16" s="10">
        <f t="shared" si="0"/>
        <v>0</v>
      </c>
      <c r="G16" s="10">
        <f t="shared" si="0"/>
        <v>0</v>
      </c>
      <c r="H16" s="10">
        <f t="shared" si="0"/>
        <v>0</v>
      </c>
      <c r="I16" s="10">
        <f t="shared" si="0"/>
        <v>0</v>
      </c>
      <c r="J16" s="10">
        <f t="shared" si="0"/>
        <v>0</v>
      </c>
      <c r="K16" s="10">
        <f t="shared" si="0"/>
        <v>0</v>
      </c>
      <c r="L16" s="10">
        <f t="shared" si="0"/>
        <v>0</v>
      </c>
      <c r="M16" s="10">
        <f t="shared" si="0"/>
        <v>0</v>
      </c>
      <c r="N16" s="10">
        <f t="shared" si="0"/>
        <v>0</v>
      </c>
      <c r="O16" s="10">
        <f t="shared" si="0"/>
        <v>0</v>
      </c>
      <c r="P16" s="10">
        <f t="shared" si="0"/>
        <v>0</v>
      </c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10">
        <f t="shared" si="0"/>
        <v>0</v>
      </c>
      <c r="Y16" s="10">
        <f t="shared" si="0"/>
        <v>0</v>
      </c>
      <c r="Z16" s="10">
        <f t="shared" si="0"/>
        <v>0</v>
      </c>
      <c r="AA16" s="12">
        <f t="shared" ref="AA16:AA18" si="1">+Z16</f>
        <v>0</v>
      </c>
    </row>
    <row r="17" spans="1:27" x14ac:dyDescent="0.25">
      <c r="A17" t="s">
        <v>17</v>
      </c>
      <c r="B17" s="10">
        <f t="shared" ref="B17:Z17" si="2">SUM(B2+B7+B10)/3</f>
        <v>0</v>
      </c>
      <c r="C17" s="10">
        <f t="shared" si="2"/>
        <v>0</v>
      </c>
      <c r="D17" s="10">
        <f t="shared" si="2"/>
        <v>0</v>
      </c>
      <c r="E17" s="10">
        <f t="shared" si="2"/>
        <v>0</v>
      </c>
      <c r="F17" s="10">
        <f t="shared" si="2"/>
        <v>0</v>
      </c>
      <c r="G17" s="10">
        <f t="shared" si="2"/>
        <v>0</v>
      </c>
      <c r="H17" s="10">
        <f t="shared" si="2"/>
        <v>0</v>
      </c>
      <c r="I17" s="10">
        <f t="shared" si="2"/>
        <v>0</v>
      </c>
      <c r="J17" s="10">
        <f t="shared" si="2"/>
        <v>0</v>
      </c>
      <c r="K17" s="10">
        <f t="shared" si="2"/>
        <v>0</v>
      </c>
      <c r="L17" s="10">
        <f t="shared" si="2"/>
        <v>0</v>
      </c>
      <c r="M17" s="10">
        <f t="shared" si="2"/>
        <v>0</v>
      </c>
      <c r="N17" s="10">
        <f t="shared" si="2"/>
        <v>0</v>
      </c>
      <c r="O17" s="10">
        <f t="shared" si="2"/>
        <v>0</v>
      </c>
      <c r="P17" s="10">
        <f t="shared" si="2"/>
        <v>0</v>
      </c>
      <c r="Q17" s="10">
        <f t="shared" si="2"/>
        <v>0</v>
      </c>
      <c r="R17" s="10">
        <f t="shared" si="2"/>
        <v>0</v>
      </c>
      <c r="S17" s="10">
        <f t="shared" si="2"/>
        <v>0</v>
      </c>
      <c r="T17" s="10">
        <f t="shared" si="2"/>
        <v>0</v>
      </c>
      <c r="U17" s="10">
        <f t="shared" si="2"/>
        <v>0</v>
      </c>
      <c r="V17" s="10">
        <f t="shared" si="2"/>
        <v>0</v>
      </c>
      <c r="W17" s="10">
        <f t="shared" si="2"/>
        <v>0</v>
      </c>
      <c r="X17" s="10">
        <f t="shared" si="2"/>
        <v>0</v>
      </c>
      <c r="Y17" s="10">
        <f t="shared" si="2"/>
        <v>0</v>
      </c>
      <c r="Z17" s="10">
        <f t="shared" si="2"/>
        <v>0</v>
      </c>
      <c r="AA17" s="12">
        <f t="shared" si="1"/>
        <v>0</v>
      </c>
    </row>
    <row r="18" spans="1:27" x14ac:dyDescent="0.25">
      <c r="A18" t="s">
        <v>13</v>
      </c>
      <c r="B18" s="10">
        <f t="shared" ref="B18:Z18" si="3">SUM(B2+B3+B7+B10)/4</f>
        <v>0</v>
      </c>
      <c r="C18" s="10">
        <f t="shared" si="3"/>
        <v>0</v>
      </c>
      <c r="D18" s="10">
        <f t="shared" si="3"/>
        <v>0</v>
      </c>
      <c r="E18" s="10">
        <f t="shared" si="3"/>
        <v>0</v>
      </c>
      <c r="F18" s="10">
        <f t="shared" si="3"/>
        <v>0</v>
      </c>
      <c r="G18" s="10">
        <f t="shared" si="3"/>
        <v>0</v>
      </c>
      <c r="H18" s="10">
        <f t="shared" si="3"/>
        <v>0</v>
      </c>
      <c r="I18" s="10">
        <f t="shared" si="3"/>
        <v>0</v>
      </c>
      <c r="J18" s="10">
        <f t="shared" si="3"/>
        <v>0</v>
      </c>
      <c r="K18" s="10">
        <f t="shared" si="3"/>
        <v>0</v>
      </c>
      <c r="L18" s="10">
        <f t="shared" si="3"/>
        <v>0</v>
      </c>
      <c r="M18" s="10">
        <f t="shared" si="3"/>
        <v>0</v>
      </c>
      <c r="N18" s="10">
        <f t="shared" si="3"/>
        <v>0</v>
      </c>
      <c r="O18" s="10">
        <f t="shared" si="3"/>
        <v>0</v>
      </c>
      <c r="P18" s="10">
        <f t="shared" si="3"/>
        <v>0</v>
      </c>
      <c r="Q18" s="10">
        <f t="shared" si="3"/>
        <v>0</v>
      </c>
      <c r="R18" s="10">
        <f t="shared" si="3"/>
        <v>0</v>
      </c>
      <c r="S18" s="10">
        <f t="shared" si="3"/>
        <v>0</v>
      </c>
      <c r="T18" s="10">
        <f t="shared" si="3"/>
        <v>0</v>
      </c>
      <c r="U18" s="10">
        <f t="shared" si="3"/>
        <v>0</v>
      </c>
      <c r="V18" s="10">
        <f t="shared" si="3"/>
        <v>0</v>
      </c>
      <c r="W18" s="10">
        <f t="shared" si="3"/>
        <v>0</v>
      </c>
      <c r="X18" s="10">
        <f t="shared" si="3"/>
        <v>0</v>
      </c>
      <c r="Y18" s="10">
        <f t="shared" si="3"/>
        <v>0</v>
      </c>
      <c r="Z18" s="10">
        <f t="shared" si="3"/>
        <v>0</v>
      </c>
      <c r="AA18" s="12">
        <f t="shared" si="1"/>
        <v>0</v>
      </c>
    </row>
    <row r="19" spans="1:27" x14ac:dyDescent="0.25">
      <c r="A19" t="s">
        <v>14</v>
      </c>
      <c r="B19" s="10">
        <f t="shared" ref="B19:Z19" si="4">(B4+B5+B6+B8+B9+B11+B12+B13)/8</f>
        <v>0</v>
      </c>
      <c r="C19" s="10">
        <f t="shared" si="4"/>
        <v>0</v>
      </c>
      <c r="D19" s="10">
        <f t="shared" si="4"/>
        <v>0</v>
      </c>
      <c r="E19" s="10">
        <f t="shared" si="4"/>
        <v>0</v>
      </c>
      <c r="F19" s="10">
        <f t="shared" si="4"/>
        <v>0</v>
      </c>
      <c r="G19" s="10">
        <f t="shared" si="4"/>
        <v>0</v>
      </c>
      <c r="H19" s="10">
        <f t="shared" si="4"/>
        <v>0</v>
      </c>
      <c r="I19" s="10">
        <f t="shared" si="4"/>
        <v>0</v>
      </c>
      <c r="J19" s="10">
        <f t="shared" si="4"/>
        <v>0</v>
      </c>
      <c r="K19" s="10">
        <f t="shared" si="4"/>
        <v>0</v>
      </c>
      <c r="L19" s="10">
        <f t="shared" si="4"/>
        <v>0</v>
      </c>
      <c r="M19" s="10">
        <f t="shared" si="4"/>
        <v>0</v>
      </c>
      <c r="N19" s="10">
        <f t="shared" si="4"/>
        <v>0</v>
      </c>
      <c r="O19" s="10">
        <f t="shared" si="4"/>
        <v>0</v>
      </c>
      <c r="P19" s="10">
        <f t="shared" si="4"/>
        <v>0</v>
      </c>
      <c r="Q19" s="10">
        <f t="shared" si="4"/>
        <v>0</v>
      </c>
      <c r="R19" s="10">
        <f t="shared" si="4"/>
        <v>0</v>
      </c>
      <c r="S19" s="10">
        <f t="shared" si="4"/>
        <v>0</v>
      </c>
      <c r="T19" s="10">
        <f t="shared" si="4"/>
        <v>0</v>
      </c>
      <c r="U19" s="10">
        <f t="shared" si="4"/>
        <v>0</v>
      </c>
      <c r="V19" s="10">
        <f t="shared" si="4"/>
        <v>0</v>
      </c>
      <c r="W19" s="10">
        <f t="shared" si="4"/>
        <v>0</v>
      </c>
      <c r="X19" s="10">
        <f t="shared" si="4"/>
        <v>0</v>
      </c>
      <c r="Y19" s="10">
        <f t="shared" si="4"/>
        <v>0</v>
      </c>
      <c r="Z19" s="10">
        <f t="shared" si="4"/>
        <v>0</v>
      </c>
      <c r="AA19" s="12">
        <f t="shared" ref="AA19:AA25" si="5">+Z19</f>
        <v>0</v>
      </c>
    </row>
    <row r="20" spans="1:27" x14ac:dyDescent="0.25">
      <c r="A20" t="s">
        <v>20</v>
      </c>
      <c r="B20" s="10">
        <f t="shared" ref="B20:Z20" si="6">(B6+B8+B9+B11+B12+B13)/6</f>
        <v>0</v>
      </c>
      <c r="C20" s="10">
        <f t="shared" si="6"/>
        <v>0</v>
      </c>
      <c r="D20" s="10">
        <f t="shared" si="6"/>
        <v>0</v>
      </c>
      <c r="E20" s="10">
        <f t="shared" si="6"/>
        <v>0</v>
      </c>
      <c r="F20" s="10">
        <f t="shared" si="6"/>
        <v>0</v>
      </c>
      <c r="G20" s="10">
        <f t="shared" si="6"/>
        <v>0</v>
      </c>
      <c r="H20" s="10">
        <f t="shared" si="6"/>
        <v>0</v>
      </c>
      <c r="I20" s="10">
        <f t="shared" si="6"/>
        <v>0</v>
      </c>
      <c r="J20" s="10">
        <f t="shared" si="6"/>
        <v>0</v>
      </c>
      <c r="K20" s="10">
        <f t="shared" si="6"/>
        <v>0</v>
      </c>
      <c r="L20" s="10">
        <f t="shared" si="6"/>
        <v>0</v>
      </c>
      <c r="M20" s="10">
        <f t="shared" si="6"/>
        <v>0</v>
      </c>
      <c r="N20" s="10">
        <f t="shared" si="6"/>
        <v>0</v>
      </c>
      <c r="O20" s="10">
        <f t="shared" si="6"/>
        <v>0</v>
      </c>
      <c r="P20" s="10">
        <f t="shared" si="6"/>
        <v>0</v>
      </c>
      <c r="Q20" s="10">
        <f t="shared" si="6"/>
        <v>0</v>
      </c>
      <c r="R20" s="10">
        <f t="shared" si="6"/>
        <v>0</v>
      </c>
      <c r="S20" s="10">
        <f t="shared" si="6"/>
        <v>0</v>
      </c>
      <c r="T20" s="10">
        <f t="shared" si="6"/>
        <v>0</v>
      </c>
      <c r="U20" s="10">
        <f t="shared" si="6"/>
        <v>0</v>
      </c>
      <c r="V20" s="10">
        <f t="shared" si="6"/>
        <v>0</v>
      </c>
      <c r="W20" s="10">
        <f t="shared" si="6"/>
        <v>0</v>
      </c>
      <c r="X20" s="10">
        <f t="shared" si="6"/>
        <v>0</v>
      </c>
      <c r="Y20" s="10">
        <f t="shared" si="6"/>
        <v>0</v>
      </c>
      <c r="Z20" s="10">
        <f t="shared" si="6"/>
        <v>0</v>
      </c>
      <c r="AA20" s="12">
        <f t="shared" si="5"/>
        <v>0</v>
      </c>
    </row>
    <row r="21" spans="1:27" x14ac:dyDescent="0.25">
      <c r="A21" t="s">
        <v>34</v>
      </c>
      <c r="B21" s="10">
        <f t="shared" ref="B21:Z21" si="7">(B5+B6+B8+B9+B11+B12+B13)/7</f>
        <v>0</v>
      </c>
      <c r="C21" s="10">
        <f t="shared" si="7"/>
        <v>0</v>
      </c>
      <c r="D21" s="10">
        <f t="shared" si="7"/>
        <v>0</v>
      </c>
      <c r="E21" s="10">
        <f t="shared" si="7"/>
        <v>0</v>
      </c>
      <c r="F21" s="10">
        <f t="shared" si="7"/>
        <v>0</v>
      </c>
      <c r="G21" s="10">
        <f t="shared" si="7"/>
        <v>0</v>
      </c>
      <c r="H21" s="10">
        <f t="shared" si="7"/>
        <v>0</v>
      </c>
      <c r="I21" s="10">
        <f t="shared" si="7"/>
        <v>0</v>
      </c>
      <c r="J21" s="10">
        <f t="shared" si="7"/>
        <v>0</v>
      </c>
      <c r="K21" s="10">
        <f t="shared" si="7"/>
        <v>0</v>
      </c>
      <c r="L21" s="10">
        <f t="shared" si="7"/>
        <v>0</v>
      </c>
      <c r="M21" s="10">
        <f t="shared" si="7"/>
        <v>0</v>
      </c>
      <c r="N21" s="10">
        <f t="shared" si="7"/>
        <v>0</v>
      </c>
      <c r="O21" s="10">
        <f t="shared" si="7"/>
        <v>0</v>
      </c>
      <c r="P21" s="10">
        <f t="shared" si="7"/>
        <v>0</v>
      </c>
      <c r="Q21" s="10">
        <f t="shared" si="7"/>
        <v>0</v>
      </c>
      <c r="R21" s="10">
        <f t="shared" si="7"/>
        <v>0</v>
      </c>
      <c r="S21" s="10">
        <f t="shared" si="7"/>
        <v>0</v>
      </c>
      <c r="T21" s="10">
        <f t="shared" si="7"/>
        <v>0</v>
      </c>
      <c r="U21" s="10">
        <f t="shared" si="7"/>
        <v>0</v>
      </c>
      <c r="V21" s="10">
        <f t="shared" si="7"/>
        <v>0</v>
      </c>
      <c r="W21" s="10">
        <f t="shared" si="7"/>
        <v>0</v>
      </c>
      <c r="X21" s="10">
        <f t="shared" si="7"/>
        <v>0</v>
      </c>
      <c r="Y21" s="10">
        <f t="shared" si="7"/>
        <v>0</v>
      </c>
      <c r="Z21" s="10">
        <f t="shared" si="7"/>
        <v>0</v>
      </c>
      <c r="AA21" s="12">
        <f t="shared" si="5"/>
        <v>0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2"/>
    </row>
    <row r="23" spans="1:27" x14ac:dyDescent="0.25">
      <c r="A23" t="s">
        <v>15</v>
      </c>
      <c r="B23" s="1">
        <f t="shared" ref="B23:Z23" si="8">(B4+B5)/2</f>
        <v>0</v>
      </c>
      <c r="C23" s="1">
        <f t="shared" si="8"/>
        <v>0</v>
      </c>
      <c r="D23" s="1">
        <f t="shared" si="8"/>
        <v>0</v>
      </c>
      <c r="E23" s="1">
        <f t="shared" si="8"/>
        <v>0</v>
      </c>
      <c r="F23" s="1">
        <f t="shared" si="8"/>
        <v>0</v>
      </c>
      <c r="G23" s="1">
        <f t="shared" si="8"/>
        <v>0</v>
      </c>
      <c r="H23" s="1">
        <f t="shared" si="8"/>
        <v>0</v>
      </c>
      <c r="I23" s="1">
        <f t="shared" si="8"/>
        <v>0</v>
      </c>
      <c r="J23" s="1">
        <f t="shared" si="8"/>
        <v>0</v>
      </c>
      <c r="K23" s="1">
        <f t="shared" si="8"/>
        <v>0</v>
      </c>
      <c r="L23" s="1">
        <f t="shared" si="8"/>
        <v>0</v>
      </c>
      <c r="M23" s="1">
        <f t="shared" si="8"/>
        <v>0</v>
      </c>
      <c r="N23" s="1">
        <f t="shared" si="8"/>
        <v>0</v>
      </c>
      <c r="O23" s="1">
        <f t="shared" si="8"/>
        <v>0</v>
      </c>
      <c r="P23" s="1">
        <f t="shared" si="8"/>
        <v>0</v>
      </c>
      <c r="Q23" s="1">
        <f t="shared" si="8"/>
        <v>0</v>
      </c>
      <c r="R23" s="1">
        <f t="shared" si="8"/>
        <v>0</v>
      </c>
      <c r="S23" s="1">
        <f t="shared" si="8"/>
        <v>0</v>
      </c>
      <c r="T23" s="1">
        <f t="shared" si="8"/>
        <v>0</v>
      </c>
      <c r="U23" s="1">
        <f t="shared" si="8"/>
        <v>0</v>
      </c>
      <c r="V23" s="1">
        <f t="shared" si="8"/>
        <v>0</v>
      </c>
      <c r="W23" s="1">
        <f t="shared" si="8"/>
        <v>0</v>
      </c>
      <c r="X23" s="1">
        <f t="shared" si="8"/>
        <v>0</v>
      </c>
      <c r="Y23" s="1">
        <f t="shared" si="8"/>
        <v>0</v>
      </c>
      <c r="Z23" s="1">
        <f t="shared" si="8"/>
        <v>0</v>
      </c>
      <c r="AA23" s="12">
        <f t="shared" si="5"/>
        <v>0</v>
      </c>
    </row>
    <row r="24" spans="1:27" x14ac:dyDescent="0.25">
      <c r="A24" t="s">
        <v>35</v>
      </c>
      <c r="B24" s="15">
        <f t="shared" ref="B24:Z24" si="9">(B14+B5+B5)/3</f>
        <v>0</v>
      </c>
      <c r="C24" s="15">
        <f t="shared" si="9"/>
        <v>0</v>
      </c>
      <c r="D24" s="15">
        <f t="shared" si="9"/>
        <v>0</v>
      </c>
      <c r="E24" s="15">
        <f t="shared" si="9"/>
        <v>0</v>
      </c>
      <c r="F24" s="15">
        <f t="shared" si="9"/>
        <v>0</v>
      </c>
      <c r="G24" s="15">
        <f t="shared" si="9"/>
        <v>0</v>
      </c>
      <c r="H24" s="15">
        <f t="shared" si="9"/>
        <v>0</v>
      </c>
      <c r="I24" s="15">
        <f t="shared" si="9"/>
        <v>0</v>
      </c>
      <c r="J24" s="15">
        <f t="shared" si="9"/>
        <v>0</v>
      </c>
      <c r="K24" s="15">
        <f t="shared" si="9"/>
        <v>0</v>
      </c>
      <c r="L24" s="15">
        <f t="shared" si="9"/>
        <v>0</v>
      </c>
      <c r="M24" s="15">
        <f t="shared" si="9"/>
        <v>0</v>
      </c>
      <c r="N24" s="15">
        <f t="shared" si="9"/>
        <v>0</v>
      </c>
      <c r="O24" s="15">
        <f t="shared" si="9"/>
        <v>0</v>
      </c>
      <c r="P24" s="15">
        <f t="shared" si="9"/>
        <v>0</v>
      </c>
      <c r="Q24" s="15">
        <f t="shared" si="9"/>
        <v>0</v>
      </c>
      <c r="R24" s="15">
        <f t="shared" si="9"/>
        <v>0</v>
      </c>
      <c r="S24" s="15">
        <f t="shared" si="9"/>
        <v>0</v>
      </c>
      <c r="T24" s="15">
        <f t="shared" si="9"/>
        <v>0</v>
      </c>
      <c r="U24" s="15">
        <f t="shared" si="9"/>
        <v>0</v>
      </c>
      <c r="V24" s="15">
        <f t="shared" si="9"/>
        <v>0</v>
      </c>
      <c r="W24" s="15">
        <f t="shared" si="9"/>
        <v>0</v>
      </c>
      <c r="X24" s="15">
        <f t="shared" si="9"/>
        <v>0</v>
      </c>
      <c r="Y24" s="15">
        <f t="shared" si="9"/>
        <v>0</v>
      </c>
      <c r="Z24" s="15">
        <f t="shared" si="9"/>
        <v>0</v>
      </c>
      <c r="AA24" s="12">
        <f t="shared" si="5"/>
        <v>0</v>
      </c>
    </row>
    <row r="25" spans="1:27" x14ac:dyDescent="0.25">
      <c r="A25" t="s">
        <v>36</v>
      </c>
      <c r="B25" s="15">
        <f t="shared" ref="B25:Z25" si="10">SUM(B14+B4+B4)/3</f>
        <v>0</v>
      </c>
      <c r="C25" s="15">
        <f t="shared" si="10"/>
        <v>0</v>
      </c>
      <c r="D25" s="15">
        <f t="shared" si="10"/>
        <v>0</v>
      </c>
      <c r="E25" s="15">
        <f t="shared" si="10"/>
        <v>0</v>
      </c>
      <c r="F25" s="15">
        <f t="shared" si="10"/>
        <v>0</v>
      </c>
      <c r="G25" s="15">
        <f t="shared" si="10"/>
        <v>0</v>
      </c>
      <c r="H25" s="15">
        <f t="shared" si="10"/>
        <v>0</v>
      </c>
      <c r="I25" s="15">
        <f t="shared" si="10"/>
        <v>0</v>
      </c>
      <c r="J25" s="15">
        <f t="shared" si="10"/>
        <v>0</v>
      </c>
      <c r="K25" s="15">
        <f t="shared" si="10"/>
        <v>0</v>
      </c>
      <c r="L25" s="15">
        <f t="shared" si="10"/>
        <v>0</v>
      </c>
      <c r="M25" s="15">
        <f t="shared" si="10"/>
        <v>0</v>
      </c>
      <c r="N25" s="15">
        <f t="shared" si="10"/>
        <v>0</v>
      </c>
      <c r="O25" s="15">
        <f t="shared" si="10"/>
        <v>0</v>
      </c>
      <c r="P25" s="15">
        <f t="shared" si="10"/>
        <v>0</v>
      </c>
      <c r="Q25" s="15">
        <f t="shared" si="10"/>
        <v>0</v>
      </c>
      <c r="R25" s="15">
        <f t="shared" si="10"/>
        <v>0</v>
      </c>
      <c r="S25" s="15">
        <f t="shared" si="10"/>
        <v>0</v>
      </c>
      <c r="T25" s="15">
        <f t="shared" si="10"/>
        <v>0</v>
      </c>
      <c r="U25" s="15">
        <f t="shared" si="10"/>
        <v>0</v>
      </c>
      <c r="V25" s="15">
        <f t="shared" si="10"/>
        <v>0</v>
      </c>
      <c r="W25" s="15">
        <f t="shared" si="10"/>
        <v>0</v>
      </c>
      <c r="X25" s="15">
        <f t="shared" si="10"/>
        <v>0</v>
      </c>
      <c r="Y25" s="15">
        <f t="shared" si="10"/>
        <v>0</v>
      </c>
      <c r="Z25" s="15">
        <f t="shared" si="10"/>
        <v>0</v>
      </c>
      <c r="AA25" s="12">
        <f t="shared" si="5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C300-C8DA-465F-A96B-00319F24E0A5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  <c r="AA2" s="12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/>
      <c r="AA3" s="12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/>
      <c r="AA4" s="12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2"/>
      <c r="AA5" s="12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2"/>
      <c r="AA6" s="12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/>
      <c r="AA7" s="12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  <c r="AA8" s="12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2"/>
      <c r="AA9" s="12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2"/>
      <c r="AA10" s="12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2"/>
      <c r="AA11" s="12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2"/>
      <c r="AA12" s="12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2"/>
      <c r="AA13" s="12"/>
    </row>
    <row r="14" spans="1:27" x14ac:dyDescent="0.25">
      <c r="A14" t="s">
        <v>21</v>
      </c>
      <c r="Z14" s="12"/>
      <c r="AA14" s="12"/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"/>
      <c r="AA15" s="12"/>
    </row>
    <row r="16" spans="1:27" x14ac:dyDescent="0.25">
      <c r="A16" t="s">
        <v>16</v>
      </c>
      <c r="B16" s="10">
        <f t="shared" ref="B16:Z16" si="0">SUM(B2:B13)/12</f>
        <v>0</v>
      </c>
      <c r="C16" s="10">
        <f t="shared" si="0"/>
        <v>0</v>
      </c>
      <c r="D16" s="10">
        <f t="shared" si="0"/>
        <v>0</v>
      </c>
      <c r="E16" s="10">
        <f t="shared" si="0"/>
        <v>0</v>
      </c>
      <c r="F16" s="10">
        <f t="shared" si="0"/>
        <v>0</v>
      </c>
      <c r="G16" s="10">
        <f t="shared" si="0"/>
        <v>0</v>
      </c>
      <c r="H16" s="10">
        <f t="shared" si="0"/>
        <v>0</v>
      </c>
      <c r="I16" s="10">
        <f t="shared" si="0"/>
        <v>0</v>
      </c>
      <c r="J16" s="10">
        <f t="shared" si="0"/>
        <v>0</v>
      </c>
      <c r="K16" s="10">
        <f t="shared" si="0"/>
        <v>0</v>
      </c>
      <c r="L16" s="10">
        <f t="shared" si="0"/>
        <v>0</v>
      </c>
      <c r="M16" s="10">
        <f t="shared" si="0"/>
        <v>0</v>
      </c>
      <c r="N16" s="10">
        <f t="shared" si="0"/>
        <v>0</v>
      </c>
      <c r="O16" s="10">
        <f t="shared" si="0"/>
        <v>0</v>
      </c>
      <c r="P16" s="10">
        <f t="shared" si="0"/>
        <v>0</v>
      </c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10">
        <f t="shared" si="0"/>
        <v>0</v>
      </c>
      <c r="Y16" s="10">
        <f t="shared" si="0"/>
        <v>0</v>
      </c>
      <c r="Z16" s="10">
        <f t="shared" si="0"/>
        <v>0</v>
      </c>
      <c r="AA16" s="12">
        <f t="shared" ref="AA16:AA25" si="1">+Z16</f>
        <v>0</v>
      </c>
    </row>
    <row r="17" spans="1:27" x14ac:dyDescent="0.25">
      <c r="A17" t="s">
        <v>17</v>
      </c>
      <c r="B17" s="10">
        <f t="shared" ref="B17:Z17" si="2">SUM(B2+B7+B10)/3</f>
        <v>0</v>
      </c>
      <c r="C17" s="10">
        <f t="shared" si="2"/>
        <v>0</v>
      </c>
      <c r="D17" s="10">
        <f t="shared" si="2"/>
        <v>0</v>
      </c>
      <c r="E17" s="10">
        <f t="shared" si="2"/>
        <v>0</v>
      </c>
      <c r="F17" s="10">
        <f t="shared" si="2"/>
        <v>0</v>
      </c>
      <c r="G17" s="10">
        <f t="shared" si="2"/>
        <v>0</v>
      </c>
      <c r="H17" s="10">
        <f t="shared" si="2"/>
        <v>0</v>
      </c>
      <c r="I17" s="10">
        <f t="shared" si="2"/>
        <v>0</v>
      </c>
      <c r="J17" s="10">
        <f t="shared" si="2"/>
        <v>0</v>
      </c>
      <c r="K17" s="10">
        <f t="shared" si="2"/>
        <v>0</v>
      </c>
      <c r="L17" s="10">
        <f t="shared" si="2"/>
        <v>0</v>
      </c>
      <c r="M17" s="10">
        <f t="shared" si="2"/>
        <v>0</v>
      </c>
      <c r="N17" s="10">
        <f t="shared" si="2"/>
        <v>0</v>
      </c>
      <c r="O17" s="10">
        <f t="shared" si="2"/>
        <v>0</v>
      </c>
      <c r="P17" s="10">
        <f t="shared" si="2"/>
        <v>0</v>
      </c>
      <c r="Q17" s="10">
        <f t="shared" si="2"/>
        <v>0</v>
      </c>
      <c r="R17" s="10">
        <f t="shared" si="2"/>
        <v>0</v>
      </c>
      <c r="S17" s="10">
        <f t="shared" si="2"/>
        <v>0</v>
      </c>
      <c r="T17" s="10">
        <f t="shared" si="2"/>
        <v>0</v>
      </c>
      <c r="U17" s="10">
        <f t="shared" si="2"/>
        <v>0</v>
      </c>
      <c r="V17" s="10">
        <f t="shared" si="2"/>
        <v>0</v>
      </c>
      <c r="W17" s="10">
        <f t="shared" si="2"/>
        <v>0</v>
      </c>
      <c r="X17" s="10">
        <f t="shared" si="2"/>
        <v>0</v>
      </c>
      <c r="Y17" s="10">
        <f t="shared" si="2"/>
        <v>0</v>
      </c>
      <c r="Z17" s="10">
        <f t="shared" si="2"/>
        <v>0</v>
      </c>
      <c r="AA17" s="12">
        <f t="shared" si="1"/>
        <v>0</v>
      </c>
    </row>
    <row r="18" spans="1:27" x14ac:dyDescent="0.25">
      <c r="A18" t="s">
        <v>13</v>
      </c>
      <c r="B18" s="10">
        <f t="shared" ref="B18:Z18" si="3">SUM(B2+B3+B7+B10)/4</f>
        <v>0</v>
      </c>
      <c r="C18" s="10">
        <f t="shared" si="3"/>
        <v>0</v>
      </c>
      <c r="D18" s="10">
        <f t="shared" si="3"/>
        <v>0</v>
      </c>
      <c r="E18" s="10">
        <f t="shared" si="3"/>
        <v>0</v>
      </c>
      <c r="F18" s="10">
        <f t="shared" si="3"/>
        <v>0</v>
      </c>
      <c r="G18" s="10">
        <f t="shared" si="3"/>
        <v>0</v>
      </c>
      <c r="H18" s="10">
        <f t="shared" si="3"/>
        <v>0</v>
      </c>
      <c r="I18" s="10">
        <f t="shared" si="3"/>
        <v>0</v>
      </c>
      <c r="J18" s="10">
        <f t="shared" si="3"/>
        <v>0</v>
      </c>
      <c r="K18" s="10">
        <f t="shared" si="3"/>
        <v>0</v>
      </c>
      <c r="L18" s="10">
        <f t="shared" si="3"/>
        <v>0</v>
      </c>
      <c r="M18" s="10">
        <f t="shared" si="3"/>
        <v>0</v>
      </c>
      <c r="N18" s="10">
        <f t="shared" si="3"/>
        <v>0</v>
      </c>
      <c r="O18" s="10">
        <f t="shared" si="3"/>
        <v>0</v>
      </c>
      <c r="P18" s="10">
        <f t="shared" si="3"/>
        <v>0</v>
      </c>
      <c r="Q18" s="10">
        <f t="shared" si="3"/>
        <v>0</v>
      </c>
      <c r="R18" s="10">
        <f t="shared" si="3"/>
        <v>0</v>
      </c>
      <c r="S18" s="10">
        <f t="shared" si="3"/>
        <v>0</v>
      </c>
      <c r="T18" s="10">
        <f t="shared" si="3"/>
        <v>0</v>
      </c>
      <c r="U18" s="10">
        <f t="shared" si="3"/>
        <v>0</v>
      </c>
      <c r="V18" s="10">
        <f t="shared" si="3"/>
        <v>0</v>
      </c>
      <c r="W18" s="10">
        <f t="shared" si="3"/>
        <v>0</v>
      </c>
      <c r="X18" s="10">
        <f t="shared" si="3"/>
        <v>0</v>
      </c>
      <c r="Y18" s="10">
        <f t="shared" si="3"/>
        <v>0</v>
      </c>
      <c r="Z18" s="10">
        <f t="shared" si="3"/>
        <v>0</v>
      </c>
      <c r="AA18" s="12">
        <f t="shared" si="1"/>
        <v>0</v>
      </c>
    </row>
    <row r="19" spans="1:27" x14ac:dyDescent="0.25">
      <c r="A19" t="s">
        <v>14</v>
      </c>
      <c r="B19" s="10">
        <f t="shared" ref="B19:Z19" si="4">(B4+B5+B6+B8+B9+B11+B12+B13)/8</f>
        <v>0</v>
      </c>
      <c r="C19" s="10">
        <f t="shared" si="4"/>
        <v>0</v>
      </c>
      <c r="D19" s="10">
        <f t="shared" si="4"/>
        <v>0</v>
      </c>
      <c r="E19" s="10">
        <f t="shared" si="4"/>
        <v>0</v>
      </c>
      <c r="F19" s="10">
        <f t="shared" si="4"/>
        <v>0</v>
      </c>
      <c r="G19" s="10">
        <f t="shared" si="4"/>
        <v>0</v>
      </c>
      <c r="H19" s="10">
        <f t="shared" si="4"/>
        <v>0</v>
      </c>
      <c r="I19" s="10">
        <f t="shared" si="4"/>
        <v>0</v>
      </c>
      <c r="J19" s="10">
        <f t="shared" si="4"/>
        <v>0</v>
      </c>
      <c r="K19" s="10">
        <f t="shared" si="4"/>
        <v>0</v>
      </c>
      <c r="L19" s="10">
        <f t="shared" si="4"/>
        <v>0</v>
      </c>
      <c r="M19" s="10">
        <f t="shared" si="4"/>
        <v>0</v>
      </c>
      <c r="N19" s="10">
        <f t="shared" si="4"/>
        <v>0</v>
      </c>
      <c r="O19" s="10">
        <f t="shared" si="4"/>
        <v>0</v>
      </c>
      <c r="P19" s="10">
        <f t="shared" si="4"/>
        <v>0</v>
      </c>
      <c r="Q19" s="10">
        <f t="shared" si="4"/>
        <v>0</v>
      </c>
      <c r="R19" s="10">
        <f t="shared" si="4"/>
        <v>0</v>
      </c>
      <c r="S19" s="10">
        <f t="shared" si="4"/>
        <v>0</v>
      </c>
      <c r="T19" s="10">
        <f t="shared" si="4"/>
        <v>0</v>
      </c>
      <c r="U19" s="10">
        <f t="shared" si="4"/>
        <v>0</v>
      </c>
      <c r="V19" s="10">
        <f t="shared" si="4"/>
        <v>0</v>
      </c>
      <c r="W19" s="10">
        <f t="shared" si="4"/>
        <v>0</v>
      </c>
      <c r="X19" s="10">
        <f t="shared" si="4"/>
        <v>0</v>
      </c>
      <c r="Y19" s="10">
        <f t="shared" si="4"/>
        <v>0</v>
      </c>
      <c r="Z19" s="10">
        <f t="shared" si="4"/>
        <v>0</v>
      </c>
      <c r="AA19" s="12">
        <f t="shared" si="1"/>
        <v>0</v>
      </c>
    </row>
    <row r="20" spans="1:27" x14ac:dyDescent="0.25">
      <c r="A20" t="s">
        <v>20</v>
      </c>
      <c r="B20" s="10">
        <f t="shared" ref="B20:Z20" si="5">(B6+B8+B9+B11+B12+B13)/6</f>
        <v>0</v>
      </c>
      <c r="C20" s="10">
        <f t="shared" si="5"/>
        <v>0</v>
      </c>
      <c r="D20" s="10">
        <f t="shared" si="5"/>
        <v>0</v>
      </c>
      <c r="E20" s="10">
        <f t="shared" si="5"/>
        <v>0</v>
      </c>
      <c r="F20" s="10">
        <f t="shared" si="5"/>
        <v>0</v>
      </c>
      <c r="G20" s="10">
        <f t="shared" si="5"/>
        <v>0</v>
      </c>
      <c r="H20" s="10">
        <f t="shared" si="5"/>
        <v>0</v>
      </c>
      <c r="I20" s="10">
        <f t="shared" si="5"/>
        <v>0</v>
      </c>
      <c r="J20" s="10">
        <f t="shared" si="5"/>
        <v>0</v>
      </c>
      <c r="K20" s="10">
        <f t="shared" si="5"/>
        <v>0</v>
      </c>
      <c r="L20" s="10">
        <f t="shared" si="5"/>
        <v>0</v>
      </c>
      <c r="M20" s="10">
        <f t="shared" si="5"/>
        <v>0</v>
      </c>
      <c r="N20" s="10">
        <f t="shared" si="5"/>
        <v>0</v>
      </c>
      <c r="O20" s="10">
        <f t="shared" si="5"/>
        <v>0</v>
      </c>
      <c r="P20" s="10">
        <f t="shared" si="5"/>
        <v>0</v>
      </c>
      <c r="Q20" s="10">
        <f t="shared" si="5"/>
        <v>0</v>
      </c>
      <c r="R20" s="10">
        <f t="shared" si="5"/>
        <v>0</v>
      </c>
      <c r="S20" s="10">
        <f t="shared" si="5"/>
        <v>0</v>
      </c>
      <c r="T20" s="10">
        <f t="shared" si="5"/>
        <v>0</v>
      </c>
      <c r="U20" s="10">
        <f t="shared" si="5"/>
        <v>0</v>
      </c>
      <c r="V20" s="10">
        <f t="shared" si="5"/>
        <v>0</v>
      </c>
      <c r="W20" s="10">
        <f t="shared" si="5"/>
        <v>0</v>
      </c>
      <c r="X20" s="10">
        <f t="shared" si="5"/>
        <v>0</v>
      </c>
      <c r="Y20" s="10">
        <f t="shared" si="5"/>
        <v>0</v>
      </c>
      <c r="Z20" s="10">
        <f t="shared" si="5"/>
        <v>0</v>
      </c>
      <c r="AA20" s="12">
        <f t="shared" si="1"/>
        <v>0</v>
      </c>
    </row>
    <row r="21" spans="1:27" x14ac:dyDescent="0.25">
      <c r="A21" t="s">
        <v>34</v>
      </c>
      <c r="B21" s="10">
        <f t="shared" ref="B21:Z21" si="6">(B5+B6+B8+B9+B11+B12+B13)/7</f>
        <v>0</v>
      </c>
      <c r="C21" s="10">
        <f t="shared" si="6"/>
        <v>0</v>
      </c>
      <c r="D21" s="10">
        <f t="shared" si="6"/>
        <v>0</v>
      </c>
      <c r="E21" s="10">
        <f t="shared" si="6"/>
        <v>0</v>
      </c>
      <c r="F21" s="10">
        <f t="shared" si="6"/>
        <v>0</v>
      </c>
      <c r="G21" s="10">
        <f t="shared" si="6"/>
        <v>0</v>
      </c>
      <c r="H21" s="10">
        <f t="shared" si="6"/>
        <v>0</v>
      </c>
      <c r="I21" s="10">
        <f t="shared" si="6"/>
        <v>0</v>
      </c>
      <c r="J21" s="10">
        <f t="shared" si="6"/>
        <v>0</v>
      </c>
      <c r="K21" s="10">
        <f t="shared" si="6"/>
        <v>0</v>
      </c>
      <c r="L21" s="10">
        <f t="shared" si="6"/>
        <v>0</v>
      </c>
      <c r="M21" s="10">
        <f t="shared" si="6"/>
        <v>0</v>
      </c>
      <c r="N21" s="10">
        <f t="shared" si="6"/>
        <v>0</v>
      </c>
      <c r="O21" s="10">
        <f t="shared" si="6"/>
        <v>0</v>
      </c>
      <c r="P21" s="10">
        <f t="shared" si="6"/>
        <v>0</v>
      </c>
      <c r="Q21" s="10">
        <f t="shared" si="6"/>
        <v>0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0</v>
      </c>
      <c r="Z21" s="10">
        <f t="shared" si="6"/>
        <v>0</v>
      </c>
      <c r="AA21" s="12">
        <f t="shared" si="1"/>
        <v>0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2"/>
    </row>
    <row r="23" spans="1:27" x14ac:dyDescent="0.25">
      <c r="A23" t="s">
        <v>15</v>
      </c>
      <c r="B23" s="1">
        <f t="shared" ref="B23:Z23" si="7">(B4+B5)/2</f>
        <v>0</v>
      </c>
      <c r="C23" s="1">
        <f t="shared" si="7"/>
        <v>0</v>
      </c>
      <c r="D23" s="1">
        <f t="shared" si="7"/>
        <v>0</v>
      </c>
      <c r="E23" s="1">
        <f t="shared" si="7"/>
        <v>0</v>
      </c>
      <c r="F23" s="1">
        <f t="shared" si="7"/>
        <v>0</v>
      </c>
      <c r="G23" s="1">
        <f t="shared" si="7"/>
        <v>0</v>
      </c>
      <c r="H23" s="1">
        <f t="shared" si="7"/>
        <v>0</v>
      </c>
      <c r="I23" s="1">
        <f t="shared" si="7"/>
        <v>0</v>
      </c>
      <c r="J23" s="1">
        <f t="shared" si="7"/>
        <v>0</v>
      </c>
      <c r="K23" s="1">
        <f t="shared" si="7"/>
        <v>0</v>
      </c>
      <c r="L23" s="1">
        <f t="shared" si="7"/>
        <v>0</v>
      </c>
      <c r="M23" s="1">
        <f t="shared" si="7"/>
        <v>0</v>
      </c>
      <c r="N23" s="1">
        <f t="shared" si="7"/>
        <v>0</v>
      </c>
      <c r="O23" s="1">
        <f t="shared" si="7"/>
        <v>0</v>
      </c>
      <c r="P23" s="1">
        <f t="shared" si="7"/>
        <v>0</v>
      </c>
      <c r="Q23" s="1">
        <f t="shared" si="7"/>
        <v>0</v>
      </c>
      <c r="R23" s="1">
        <f t="shared" si="7"/>
        <v>0</v>
      </c>
      <c r="S23" s="1">
        <f t="shared" si="7"/>
        <v>0</v>
      </c>
      <c r="T23" s="1">
        <f t="shared" si="7"/>
        <v>0</v>
      </c>
      <c r="U23" s="1">
        <f t="shared" si="7"/>
        <v>0</v>
      </c>
      <c r="V23" s="1">
        <f t="shared" si="7"/>
        <v>0</v>
      </c>
      <c r="W23" s="1">
        <f t="shared" si="7"/>
        <v>0</v>
      </c>
      <c r="X23" s="1">
        <f t="shared" si="7"/>
        <v>0</v>
      </c>
      <c r="Y23" s="1">
        <f t="shared" si="7"/>
        <v>0</v>
      </c>
      <c r="Z23" s="1">
        <f t="shared" si="7"/>
        <v>0</v>
      </c>
      <c r="AA23" s="12">
        <f t="shared" si="1"/>
        <v>0</v>
      </c>
    </row>
    <row r="24" spans="1:27" x14ac:dyDescent="0.25">
      <c r="A24" t="s">
        <v>35</v>
      </c>
      <c r="B24" s="15">
        <f t="shared" ref="B24:Z24" si="8">(B14+B5+B5)/3</f>
        <v>0</v>
      </c>
      <c r="C24" s="15">
        <f t="shared" si="8"/>
        <v>0</v>
      </c>
      <c r="D24" s="15">
        <f t="shared" si="8"/>
        <v>0</v>
      </c>
      <c r="E24" s="15">
        <f t="shared" si="8"/>
        <v>0</v>
      </c>
      <c r="F24" s="15">
        <f t="shared" si="8"/>
        <v>0</v>
      </c>
      <c r="G24" s="15">
        <f t="shared" si="8"/>
        <v>0</v>
      </c>
      <c r="H24" s="15">
        <f t="shared" si="8"/>
        <v>0</v>
      </c>
      <c r="I24" s="15">
        <f t="shared" si="8"/>
        <v>0</v>
      </c>
      <c r="J24" s="15">
        <f t="shared" si="8"/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0</v>
      </c>
      <c r="R24" s="15">
        <f t="shared" si="8"/>
        <v>0</v>
      </c>
      <c r="S24" s="15">
        <f t="shared" si="8"/>
        <v>0</v>
      </c>
      <c r="T24" s="15">
        <f t="shared" si="8"/>
        <v>0</v>
      </c>
      <c r="U24" s="15">
        <f t="shared" si="8"/>
        <v>0</v>
      </c>
      <c r="V24" s="15">
        <f t="shared" si="8"/>
        <v>0</v>
      </c>
      <c r="W24" s="15">
        <f t="shared" si="8"/>
        <v>0</v>
      </c>
      <c r="X24" s="15">
        <f t="shared" si="8"/>
        <v>0</v>
      </c>
      <c r="Y24" s="15">
        <f t="shared" si="8"/>
        <v>0</v>
      </c>
      <c r="Z24" s="15">
        <f t="shared" si="8"/>
        <v>0</v>
      </c>
      <c r="AA24" s="12">
        <f t="shared" si="1"/>
        <v>0</v>
      </c>
    </row>
    <row r="25" spans="1:27" x14ac:dyDescent="0.25">
      <c r="A25" t="s">
        <v>36</v>
      </c>
      <c r="B25" s="15">
        <f t="shared" ref="B25:Z25" si="9">SUM(B14+B4+B4)/3</f>
        <v>0</v>
      </c>
      <c r="C25" s="15">
        <f t="shared" si="9"/>
        <v>0</v>
      </c>
      <c r="D25" s="15">
        <f t="shared" si="9"/>
        <v>0</v>
      </c>
      <c r="E25" s="15">
        <f t="shared" si="9"/>
        <v>0</v>
      </c>
      <c r="F25" s="15">
        <f t="shared" si="9"/>
        <v>0</v>
      </c>
      <c r="G25" s="15">
        <f t="shared" si="9"/>
        <v>0</v>
      </c>
      <c r="H25" s="15">
        <f t="shared" si="9"/>
        <v>0</v>
      </c>
      <c r="I25" s="15">
        <f t="shared" si="9"/>
        <v>0</v>
      </c>
      <c r="J25" s="15">
        <f t="shared" si="9"/>
        <v>0</v>
      </c>
      <c r="K25" s="15">
        <f t="shared" si="9"/>
        <v>0</v>
      </c>
      <c r="L25" s="15">
        <f t="shared" si="9"/>
        <v>0</v>
      </c>
      <c r="M25" s="15">
        <f t="shared" si="9"/>
        <v>0</v>
      </c>
      <c r="N25" s="15">
        <f t="shared" si="9"/>
        <v>0</v>
      </c>
      <c r="O25" s="15">
        <f t="shared" si="9"/>
        <v>0</v>
      </c>
      <c r="P25" s="15">
        <f t="shared" si="9"/>
        <v>0</v>
      </c>
      <c r="Q25" s="15">
        <f t="shared" si="9"/>
        <v>0</v>
      </c>
      <c r="R25" s="15">
        <f t="shared" si="9"/>
        <v>0</v>
      </c>
      <c r="S25" s="15">
        <f t="shared" si="9"/>
        <v>0</v>
      </c>
      <c r="T25" s="15">
        <f t="shared" si="9"/>
        <v>0</v>
      </c>
      <c r="U25" s="15">
        <f t="shared" si="9"/>
        <v>0</v>
      </c>
      <c r="V25" s="15">
        <f t="shared" si="9"/>
        <v>0</v>
      </c>
      <c r="W25" s="15">
        <f t="shared" si="9"/>
        <v>0</v>
      </c>
      <c r="X25" s="15">
        <f t="shared" si="9"/>
        <v>0</v>
      </c>
      <c r="Y25" s="15">
        <f t="shared" si="9"/>
        <v>0</v>
      </c>
      <c r="Z25" s="15">
        <f t="shared" si="9"/>
        <v>0</v>
      </c>
      <c r="AA25" s="12">
        <f t="shared" si="1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891E-5F92-4525-890B-3ECE4708A532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  <c r="AA2" s="12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/>
      <c r="AA3" s="12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/>
      <c r="AA4" s="12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2"/>
      <c r="AA5" s="12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2"/>
      <c r="AA6" s="12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/>
      <c r="AA7" s="12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  <c r="AA8" s="12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2"/>
      <c r="AA9" s="12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2"/>
      <c r="AA10" s="12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2"/>
      <c r="AA11" s="12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2"/>
      <c r="AA12" s="12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2"/>
      <c r="AA13" s="12"/>
    </row>
    <row r="14" spans="1:27" x14ac:dyDescent="0.25">
      <c r="A14" t="s">
        <v>21</v>
      </c>
      <c r="Z14" s="12"/>
      <c r="AA14" s="12"/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"/>
      <c r="AA15" s="12"/>
    </row>
    <row r="16" spans="1:27" x14ac:dyDescent="0.25">
      <c r="A16" t="s">
        <v>16</v>
      </c>
      <c r="B16" s="10">
        <f t="shared" ref="B16:Z16" si="0">SUM(B2:B13)/12</f>
        <v>0</v>
      </c>
      <c r="C16" s="10">
        <f t="shared" si="0"/>
        <v>0</v>
      </c>
      <c r="D16" s="10">
        <f t="shared" si="0"/>
        <v>0</v>
      </c>
      <c r="E16" s="10">
        <f t="shared" si="0"/>
        <v>0</v>
      </c>
      <c r="F16" s="10">
        <f t="shared" si="0"/>
        <v>0</v>
      </c>
      <c r="G16" s="10">
        <f t="shared" si="0"/>
        <v>0</v>
      </c>
      <c r="H16" s="10">
        <f t="shared" si="0"/>
        <v>0</v>
      </c>
      <c r="I16" s="10">
        <f t="shared" si="0"/>
        <v>0</v>
      </c>
      <c r="J16" s="10">
        <f t="shared" si="0"/>
        <v>0</v>
      </c>
      <c r="K16" s="10">
        <f t="shared" si="0"/>
        <v>0</v>
      </c>
      <c r="L16" s="10">
        <f t="shared" si="0"/>
        <v>0</v>
      </c>
      <c r="M16" s="10">
        <f t="shared" si="0"/>
        <v>0</v>
      </c>
      <c r="N16" s="10">
        <f t="shared" si="0"/>
        <v>0</v>
      </c>
      <c r="O16" s="10">
        <f t="shared" si="0"/>
        <v>0</v>
      </c>
      <c r="P16" s="10">
        <f t="shared" si="0"/>
        <v>0</v>
      </c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10">
        <f t="shared" si="0"/>
        <v>0</v>
      </c>
      <c r="Y16" s="10">
        <f t="shared" si="0"/>
        <v>0</v>
      </c>
      <c r="Z16" s="10">
        <f t="shared" si="0"/>
        <v>0</v>
      </c>
      <c r="AA16" s="12">
        <f t="shared" ref="AA16:AA25" si="1">+Z16</f>
        <v>0</v>
      </c>
    </row>
    <row r="17" spans="1:27" x14ac:dyDescent="0.25">
      <c r="A17" t="s">
        <v>17</v>
      </c>
      <c r="B17" s="10">
        <f t="shared" ref="B17:Z17" si="2">SUM(B2+B7+B10)/3</f>
        <v>0</v>
      </c>
      <c r="C17" s="10">
        <f t="shared" si="2"/>
        <v>0</v>
      </c>
      <c r="D17" s="10">
        <f t="shared" si="2"/>
        <v>0</v>
      </c>
      <c r="E17" s="10">
        <f t="shared" si="2"/>
        <v>0</v>
      </c>
      <c r="F17" s="10">
        <f t="shared" si="2"/>
        <v>0</v>
      </c>
      <c r="G17" s="10">
        <f t="shared" si="2"/>
        <v>0</v>
      </c>
      <c r="H17" s="10">
        <f t="shared" si="2"/>
        <v>0</v>
      </c>
      <c r="I17" s="10">
        <f t="shared" si="2"/>
        <v>0</v>
      </c>
      <c r="J17" s="10">
        <f t="shared" si="2"/>
        <v>0</v>
      </c>
      <c r="K17" s="10">
        <f t="shared" si="2"/>
        <v>0</v>
      </c>
      <c r="L17" s="10">
        <f t="shared" si="2"/>
        <v>0</v>
      </c>
      <c r="M17" s="10">
        <f t="shared" si="2"/>
        <v>0</v>
      </c>
      <c r="N17" s="10">
        <f t="shared" si="2"/>
        <v>0</v>
      </c>
      <c r="O17" s="10">
        <f t="shared" si="2"/>
        <v>0</v>
      </c>
      <c r="P17" s="10">
        <f t="shared" si="2"/>
        <v>0</v>
      </c>
      <c r="Q17" s="10">
        <f t="shared" si="2"/>
        <v>0</v>
      </c>
      <c r="R17" s="10">
        <f t="shared" si="2"/>
        <v>0</v>
      </c>
      <c r="S17" s="10">
        <f t="shared" si="2"/>
        <v>0</v>
      </c>
      <c r="T17" s="10">
        <f t="shared" si="2"/>
        <v>0</v>
      </c>
      <c r="U17" s="10">
        <f t="shared" si="2"/>
        <v>0</v>
      </c>
      <c r="V17" s="10">
        <f t="shared" si="2"/>
        <v>0</v>
      </c>
      <c r="W17" s="10">
        <f t="shared" si="2"/>
        <v>0</v>
      </c>
      <c r="X17" s="10">
        <f t="shared" si="2"/>
        <v>0</v>
      </c>
      <c r="Y17" s="10">
        <f t="shared" si="2"/>
        <v>0</v>
      </c>
      <c r="Z17" s="10">
        <f t="shared" si="2"/>
        <v>0</v>
      </c>
      <c r="AA17" s="12">
        <f t="shared" si="1"/>
        <v>0</v>
      </c>
    </row>
    <row r="18" spans="1:27" x14ac:dyDescent="0.25">
      <c r="A18" t="s">
        <v>13</v>
      </c>
      <c r="B18" s="10">
        <f t="shared" ref="B18:Z18" si="3">SUM(B2+B3+B7+B10)/4</f>
        <v>0</v>
      </c>
      <c r="C18" s="10">
        <f t="shared" si="3"/>
        <v>0</v>
      </c>
      <c r="D18" s="10">
        <f t="shared" si="3"/>
        <v>0</v>
      </c>
      <c r="E18" s="10">
        <f t="shared" si="3"/>
        <v>0</v>
      </c>
      <c r="F18" s="10">
        <f t="shared" si="3"/>
        <v>0</v>
      </c>
      <c r="G18" s="10">
        <f t="shared" si="3"/>
        <v>0</v>
      </c>
      <c r="H18" s="10">
        <f t="shared" si="3"/>
        <v>0</v>
      </c>
      <c r="I18" s="10">
        <f t="shared" si="3"/>
        <v>0</v>
      </c>
      <c r="J18" s="10">
        <f t="shared" si="3"/>
        <v>0</v>
      </c>
      <c r="K18" s="10">
        <f t="shared" si="3"/>
        <v>0</v>
      </c>
      <c r="L18" s="10">
        <f t="shared" si="3"/>
        <v>0</v>
      </c>
      <c r="M18" s="10">
        <f t="shared" si="3"/>
        <v>0</v>
      </c>
      <c r="N18" s="10">
        <f t="shared" si="3"/>
        <v>0</v>
      </c>
      <c r="O18" s="10">
        <f t="shared" si="3"/>
        <v>0</v>
      </c>
      <c r="P18" s="10">
        <f t="shared" si="3"/>
        <v>0</v>
      </c>
      <c r="Q18" s="10">
        <f t="shared" si="3"/>
        <v>0</v>
      </c>
      <c r="R18" s="10">
        <f t="shared" si="3"/>
        <v>0</v>
      </c>
      <c r="S18" s="10">
        <f t="shared" si="3"/>
        <v>0</v>
      </c>
      <c r="T18" s="10">
        <f t="shared" si="3"/>
        <v>0</v>
      </c>
      <c r="U18" s="10">
        <f t="shared" si="3"/>
        <v>0</v>
      </c>
      <c r="V18" s="10">
        <f t="shared" si="3"/>
        <v>0</v>
      </c>
      <c r="W18" s="10">
        <f t="shared" si="3"/>
        <v>0</v>
      </c>
      <c r="X18" s="10">
        <f t="shared" si="3"/>
        <v>0</v>
      </c>
      <c r="Y18" s="10">
        <f t="shared" si="3"/>
        <v>0</v>
      </c>
      <c r="Z18" s="10">
        <f t="shared" si="3"/>
        <v>0</v>
      </c>
      <c r="AA18" s="12">
        <f t="shared" si="1"/>
        <v>0</v>
      </c>
    </row>
    <row r="19" spans="1:27" x14ac:dyDescent="0.25">
      <c r="A19" t="s">
        <v>14</v>
      </c>
      <c r="B19" s="10">
        <f t="shared" ref="B19:Z19" si="4">(B4+B5+B6+B8+B9+B11+B12+B13)/8</f>
        <v>0</v>
      </c>
      <c r="C19" s="10">
        <f t="shared" si="4"/>
        <v>0</v>
      </c>
      <c r="D19" s="10">
        <f t="shared" si="4"/>
        <v>0</v>
      </c>
      <c r="E19" s="10">
        <f t="shared" si="4"/>
        <v>0</v>
      </c>
      <c r="F19" s="10">
        <f t="shared" si="4"/>
        <v>0</v>
      </c>
      <c r="G19" s="10">
        <f t="shared" si="4"/>
        <v>0</v>
      </c>
      <c r="H19" s="10">
        <f t="shared" si="4"/>
        <v>0</v>
      </c>
      <c r="I19" s="10">
        <f t="shared" si="4"/>
        <v>0</v>
      </c>
      <c r="J19" s="10">
        <f t="shared" si="4"/>
        <v>0</v>
      </c>
      <c r="K19" s="10">
        <f t="shared" si="4"/>
        <v>0</v>
      </c>
      <c r="L19" s="10">
        <f t="shared" si="4"/>
        <v>0</v>
      </c>
      <c r="M19" s="10">
        <f t="shared" si="4"/>
        <v>0</v>
      </c>
      <c r="N19" s="10">
        <f t="shared" si="4"/>
        <v>0</v>
      </c>
      <c r="O19" s="10">
        <f t="shared" si="4"/>
        <v>0</v>
      </c>
      <c r="P19" s="10">
        <f t="shared" si="4"/>
        <v>0</v>
      </c>
      <c r="Q19" s="10">
        <f t="shared" si="4"/>
        <v>0</v>
      </c>
      <c r="R19" s="10">
        <f t="shared" si="4"/>
        <v>0</v>
      </c>
      <c r="S19" s="10">
        <f t="shared" si="4"/>
        <v>0</v>
      </c>
      <c r="T19" s="10">
        <f t="shared" si="4"/>
        <v>0</v>
      </c>
      <c r="U19" s="10">
        <f t="shared" si="4"/>
        <v>0</v>
      </c>
      <c r="V19" s="10">
        <f t="shared" si="4"/>
        <v>0</v>
      </c>
      <c r="W19" s="10">
        <f t="shared" si="4"/>
        <v>0</v>
      </c>
      <c r="X19" s="10">
        <f t="shared" si="4"/>
        <v>0</v>
      </c>
      <c r="Y19" s="10">
        <f t="shared" si="4"/>
        <v>0</v>
      </c>
      <c r="Z19" s="10">
        <f t="shared" si="4"/>
        <v>0</v>
      </c>
      <c r="AA19" s="12">
        <f t="shared" si="1"/>
        <v>0</v>
      </c>
    </row>
    <row r="20" spans="1:27" x14ac:dyDescent="0.25">
      <c r="A20" t="s">
        <v>20</v>
      </c>
      <c r="B20" s="10">
        <f t="shared" ref="B20:Z20" si="5">(B6+B8+B9+B11+B12+B13)/6</f>
        <v>0</v>
      </c>
      <c r="C20" s="10">
        <f t="shared" si="5"/>
        <v>0</v>
      </c>
      <c r="D20" s="10">
        <f t="shared" si="5"/>
        <v>0</v>
      </c>
      <c r="E20" s="10">
        <f t="shared" si="5"/>
        <v>0</v>
      </c>
      <c r="F20" s="10">
        <f t="shared" si="5"/>
        <v>0</v>
      </c>
      <c r="G20" s="10">
        <f t="shared" si="5"/>
        <v>0</v>
      </c>
      <c r="H20" s="10">
        <f t="shared" si="5"/>
        <v>0</v>
      </c>
      <c r="I20" s="10">
        <f t="shared" si="5"/>
        <v>0</v>
      </c>
      <c r="J20" s="10">
        <f t="shared" si="5"/>
        <v>0</v>
      </c>
      <c r="K20" s="10">
        <f t="shared" si="5"/>
        <v>0</v>
      </c>
      <c r="L20" s="10">
        <f t="shared" si="5"/>
        <v>0</v>
      </c>
      <c r="M20" s="10">
        <f t="shared" si="5"/>
        <v>0</v>
      </c>
      <c r="N20" s="10">
        <f t="shared" si="5"/>
        <v>0</v>
      </c>
      <c r="O20" s="10">
        <f t="shared" si="5"/>
        <v>0</v>
      </c>
      <c r="P20" s="10">
        <f t="shared" si="5"/>
        <v>0</v>
      </c>
      <c r="Q20" s="10">
        <f t="shared" si="5"/>
        <v>0</v>
      </c>
      <c r="R20" s="10">
        <f t="shared" si="5"/>
        <v>0</v>
      </c>
      <c r="S20" s="10">
        <f t="shared" si="5"/>
        <v>0</v>
      </c>
      <c r="T20" s="10">
        <f t="shared" si="5"/>
        <v>0</v>
      </c>
      <c r="U20" s="10">
        <f t="shared" si="5"/>
        <v>0</v>
      </c>
      <c r="V20" s="10">
        <f t="shared" si="5"/>
        <v>0</v>
      </c>
      <c r="W20" s="10">
        <f t="shared" si="5"/>
        <v>0</v>
      </c>
      <c r="X20" s="10">
        <f t="shared" si="5"/>
        <v>0</v>
      </c>
      <c r="Y20" s="10">
        <f t="shared" si="5"/>
        <v>0</v>
      </c>
      <c r="Z20" s="10">
        <f t="shared" si="5"/>
        <v>0</v>
      </c>
      <c r="AA20" s="12">
        <f t="shared" si="1"/>
        <v>0</v>
      </c>
    </row>
    <row r="21" spans="1:27" x14ac:dyDescent="0.25">
      <c r="A21" t="s">
        <v>34</v>
      </c>
      <c r="B21" s="10">
        <f t="shared" ref="B21:Z21" si="6">(B5+B6+B8+B9+B11+B12+B13)/7</f>
        <v>0</v>
      </c>
      <c r="C21" s="10">
        <f t="shared" si="6"/>
        <v>0</v>
      </c>
      <c r="D21" s="10">
        <f t="shared" si="6"/>
        <v>0</v>
      </c>
      <c r="E21" s="10">
        <f t="shared" si="6"/>
        <v>0</v>
      </c>
      <c r="F21" s="10">
        <f t="shared" si="6"/>
        <v>0</v>
      </c>
      <c r="G21" s="10">
        <f t="shared" si="6"/>
        <v>0</v>
      </c>
      <c r="H21" s="10">
        <f t="shared" si="6"/>
        <v>0</v>
      </c>
      <c r="I21" s="10">
        <f t="shared" si="6"/>
        <v>0</v>
      </c>
      <c r="J21" s="10">
        <f t="shared" si="6"/>
        <v>0</v>
      </c>
      <c r="K21" s="10">
        <f t="shared" si="6"/>
        <v>0</v>
      </c>
      <c r="L21" s="10">
        <f t="shared" si="6"/>
        <v>0</v>
      </c>
      <c r="M21" s="10">
        <f t="shared" si="6"/>
        <v>0</v>
      </c>
      <c r="N21" s="10">
        <f t="shared" si="6"/>
        <v>0</v>
      </c>
      <c r="O21" s="10">
        <f t="shared" si="6"/>
        <v>0</v>
      </c>
      <c r="P21" s="10">
        <f t="shared" si="6"/>
        <v>0</v>
      </c>
      <c r="Q21" s="10">
        <f t="shared" si="6"/>
        <v>0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0</v>
      </c>
      <c r="Z21" s="10">
        <f t="shared" si="6"/>
        <v>0</v>
      </c>
      <c r="AA21" s="12">
        <f t="shared" si="1"/>
        <v>0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2"/>
    </row>
    <row r="23" spans="1:27" x14ac:dyDescent="0.25">
      <c r="A23" t="s">
        <v>15</v>
      </c>
      <c r="B23" s="1">
        <f t="shared" ref="B23:Z23" si="7">(B4+B5)/2</f>
        <v>0</v>
      </c>
      <c r="C23" s="1">
        <f t="shared" si="7"/>
        <v>0</v>
      </c>
      <c r="D23" s="1">
        <f t="shared" si="7"/>
        <v>0</v>
      </c>
      <c r="E23" s="1">
        <f t="shared" si="7"/>
        <v>0</v>
      </c>
      <c r="F23" s="1">
        <f t="shared" si="7"/>
        <v>0</v>
      </c>
      <c r="G23" s="1">
        <f t="shared" si="7"/>
        <v>0</v>
      </c>
      <c r="H23" s="1">
        <f t="shared" si="7"/>
        <v>0</v>
      </c>
      <c r="I23" s="1">
        <f t="shared" si="7"/>
        <v>0</v>
      </c>
      <c r="J23" s="1">
        <f t="shared" si="7"/>
        <v>0</v>
      </c>
      <c r="K23" s="1">
        <f t="shared" si="7"/>
        <v>0</v>
      </c>
      <c r="L23" s="1">
        <f t="shared" si="7"/>
        <v>0</v>
      </c>
      <c r="M23" s="1">
        <f t="shared" si="7"/>
        <v>0</v>
      </c>
      <c r="N23" s="1">
        <f t="shared" si="7"/>
        <v>0</v>
      </c>
      <c r="O23" s="1">
        <f t="shared" si="7"/>
        <v>0</v>
      </c>
      <c r="P23" s="1">
        <f t="shared" si="7"/>
        <v>0</v>
      </c>
      <c r="Q23" s="1">
        <f t="shared" si="7"/>
        <v>0</v>
      </c>
      <c r="R23" s="1">
        <f t="shared" si="7"/>
        <v>0</v>
      </c>
      <c r="S23" s="1">
        <f t="shared" si="7"/>
        <v>0</v>
      </c>
      <c r="T23" s="1">
        <f t="shared" si="7"/>
        <v>0</v>
      </c>
      <c r="U23" s="1">
        <f t="shared" si="7"/>
        <v>0</v>
      </c>
      <c r="V23" s="1">
        <f t="shared" si="7"/>
        <v>0</v>
      </c>
      <c r="W23" s="1">
        <f t="shared" si="7"/>
        <v>0</v>
      </c>
      <c r="X23" s="1">
        <f t="shared" si="7"/>
        <v>0</v>
      </c>
      <c r="Y23" s="1">
        <f t="shared" si="7"/>
        <v>0</v>
      </c>
      <c r="Z23" s="1">
        <f t="shared" si="7"/>
        <v>0</v>
      </c>
      <c r="AA23" s="12">
        <f t="shared" si="1"/>
        <v>0</v>
      </c>
    </row>
    <row r="24" spans="1:27" x14ac:dyDescent="0.25">
      <c r="A24" t="s">
        <v>35</v>
      </c>
      <c r="B24" s="15">
        <f t="shared" ref="B24:Z24" si="8">(B14+B5+B5)/3</f>
        <v>0</v>
      </c>
      <c r="C24" s="15">
        <f t="shared" si="8"/>
        <v>0</v>
      </c>
      <c r="D24" s="15">
        <f t="shared" si="8"/>
        <v>0</v>
      </c>
      <c r="E24" s="15">
        <f t="shared" si="8"/>
        <v>0</v>
      </c>
      <c r="F24" s="15">
        <f t="shared" si="8"/>
        <v>0</v>
      </c>
      <c r="G24" s="15">
        <f t="shared" si="8"/>
        <v>0</v>
      </c>
      <c r="H24" s="15">
        <f t="shared" si="8"/>
        <v>0</v>
      </c>
      <c r="I24" s="15">
        <f t="shared" si="8"/>
        <v>0</v>
      </c>
      <c r="J24" s="15">
        <f t="shared" si="8"/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0</v>
      </c>
      <c r="R24" s="15">
        <f t="shared" si="8"/>
        <v>0</v>
      </c>
      <c r="S24" s="15">
        <f t="shared" si="8"/>
        <v>0</v>
      </c>
      <c r="T24" s="15">
        <f t="shared" si="8"/>
        <v>0</v>
      </c>
      <c r="U24" s="15">
        <f t="shared" si="8"/>
        <v>0</v>
      </c>
      <c r="V24" s="15">
        <f t="shared" si="8"/>
        <v>0</v>
      </c>
      <c r="W24" s="15">
        <f t="shared" si="8"/>
        <v>0</v>
      </c>
      <c r="X24" s="15">
        <f t="shared" si="8"/>
        <v>0</v>
      </c>
      <c r="Y24" s="15">
        <f t="shared" si="8"/>
        <v>0</v>
      </c>
      <c r="Z24" s="15">
        <f t="shared" si="8"/>
        <v>0</v>
      </c>
      <c r="AA24" s="12">
        <f t="shared" si="1"/>
        <v>0</v>
      </c>
    </row>
    <row r="25" spans="1:27" x14ac:dyDescent="0.25">
      <c r="A25" t="s">
        <v>36</v>
      </c>
      <c r="B25" s="15">
        <f t="shared" ref="B25:Z25" si="9">SUM(B14+B4+B4)/3</f>
        <v>0</v>
      </c>
      <c r="C25" s="15">
        <f t="shared" si="9"/>
        <v>0</v>
      </c>
      <c r="D25" s="15">
        <f t="shared" si="9"/>
        <v>0</v>
      </c>
      <c r="E25" s="15">
        <f t="shared" si="9"/>
        <v>0</v>
      </c>
      <c r="F25" s="15">
        <f t="shared" si="9"/>
        <v>0</v>
      </c>
      <c r="G25" s="15">
        <f t="shared" si="9"/>
        <v>0</v>
      </c>
      <c r="H25" s="15">
        <f t="shared" si="9"/>
        <v>0</v>
      </c>
      <c r="I25" s="15">
        <f t="shared" si="9"/>
        <v>0</v>
      </c>
      <c r="J25" s="15">
        <f t="shared" si="9"/>
        <v>0</v>
      </c>
      <c r="K25" s="15">
        <f t="shared" si="9"/>
        <v>0</v>
      </c>
      <c r="L25" s="15">
        <f t="shared" si="9"/>
        <v>0</v>
      </c>
      <c r="M25" s="15">
        <f t="shared" si="9"/>
        <v>0</v>
      </c>
      <c r="N25" s="15">
        <f t="shared" si="9"/>
        <v>0</v>
      </c>
      <c r="O25" s="15">
        <f t="shared" si="9"/>
        <v>0</v>
      </c>
      <c r="P25" s="15">
        <f t="shared" si="9"/>
        <v>0</v>
      </c>
      <c r="Q25" s="15">
        <f t="shared" si="9"/>
        <v>0</v>
      </c>
      <c r="R25" s="15">
        <f t="shared" si="9"/>
        <v>0</v>
      </c>
      <c r="S25" s="15">
        <f t="shared" si="9"/>
        <v>0</v>
      </c>
      <c r="T25" s="15">
        <f t="shared" si="9"/>
        <v>0</v>
      </c>
      <c r="U25" s="15">
        <f t="shared" si="9"/>
        <v>0</v>
      </c>
      <c r="V25" s="15">
        <f t="shared" si="9"/>
        <v>0</v>
      </c>
      <c r="W25" s="15">
        <f t="shared" si="9"/>
        <v>0</v>
      </c>
      <c r="X25" s="15">
        <f t="shared" si="9"/>
        <v>0</v>
      </c>
      <c r="Y25" s="15">
        <f t="shared" si="9"/>
        <v>0</v>
      </c>
      <c r="Z25" s="15">
        <f t="shared" si="9"/>
        <v>0</v>
      </c>
      <c r="AA25" s="12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6401-577E-4682-B85E-726ADE46DFD6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  <c r="AA2" s="12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/>
      <c r="AA3" s="12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/>
      <c r="AA4" s="12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2"/>
      <c r="AA5" s="12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2"/>
      <c r="AA6" s="12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/>
      <c r="AA7" s="12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  <c r="AA8" s="12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2"/>
      <c r="AA9" s="12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2"/>
      <c r="AA10" s="12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2"/>
      <c r="AA11" s="12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2"/>
      <c r="AA12" s="12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2"/>
      <c r="AA13" s="12"/>
    </row>
    <row r="14" spans="1:27" x14ac:dyDescent="0.25">
      <c r="A14" t="s">
        <v>21</v>
      </c>
      <c r="Z14" s="12"/>
      <c r="AA14" s="12"/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"/>
      <c r="AA15" s="12"/>
    </row>
    <row r="16" spans="1:27" x14ac:dyDescent="0.25">
      <c r="A16" t="s">
        <v>16</v>
      </c>
      <c r="B16" s="10">
        <f t="shared" ref="B16:Z16" si="0">SUM(B2:B13)/12</f>
        <v>0</v>
      </c>
      <c r="C16" s="10">
        <f t="shared" si="0"/>
        <v>0</v>
      </c>
      <c r="D16" s="10">
        <f t="shared" si="0"/>
        <v>0</v>
      </c>
      <c r="E16" s="10">
        <f t="shared" si="0"/>
        <v>0</v>
      </c>
      <c r="F16" s="10">
        <f t="shared" si="0"/>
        <v>0</v>
      </c>
      <c r="G16" s="10">
        <f t="shared" si="0"/>
        <v>0</v>
      </c>
      <c r="H16" s="10">
        <f t="shared" si="0"/>
        <v>0</v>
      </c>
      <c r="I16" s="10">
        <f t="shared" si="0"/>
        <v>0</v>
      </c>
      <c r="J16" s="10">
        <f t="shared" si="0"/>
        <v>0</v>
      </c>
      <c r="K16" s="10">
        <f t="shared" si="0"/>
        <v>0</v>
      </c>
      <c r="L16" s="10">
        <f t="shared" si="0"/>
        <v>0</v>
      </c>
      <c r="M16" s="10">
        <f t="shared" si="0"/>
        <v>0</v>
      </c>
      <c r="N16" s="10">
        <f t="shared" si="0"/>
        <v>0</v>
      </c>
      <c r="O16" s="10">
        <f t="shared" si="0"/>
        <v>0</v>
      </c>
      <c r="P16" s="10">
        <f t="shared" si="0"/>
        <v>0</v>
      </c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10">
        <f t="shared" si="0"/>
        <v>0</v>
      </c>
      <c r="Y16" s="10">
        <f t="shared" si="0"/>
        <v>0</v>
      </c>
      <c r="Z16" s="10">
        <f t="shared" si="0"/>
        <v>0</v>
      </c>
      <c r="AA16" s="12">
        <f t="shared" ref="AA16:AA25" si="1">+Z16</f>
        <v>0</v>
      </c>
    </row>
    <row r="17" spans="1:27" x14ac:dyDescent="0.25">
      <c r="A17" t="s">
        <v>17</v>
      </c>
      <c r="B17" s="10">
        <f t="shared" ref="B17:Z17" si="2">SUM(B2+B7+B10)/3</f>
        <v>0</v>
      </c>
      <c r="C17" s="10">
        <f t="shared" si="2"/>
        <v>0</v>
      </c>
      <c r="D17" s="10">
        <f t="shared" si="2"/>
        <v>0</v>
      </c>
      <c r="E17" s="10">
        <f t="shared" si="2"/>
        <v>0</v>
      </c>
      <c r="F17" s="10">
        <f t="shared" si="2"/>
        <v>0</v>
      </c>
      <c r="G17" s="10">
        <f t="shared" si="2"/>
        <v>0</v>
      </c>
      <c r="H17" s="10">
        <f t="shared" si="2"/>
        <v>0</v>
      </c>
      <c r="I17" s="10">
        <f t="shared" si="2"/>
        <v>0</v>
      </c>
      <c r="J17" s="10">
        <f t="shared" si="2"/>
        <v>0</v>
      </c>
      <c r="K17" s="10">
        <f t="shared" si="2"/>
        <v>0</v>
      </c>
      <c r="L17" s="10">
        <f t="shared" si="2"/>
        <v>0</v>
      </c>
      <c r="M17" s="10">
        <f t="shared" si="2"/>
        <v>0</v>
      </c>
      <c r="N17" s="10">
        <f t="shared" si="2"/>
        <v>0</v>
      </c>
      <c r="O17" s="10">
        <f t="shared" si="2"/>
        <v>0</v>
      </c>
      <c r="P17" s="10">
        <f t="shared" si="2"/>
        <v>0</v>
      </c>
      <c r="Q17" s="10">
        <f t="shared" si="2"/>
        <v>0</v>
      </c>
      <c r="R17" s="10">
        <f t="shared" si="2"/>
        <v>0</v>
      </c>
      <c r="S17" s="10">
        <f t="shared" si="2"/>
        <v>0</v>
      </c>
      <c r="T17" s="10">
        <f t="shared" si="2"/>
        <v>0</v>
      </c>
      <c r="U17" s="10">
        <f t="shared" si="2"/>
        <v>0</v>
      </c>
      <c r="V17" s="10">
        <f t="shared" si="2"/>
        <v>0</v>
      </c>
      <c r="W17" s="10">
        <f t="shared" si="2"/>
        <v>0</v>
      </c>
      <c r="X17" s="10">
        <f t="shared" si="2"/>
        <v>0</v>
      </c>
      <c r="Y17" s="10">
        <f t="shared" si="2"/>
        <v>0</v>
      </c>
      <c r="Z17" s="10">
        <f t="shared" si="2"/>
        <v>0</v>
      </c>
      <c r="AA17" s="12">
        <f t="shared" si="1"/>
        <v>0</v>
      </c>
    </row>
    <row r="18" spans="1:27" x14ac:dyDescent="0.25">
      <c r="A18" t="s">
        <v>13</v>
      </c>
      <c r="B18" s="10">
        <f t="shared" ref="B18:Z18" si="3">SUM(B2+B3+B7+B10)/4</f>
        <v>0</v>
      </c>
      <c r="C18" s="10">
        <f t="shared" si="3"/>
        <v>0</v>
      </c>
      <c r="D18" s="10">
        <f t="shared" si="3"/>
        <v>0</v>
      </c>
      <c r="E18" s="10">
        <f t="shared" si="3"/>
        <v>0</v>
      </c>
      <c r="F18" s="10">
        <f t="shared" si="3"/>
        <v>0</v>
      </c>
      <c r="G18" s="10">
        <f t="shared" si="3"/>
        <v>0</v>
      </c>
      <c r="H18" s="10">
        <f t="shared" si="3"/>
        <v>0</v>
      </c>
      <c r="I18" s="10">
        <f t="shared" si="3"/>
        <v>0</v>
      </c>
      <c r="J18" s="10">
        <f t="shared" si="3"/>
        <v>0</v>
      </c>
      <c r="K18" s="10">
        <f t="shared" si="3"/>
        <v>0</v>
      </c>
      <c r="L18" s="10">
        <f t="shared" si="3"/>
        <v>0</v>
      </c>
      <c r="M18" s="10">
        <f t="shared" si="3"/>
        <v>0</v>
      </c>
      <c r="N18" s="10">
        <f t="shared" si="3"/>
        <v>0</v>
      </c>
      <c r="O18" s="10">
        <f t="shared" si="3"/>
        <v>0</v>
      </c>
      <c r="P18" s="10">
        <f t="shared" si="3"/>
        <v>0</v>
      </c>
      <c r="Q18" s="10">
        <f t="shared" si="3"/>
        <v>0</v>
      </c>
      <c r="R18" s="10">
        <f t="shared" si="3"/>
        <v>0</v>
      </c>
      <c r="S18" s="10">
        <f t="shared" si="3"/>
        <v>0</v>
      </c>
      <c r="T18" s="10">
        <f t="shared" si="3"/>
        <v>0</v>
      </c>
      <c r="U18" s="10">
        <f t="shared" si="3"/>
        <v>0</v>
      </c>
      <c r="V18" s="10">
        <f t="shared" si="3"/>
        <v>0</v>
      </c>
      <c r="W18" s="10">
        <f t="shared" si="3"/>
        <v>0</v>
      </c>
      <c r="X18" s="10">
        <f t="shared" si="3"/>
        <v>0</v>
      </c>
      <c r="Y18" s="10">
        <f t="shared" si="3"/>
        <v>0</v>
      </c>
      <c r="Z18" s="10">
        <f t="shared" si="3"/>
        <v>0</v>
      </c>
      <c r="AA18" s="12">
        <f t="shared" si="1"/>
        <v>0</v>
      </c>
    </row>
    <row r="19" spans="1:27" x14ac:dyDescent="0.25">
      <c r="A19" t="s">
        <v>14</v>
      </c>
      <c r="B19" s="10">
        <f t="shared" ref="B19:Z19" si="4">(B4+B5+B6+B8+B9+B11+B12+B13)/8</f>
        <v>0</v>
      </c>
      <c r="C19" s="10">
        <f t="shared" si="4"/>
        <v>0</v>
      </c>
      <c r="D19" s="10">
        <f t="shared" si="4"/>
        <v>0</v>
      </c>
      <c r="E19" s="10">
        <f t="shared" si="4"/>
        <v>0</v>
      </c>
      <c r="F19" s="10">
        <f t="shared" si="4"/>
        <v>0</v>
      </c>
      <c r="G19" s="10">
        <f t="shared" si="4"/>
        <v>0</v>
      </c>
      <c r="H19" s="10">
        <f t="shared" si="4"/>
        <v>0</v>
      </c>
      <c r="I19" s="10">
        <f t="shared" si="4"/>
        <v>0</v>
      </c>
      <c r="J19" s="10">
        <f t="shared" si="4"/>
        <v>0</v>
      </c>
      <c r="K19" s="10">
        <f t="shared" si="4"/>
        <v>0</v>
      </c>
      <c r="L19" s="10">
        <f t="shared" si="4"/>
        <v>0</v>
      </c>
      <c r="M19" s="10">
        <f t="shared" si="4"/>
        <v>0</v>
      </c>
      <c r="N19" s="10">
        <f t="shared" si="4"/>
        <v>0</v>
      </c>
      <c r="O19" s="10">
        <f t="shared" si="4"/>
        <v>0</v>
      </c>
      <c r="P19" s="10">
        <f t="shared" si="4"/>
        <v>0</v>
      </c>
      <c r="Q19" s="10">
        <f t="shared" si="4"/>
        <v>0</v>
      </c>
      <c r="R19" s="10">
        <f t="shared" si="4"/>
        <v>0</v>
      </c>
      <c r="S19" s="10">
        <f t="shared" si="4"/>
        <v>0</v>
      </c>
      <c r="T19" s="10">
        <f t="shared" si="4"/>
        <v>0</v>
      </c>
      <c r="U19" s="10">
        <f t="shared" si="4"/>
        <v>0</v>
      </c>
      <c r="V19" s="10">
        <f t="shared" si="4"/>
        <v>0</v>
      </c>
      <c r="W19" s="10">
        <f t="shared" si="4"/>
        <v>0</v>
      </c>
      <c r="X19" s="10">
        <f t="shared" si="4"/>
        <v>0</v>
      </c>
      <c r="Y19" s="10">
        <f t="shared" si="4"/>
        <v>0</v>
      </c>
      <c r="Z19" s="10">
        <f t="shared" si="4"/>
        <v>0</v>
      </c>
      <c r="AA19" s="12">
        <f t="shared" si="1"/>
        <v>0</v>
      </c>
    </row>
    <row r="20" spans="1:27" x14ac:dyDescent="0.25">
      <c r="A20" t="s">
        <v>20</v>
      </c>
      <c r="B20" s="10">
        <f t="shared" ref="B20:Z20" si="5">(B6+B8+B9+B11+B12+B13)/6</f>
        <v>0</v>
      </c>
      <c r="C20" s="10">
        <f t="shared" si="5"/>
        <v>0</v>
      </c>
      <c r="D20" s="10">
        <f t="shared" si="5"/>
        <v>0</v>
      </c>
      <c r="E20" s="10">
        <f t="shared" si="5"/>
        <v>0</v>
      </c>
      <c r="F20" s="10">
        <f t="shared" si="5"/>
        <v>0</v>
      </c>
      <c r="G20" s="10">
        <f t="shared" si="5"/>
        <v>0</v>
      </c>
      <c r="H20" s="10">
        <f t="shared" si="5"/>
        <v>0</v>
      </c>
      <c r="I20" s="10">
        <f t="shared" si="5"/>
        <v>0</v>
      </c>
      <c r="J20" s="10">
        <f t="shared" si="5"/>
        <v>0</v>
      </c>
      <c r="K20" s="10">
        <f t="shared" si="5"/>
        <v>0</v>
      </c>
      <c r="L20" s="10">
        <f t="shared" si="5"/>
        <v>0</v>
      </c>
      <c r="M20" s="10">
        <f t="shared" si="5"/>
        <v>0</v>
      </c>
      <c r="N20" s="10">
        <f t="shared" si="5"/>
        <v>0</v>
      </c>
      <c r="O20" s="10">
        <f t="shared" si="5"/>
        <v>0</v>
      </c>
      <c r="P20" s="10">
        <f t="shared" si="5"/>
        <v>0</v>
      </c>
      <c r="Q20" s="10">
        <f t="shared" si="5"/>
        <v>0</v>
      </c>
      <c r="R20" s="10">
        <f t="shared" si="5"/>
        <v>0</v>
      </c>
      <c r="S20" s="10">
        <f t="shared" si="5"/>
        <v>0</v>
      </c>
      <c r="T20" s="10">
        <f t="shared" si="5"/>
        <v>0</v>
      </c>
      <c r="U20" s="10">
        <f t="shared" si="5"/>
        <v>0</v>
      </c>
      <c r="V20" s="10">
        <f t="shared" si="5"/>
        <v>0</v>
      </c>
      <c r="W20" s="10">
        <f t="shared" si="5"/>
        <v>0</v>
      </c>
      <c r="X20" s="10">
        <f t="shared" si="5"/>
        <v>0</v>
      </c>
      <c r="Y20" s="10">
        <f t="shared" si="5"/>
        <v>0</v>
      </c>
      <c r="Z20" s="10">
        <f t="shared" si="5"/>
        <v>0</v>
      </c>
      <c r="AA20" s="12">
        <f t="shared" si="1"/>
        <v>0</v>
      </c>
    </row>
    <row r="21" spans="1:27" x14ac:dyDescent="0.25">
      <c r="A21" t="s">
        <v>34</v>
      </c>
      <c r="B21" s="10">
        <f t="shared" ref="B21:Z21" si="6">(B5+B6+B8+B9+B11+B12+B13)/7</f>
        <v>0</v>
      </c>
      <c r="C21" s="10">
        <f t="shared" si="6"/>
        <v>0</v>
      </c>
      <c r="D21" s="10">
        <f t="shared" si="6"/>
        <v>0</v>
      </c>
      <c r="E21" s="10">
        <f t="shared" si="6"/>
        <v>0</v>
      </c>
      <c r="F21" s="10">
        <f t="shared" si="6"/>
        <v>0</v>
      </c>
      <c r="G21" s="10">
        <f t="shared" si="6"/>
        <v>0</v>
      </c>
      <c r="H21" s="10">
        <f t="shared" si="6"/>
        <v>0</v>
      </c>
      <c r="I21" s="10">
        <f t="shared" si="6"/>
        <v>0</v>
      </c>
      <c r="J21" s="10">
        <f t="shared" si="6"/>
        <v>0</v>
      </c>
      <c r="K21" s="10">
        <f t="shared" si="6"/>
        <v>0</v>
      </c>
      <c r="L21" s="10">
        <f t="shared" si="6"/>
        <v>0</v>
      </c>
      <c r="M21" s="10">
        <f t="shared" si="6"/>
        <v>0</v>
      </c>
      <c r="N21" s="10">
        <f t="shared" si="6"/>
        <v>0</v>
      </c>
      <c r="O21" s="10">
        <f t="shared" si="6"/>
        <v>0</v>
      </c>
      <c r="P21" s="10">
        <f t="shared" si="6"/>
        <v>0</v>
      </c>
      <c r="Q21" s="10">
        <f t="shared" si="6"/>
        <v>0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0</v>
      </c>
      <c r="Z21" s="10">
        <f t="shared" si="6"/>
        <v>0</v>
      </c>
      <c r="AA21" s="12">
        <f t="shared" si="1"/>
        <v>0</v>
      </c>
    </row>
    <row r="22" spans="1:27" x14ac:dyDescent="0.25">
      <c r="A22" t="s">
        <v>100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2"/>
    </row>
    <row r="23" spans="1:27" x14ac:dyDescent="0.25">
      <c r="A23" t="s">
        <v>15</v>
      </c>
      <c r="B23" s="1">
        <f t="shared" ref="B23:Z23" si="7">(B4+B5)/2</f>
        <v>0</v>
      </c>
      <c r="C23" s="1">
        <f t="shared" si="7"/>
        <v>0</v>
      </c>
      <c r="D23" s="1">
        <f t="shared" si="7"/>
        <v>0</v>
      </c>
      <c r="E23" s="1">
        <f t="shared" si="7"/>
        <v>0</v>
      </c>
      <c r="F23" s="1">
        <f t="shared" si="7"/>
        <v>0</v>
      </c>
      <c r="G23" s="1">
        <f t="shared" si="7"/>
        <v>0</v>
      </c>
      <c r="H23" s="1">
        <f t="shared" si="7"/>
        <v>0</v>
      </c>
      <c r="I23" s="1">
        <f t="shared" si="7"/>
        <v>0</v>
      </c>
      <c r="J23" s="1">
        <f t="shared" si="7"/>
        <v>0</v>
      </c>
      <c r="K23" s="1">
        <f t="shared" si="7"/>
        <v>0</v>
      </c>
      <c r="L23" s="1">
        <f t="shared" si="7"/>
        <v>0</v>
      </c>
      <c r="M23" s="1">
        <f t="shared" si="7"/>
        <v>0</v>
      </c>
      <c r="N23" s="1">
        <f t="shared" si="7"/>
        <v>0</v>
      </c>
      <c r="O23" s="1">
        <f t="shared" si="7"/>
        <v>0</v>
      </c>
      <c r="P23" s="1">
        <f t="shared" si="7"/>
        <v>0</v>
      </c>
      <c r="Q23" s="1">
        <f t="shared" si="7"/>
        <v>0</v>
      </c>
      <c r="R23" s="1">
        <f t="shared" si="7"/>
        <v>0</v>
      </c>
      <c r="S23" s="1">
        <f t="shared" si="7"/>
        <v>0</v>
      </c>
      <c r="T23" s="1">
        <f t="shared" si="7"/>
        <v>0</v>
      </c>
      <c r="U23" s="1">
        <f t="shared" si="7"/>
        <v>0</v>
      </c>
      <c r="V23" s="1">
        <f t="shared" si="7"/>
        <v>0</v>
      </c>
      <c r="W23" s="1">
        <f t="shared" si="7"/>
        <v>0</v>
      </c>
      <c r="X23" s="1">
        <f t="shared" si="7"/>
        <v>0</v>
      </c>
      <c r="Y23" s="1">
        <f t="shared" si="7"/>
        <v>0</v>
      </c>
      <c r="Z23" s="1">
        <f t="shared" si="7"/>
        <v>0</v>
      </c>
      <c r="AA23" s="12">
        <f t="shared" si="1"/>
        <v>0</v>
      </c>
    </row>
    <row r="24" spans="1:27" x14ac:dyDescent="0.25">
      <c r="A24" t="s">
        <v>35</v>
      </c>
      <c r="B24" s="15">
        <f t="shared" ref="B24:Z24" si="8">(B14+B5+B5)/3</f>
        <v>0</v>
      </c>
      <c r="C24" s="15">
        <f t="shared" si="8"/>
        <v>0</v>
      </c>
      <c r="D24" s="15">
        <f t="shared" si="8"/>
        <v>0</v>
      </c>
      <c r="E24" s="15">
        <f t="shared" si="8"/>
        <v>0</v>
      </c>
      <c r="F24" s="15">
        <f t="shared" si="8"/>
        <v>0</v>
      </c>
      <c r="G24" s="15">
        <f t="shared" si="8"/>
        <v>0</v>
      </c>
      <c r="H24" s="15">
        <f t="shared" si="8"/>
        <v>0</v>
      </c>
      <c r="I24" s="15">
        <f t="shared" si="8"/>
        <v>0</v>
      </c>
      <c r="J24" s="15">
        <f t="shared" si="8"/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0</v>
      </c>
      <c r="R24" s="15">
        <f t="shared" si="8"/>
        <v>0</v>
      </c>
      <c r="S24" s="15">
        <f t="shared" si="8"/>
        <v>0</v>
      </c>
      <c r="T24" s="15">
        <f t="shared" si="8"/>
        <v>0</v>
      </c>
      <c r="U24" s="15">
        <f t="shared" si="8"/>
        <v>0</v>
      </c>
      <c r="V24" s="15">
        <f t="shared" si="8"/>
        <v>0</v>
      </c>
      <c r="W24" s="15">
        <f t="shared" si="8"/>
        <v>0</v>
      </c>
      <c r="X24" s="15">
        <f t="shared" si="8"/>
        <v>0</v>
      </c>
      <c r="Y24" s="15">
        <f t="shared" si="8"/>
        <v>0</v>
      </c>
      <c r="Z24" s="15">
        <f t="shared" si="8"/>
        <v>0</v>
      </c>
      <c r="AA24" s="12">
        <f t="shared" si="1"/>
        <v>0</v>
      </c>
    </row>
    <row r="25" spans="1:27" x14ac:dyDescent="0.25">
      <c r="A25" t="s">
        <v>36</v>
      </c>
      <c r="B25" s="15">
        <f t="shared" ref="B25:Z25" si="9">SUM(B14+B4+B4)/3</f>
        <v>0</v>
      </c>
      <c r="C25" s="15">
        <f t="shared" si="9"/>
        <v>0</v>
      </c>
      <c r="D25" s="15">
        <f t="shared" si="9"/>
        <v>0</v>
      </c>
      <c r="E25" s="15">
        <f t="shared" si="9"/>
        <v>0</v>
      </c>
      <c r="F25" s="15">
        <f t="shared" si="9"/>
        <v>0</v>
      </c>
      <c r="G25" s="15">
        <f t="shared" si="9"/>
        <v>0</v>
      </c>
      <c r="H25" s="15">
        <f t="shared" si="9"/>
        <v>0</v>
      </c>
      <c r="I25" s="15">
        <f t="shared" si="9"/>
        <v>0</v>
      </c>
      <c r="J25" s="15">
        <f t="shared" si="9"/>
        <v>0</v>
      </c>
      <c r="K25" s="15">
        <f t="shared" si="9"/>
        <v>0</v>
      </c>
      <c r="L25" s="15">
        <f t="shared" si="9"/>
        <v>0</v>
      </c>
      <c r="M25" s="15">
        <f t="shared" si="9"/>
        <v>0</v>
      </c>
      <c r="N25" s="15">
        <f t="shared" si="9"/>
        <v>0</v>
      </c>
      <c r="O25" s="15">
        <f t="shared" si="9"/>
        <v>0</v>
      </c>
      <c r="P25" s="15">
        <f t="shared" si="9"/>
        <v>0</v>
      </c>
      <c r="Q25" s="15">
        <f t="shared" si="9"/>
        <v>0</v>
      </c>
      <c r="R25" s="15">
        <f t="shared" si="9"/>
        <v>0</v>
      </c>
      <c r="S25" s="15">
        <f t="shared" si="9"/>
        <v>0</v>
      </c>
      <c r="T25" s="15">
        <f t="shared" si="9"/>
        <v>0</v>
      </c>
      <c r="U25" s="15">
        <f t="shared" si="9"/>
        <v>0</v>
      </c>
      <c r="V25" s="15">
        <f t="shared" si="9"/>
        <v>0</v>
      </c>
      <c r="W25" s="15">
        <f t="shared" si="9"/>
        <v>0</v>
      </c>
      <c r="X25" s="15">
        <f t="shared" si="9"/>
        <v>0</v>
      </c>
      <c r="Y25" s="15">
        <f t="shared" si="9"/>
        <v>0</v>
      </c>
      <c r="Z25" s="15">
        <f t="shared" si="9"/>
        <v>0</v>
      </c>
      <c r="AA25" s="12">
        <f t="shared" si="1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903D-1B91-4AD1-9F0A-717819E5BBEC}">
  <dimension ref="A1:H34"/>
  <sheetViews>
    <sheetView workbookViewId="0"/>
  </sheetViews>
  <sheetFormatPr defaultRowHeight="15" x14ac:dyDescent="0.25"/>
  <cols>
    <col min="1" max="1" width="41.7109375" bestFit="1" customWidth="1"/>
    <col min="2" max="2" width="27.7109375" bestFit="1" customWidth="1"/>
    <col min="3" max="3" width="26.140625" bestFit="1" customWidth="1"/>
    <col min="4" max="4" width="23.140625" bestFit="1" customWidth="1"/>
    <col min="5" max="5" width="24.85546875" bestFit="1" customWidth="1"/>
    <col min="6" max="6" width="25.7109375" bestFit="1" customWidth="1"/>
    <col min="7" max="7" width="8.7109375" bestFit="1" customWidth="1"/>
    <col min="8" max="8" width="50.28515625" customWidth="1"/>
  </cols>
  <sheetData>
    <row r="1" spans="1:8" s="19" customFormat="1" x14ac:dyDescent="0.25">
      <c r="A1" s="19" t="s">
        <v>41</v>
      </c>
      <c r="B1" s="19" t="s">
        <v>42</v>
      </c>
      <c r="C1" s="20" t="s">
        <v>40</v>
      </c>
      <c r="D1" s="20" t="s">
        <v>38</v>
      </c>
      <c r="E1" s="20" t="s">
        <v>39</v>
      </c>
      <c r="F1" s="20" t="s">
        <v>64</v>
      </c>
      <c r="G1" s="20" t="s">
        <v>72</v>
      </c>
      <c r="H1" s="19" t="s">
        <v>94</v>
      </c>
    </row>
    <row r="2" spans="1:8" x14ac:dyDescent="0.25">
      <c r="A2" t="s">
        <v>23</v>
      </c>
      <c r="B2" t="s">
        <v>19</v>
      </c>
      <c r="C2" s="13">
        <v>0.05</v>
      </c>
      <c r="D2" s="16" t="s">
        <v>53</v>
      </c>
      <c r="E2" s="13">
        <v>0.25</v>
      </c>
      <c r="F2" s="16" t="s">
        <v>53</v>
      </c>
      <c r="G2" t="s">
        <v>73</v>
      </c>
      <c r="H2" t="s">
        <v>23</v>
      </c>
    </row>
    <row r="3" spans="1:8" x14ac:dyDescent="0.25">
      <c r="A3" t="s">
        <v>33</v>
      </c>
      <c r="B3" t="s">
        <v>50</v>
      </c>
      <c r="C3" s="16" t="s">
        <v>53</v>
      </c>
      <c r="D3" s="16" t="s">
        <v>53</v>
      </c>
      <c r="E3" s="13">
        <v>0.1</v>
      </c>
      <c r="F3" s="16" t="s">
        <v>53</v>
      </c>
      <c r="G3" t="s">
        <v>73</v>
      </c>
      <c r="H3" t="s">
        <v>33</v>
      </c>
    </row>
    <row r="4" spans="1:8" x14ac:dyDescent="0.25">
      <c r="A4" t="s">
        <v>24</v>
      </c>
      <c r="B4" t="s">
        <v>49</v>
      </c>
      <c r="C4" s="13">
        <v>0.15</v>
      </c>
      <c r="D4" s="16" t="s">
        <v>53</v>
      </c>
      <c r="E4" s="13">
        <v>0.2</v>
      </c>
      <c r="F4" s="16" t="s">
        <v>53</v>
      </c>
      <c r="G4" t="s">
        <v>73</v>
      </c>
      <c r="H4" t="s">
        <v>24</v>
      </c>
    </row>
    <row r="5" spans="1:8" x14ac:dyDescent="0.25">
      <c r="A5" t="s">
        <v>61</v>
      </c>
      <c r="B5" t="s">
        <v>69</v>
      </c>
      <c r="C5" s="16" t="s">
        <v>53</v>
      </c>
      <c r="D5" s="16" t="s">
        <v>53</v>
      </c>
      <c r="E5" s="16" t="s">
        <v>53</v>
      </c>
      <c r="F5" s="13">
        <v>0.1</v>
      </c>
      <c r="G5" t="s">
        <v>73</v>
      </c>
      <c r="H5" t="s">
        <v>61</v>
      </c>
    </row>
    <row r="6" spans="1:8" x14ac:dyDescent="0.25">
      <c r="A6" t="s">
        <v>28</v>
      </c>
      <c r="B6" t="s">
        <v>44</v>
      </c>
      <c r="C6" s="13">
        <v>0.1</v>
      </c>
      <c r="D6" s="16" t="s">
        <v>53</v>
      </c>
      <c r="E6" s="13">
        <v>0.2</v>
      </c>
      <c r="F6" s="16" t="s">
        <v>53</v>
      </c>
      <c r="G6" t="s">
        <v>73</v>
      </c>
      <c r="H6" t="s">
        <v>28</v>
      </c>
    </row>
    <row r="7" spans="1:8" x14ac:dyDescent="0.25">
      <c r="A7" t="s">
        <v>32</v>
      </c>
      <c r="B7" t="s">
        <v>45</v>
      </c>
      <c r="C7" s="13">
        <v>0.05</v>
      </c>
      <c r="D7" s="16" t="s">
        <v>53</v>
      </c>
      <c r="E7" s="13">
        <v>0.2</v>
      </c>
      <c r="F7" s="16" t="s">
        <v>53</v>
      </c>
      <c r="G7" t="s">
        <v>73</v>
      </c>
      <c r="H7" t="s">
        <v>32</v>
      </c>
    </row>
    <row r="8" spans="1:8" x14ac:dyDescent="0.25">
      <c r="A8" t="s">
        <v>79</v>
      </c>
      <c r="B8" t="s">
        <v>77</v>
      </c>
      <c r="C8" s="16" t="s">
        <v>86</v>
      </c>
      <c r="D8" s="18" t="s">
        <v>53</v>
      </c>
      <c r="E8" s="16" t="s">
        <v>86</v>
      </c>
      <c r="F8" s="16" t="s">
        <v>53</v>
      </c>
      <c r="G8" t="s">
        <v>74</v>
      </c>
      <c r="H8" t="s">
        <v>79</v>
      </c>
    </row>
    <row r="9" spans="1:8" x14ac:dyDescent="0.25">
      <c r="A9" t="s">
        <v>80</v>
      </c>
      <c r="B9" t="s">
        <v>78</v>
      </c>
      <c r="C9" s="16" t="s">
        <v>86</v>
      </c>
      <c r="D9" s="18" t="s">
        <v>53</v>
      </c>
      <c r="E9" s="16" t="s">
        <v>86</v>
      </c>
      <c r="F9" s="16" t="s">
        <v>53</v>
      </c>
      <c r="G9" t="s">
        <v>74</v>
      </c>
      <c r="H9" t="s">
        <v>80</v>
      </c>
    </row>
    <row r="10" spans="1:8" x14ac:dyDescent="0.25">
      <c r="A10" t="s">
        <v>25</v>
      </c>
      <c r="B10" t="s">
        <v>51</v>
      </c>
      <c r="C10" s="13">
        <v>0.25</v>
      </c>
      <c r="D10" s="13">
        <v>0.3</v>
      </c>
      <c r="E10" s="16" t="s">
        <v>53</v>
      </c>
      <c r="F10" s="16" t="s">
        <v>53</v>
      </c>
      <c r="G10" t="s">
        <v>73</v>
      </c>
      <c r="H10" t="s">
        <v>25</v>
      </c>
    </row>
    <row r="11" spans="1:8" x14ac:dyDescent="0.25">
      <c r="A11" t="s">
        <v>26</v>
      </c>
      <c r="B11" t="s">
        <v>47</v>
      </c>
      <c r="C11" s="13">
        <v>0.05</v>
      </c>
      <c r="D11" s="13">
        <v>0.1</v>
      </c>
      <c r="E11" s="16" t="s">
        <v>53</v>
      </c>
      <c r="F11" s="16" t="s">
        <v>53</v>
      </c>
      <c r="G11" t="s">
        <v>73</v>
      </c>
      <c r="H11" t="s">
        <v>26</v>
      </c>
    </row>
    <row r="12" spans="1:8" x14ac:dyDescent="0.25">
      <c r="A12" t="s">
        <v>58</v>
      </c>
      <c r="B12" t="s">
        <v>66</v>
      </c>
      <c r="C12" s="16" t="s">
        <v>53</v>
      </c>
      <c r="D12" s="16" t="s">
        <v>53</v>
      </c>
      <c r="E12" s="16" t="s">
        <v>53</v>
      </c>
      <c r="F12" s="13">
        <v>0.08</v>
      </c>
      <c r="G12" t="s">
        <v>73</v>
      </c>
      <c r="H12" t="s">
        <v>58</v>
      </c>
    </row>
    <row r="13" spans="1:8" x14ac:dyDescent="0.25">
      <c r="A13" t="s">
        <v>31</v>
      </c>
      <c r="B13" t="s">
        <v>48</v>
      </c>
      <c r="C13" s="13">
        <v>0.1</v>
      </c>
      <c r="D13" s="13">
        <v>0.2</v>
      </c>
      <c r="E13" s="16" t="s">
        <v>53</v>
      </c>
      <c r="F13" s="16" t="s">
        <v>53</v>
      </c>
      <c r="G13" t="s">
        <v>73</v>
      </c>
      <c r="H13" t="s">
        <v>31</v>
      </c>
    </row>
    <row r="14" spans="1:8" x14ac:dyDescent="0.25">
      <c r="A14" t="s">
        <v>97</v>
      </c>
      <c r="B14" t="s">
        <v>76</v>
      </c>
      <c r="C14" s="16" t="s">
        <v>86</v>
      </c>
      <c r="D14" s="16" t="s">
        <v>86</v>
      </c>
      <c r="E14" s="16" t="s">
        <v>53</v>
      </c>
      <c r="F14" s="16" t="s">
        <v>53</v>
      </c>
      <c r="G14" t="s">
        <v>74</v>
      </c>
      <c r="H14" t="s">
        <v>31</v>
      </c>
    </row>
    <row r="15" spans="1:8" x14ac:dyDescent="0.25">
      <c r="A15" t="s">
        <v>59</v>
      </c>
      <c r="B15" t="s">
        <v>83</v>
      </c>
      <c r="C15" s="16" t="s">
        <v>53</v>
      </c>
      <c r="D15" s="16" t="s">
        <v>53</v>
      </c>
      <c r="E15" s="16" t="s">
        <v>53</v>
      </c>
      <c r="F15" s="13">
        <v>0.05</v>
      </c>
      <c r="G15" t="s">
        <v>73</v>
      </c>
      <c r="H15" t="s">
        <v>59</v>
      </c>
    </row>
    <row r="16" spans="1:8" x14ac:dyDescent="0.25">
      <c r="A16" t="s">
        <v>89</v>
      </c>
      <c r="B16" t="s">
        <v>87</v>
      </c>
      <c r="C16" s="16" t="s">
        <v>86</v>
      </c>
      <c r="D16" s="16" t="s">
        <v>86</v>
      </c>
      <c r="E16" s="16" t="s">
        <v>53</v>
      </c>
      <c r="F16" s="21" t="s">
        <v>93</v>
      </c>
      <c r="G16" t="s">
        <v>73</v>
      </c>
      <c r="H16" t="s">
        <v>89</v>
      </c>
    </row>
    <row r="17" spans="1:8" x14ac:dyDescent="0.25">
      <c r="A17" t="s">
        <v>90</v>
      </c>
      <c r="B17" t="s">
        <v>88</v>
      </c>
      <c r="C17" s="16" t="s">
        <v>86</v>
      </c>
      <c r="D17" s="16" t="s">
        <v>53</v>
      </c>
      <c r="E17" s="16" t="s">
        <v>86</v>
      </c>
      <c r="F17" s="21" t="s">
        <v>93</v>
      </c>
      <c r="G17" t="s">
        <v>73</v>
      </c>
      <c r="H17" t="s">
        <v>90</v>
      </c>
    </row>
    <row r="18" spans="1:8" x14ac:dyDescent="0.25">
      <c r="A18" t="s">
        <v>91</v>
      </c>
      <c r="B18" t="s">
        <v>92</v>
      </c>
      <c r="C18" s="16" t="s">
        <v>86</v>
      </c>
      <c r="D18" s="16" t="s">
        <v>53</v>
      </c>
      <c r="E18" s="16" t="s">
        <v>86</v>
      </c>
      <c r="F18" s="21" t="s">
        <v>93</v>
      </c>
      <c r="G18" t="s">
        <v>73</v>
      </c>
      <c r="H18" t="s">
        <v>91</v>
      </c>
    </row>
    <row r="19" spans="1:8" x14ac:dyDescent="0.25">
      <c r="A19" t="s">
        <v>55</v>
      </c>
      <c r="B19" t="s">
        <v>67</v>
      </c>
      <c r="C19" s="16" t="s">
        <v>53</v>
      </c>
      <c r="D19" s="16" t="s">
        <v>53</v>
      </c>
      <c r="E19" s="16" t="s">
        <v>53</v>
      </c>
      <c r="F19" s="13">
        <v>0.15</v>
      </c>
      <c r="G19" t="s">
        <v>73</v>
      </c>
      <c r="H19" t="s">
        <v>55</v>
      </c>
    </row>
    <row r="20" spans="1:8" x14ac:dyDescent="0.25">
      <c r="A20" t="s">
        <v>56</v>
      </c>
      <c r="B20" t="s">
        <v>65</v>
      </c>
      <c r="C20" s="16" t="s">
        <v>86</v>
      </c>
      <c r="D20" s="16" t="s">
        <v>86</v>
      </c>
      <c r="E20" s="16" t="s">
        <v>53</v>
      </c>
      <c r="F20" s="13">
        <v>0.2</v>
      </c>
      <c r="G20" t="s">
        <v>73</v>
      </c>
      <c r="H20" t="s">
        <v>56</v>
      </c>
    </row>
    <row r="21" spans="1:8" x14ac:dyDescent="0.25">
      <c r="A21" t="s">
        <v>57</v>
      </c>
      <c r="B21" t="s">
        <v>82</v>
      </c>
      <c r="C21" s="16" t="s">
        <v>53</v>
      </c>
      <c r="D21" s="16" t="s">
        <v>53</v>
      </c>
      <c r="E21" s="16" t="s">
        <v>53</v>
      </c>
      <c r="F21" s="13">
        <v>0.02</v>
      </c>
      <c r="G21" t="s">
        <v>74</v>
      </c>
      <c r="H21" t="s">
        <v>57</v>
      </c>
    </row>
    <row r="22" spans="1:8" x14ac:dyDescent="0.25">
      <c r="A22" t="s">
        <v>84</v>
      </c>
      <c r="B22" t="s">
        <v>75</v>
      </c>
      <c r="C22" s="16" t="s">
        <v>86</v>
      </c>
      <c r="D22" s="16" t="s">
        <v>86</v>
      </c>
      <c r="E22" s="16" t="s">
        <v>53</v>
      </c>
      <c r="F22" s="16" t="s">
        <v>86</v>
      </c>
      <c r="G22" t="s">
        <v>73</v>
      </c>
      <c r="H22" t="s">
        <v>84</v>
      </c>
    </row>
    <row r="23" spans="1:8" x14ac:dyDescent="0.25">
      <c r="A23" t="s">
        <v>29</v>
      </c>
      <c r="B23" t="s">
        <v>54</v>
      </c>
      <c r="C23" s="13">
        <v>0.1</v>
      </c>
      <c r="D23" s="13">
        <v>0.1</v>
      </c>
      <c r="E23" s="16" t="s">
        <v>53</v>
      </c>
      <c r="F23" s="13">
        <v>0.05</v>
      </c>
      <c r="G23" t="s">
        <v>73</v>
      </c>
      <c r="H23" t="s">
        <v>29</v>
      </c>
    </row>
    <row r="24" spans="1:8" x14ac:dyDescent="0.25">
      <c r="A24" t="s">
        <v>98</v>
      </c>
      <c r="B24" t="s">
        <v>99</v>
      </c>
      <c r="C24" s="16" t="s">
        <v>53</v>
      </c>
      <c r="D24" s="16" t="s">
        <v>53</v>
      </c>
      <c r="E24" s="16" t="s">
        <v>53</v>
      </c>
      <c r="F24" s="16" t="s">
        <v>53</v>
      </c>
      <c r="G24" t="s">
        <v>73</v>
      </c>
    </row>
    <row r="25" spans="1:8" x14ac:dyDescent="0.25">
      <c r="A25" t="s">
        <v>60</v>
      </c>
      <c r="B25" t="s">
        <v>68</v>
      </c>
      <c r="C25" s="16" t="s">
        <v>53</v>
      </c>
      <c r="D25" s="16" t="s">
        <v>53</v>
      </c>
      <c r="E25" s="16" t="s">
        <v>53</v>
      </c>
      <c r="F25" s="13">
        <v>0.05</v>
      </c>
      <c r="G25" t="s">
        <v>73</v>
      </c>
      <c r="H25" t="s">
        <v>60</v>
      </c>
    </row>
    <row r="26" spans="1:8" x14ac:dyDescent="0.25">
      <c r="A26" t="s">
        <v>22</v>
      </c>
      <c r="B26" t="s">
        <v>46</v>
      </c>
      <c r="C26" s="13">
        <v>0.1</v>
      </c>
      <c r="D26" s="13">
        <v>0.15</v>
      </c>
      <c r="E26" s="16" t="s">
        <v>53</v>
      </c>
      <c r="F26" s="16">
        <v>0.1</v>
      </c>
      <c r="G26" t="s">
        <v>73</v>
      </c>
      <c r="H26" t="s">
        <v>22</v>
      </c>
    </row>
    <row r="27" spans="1:8" x14ac:dyDescent="0.25">
      <c r="A27" t="s">
        <v>30</v>
      </c>
      <c r="B27" t="s">
        <v>52</v>
      </c>
      <c r="C27" s="16" t="s">
        <v>53</v>
      </c>
      <c r="D27" s="16" t="s">
        <v>53</v>
      </c>
      <c r="E27" s="13">
        <v>0.05</v>
      </c>
      <c r="F27" s="16" t="s">
        <v>53</v>
      </c>
      <c r="G27" t="s">
        <v>73</v>
      </c>
      <c r="H27" t="s">
        <v>30</v>
      </c>
    </row>
    <row r="28" spans="1:8" x14ac:dyDescent="0.25">
      <c r="A28" t="s">
        <v>27</v>
      </c>
      <c r="B28" t="s">
        <v>43</v>
      </c>
      <c r="C28" s="13">
        <v>0.05</v>
      </c>
      <c r="D28" s="13">
        <v>0.15</v>
      </c>
      <c r="E28" s="16" t="s">
        <v>53</v>
      </c>
      <c r="F28" s="13">
        <v>0.1</v>
      </c>
      <c r="G28" t="s">
        <v>73</v>
      </c>
      <c r="H28" t="s">
        <v>27</v>
      </c>
    </row>
    <row r="29" spans="1:8" x14ac:dyDescent="0.25">
      <c r="A29" t="s">
        <v>62</v>
      </c>
      <c r="B29" t="s">
        <v>70</v>
      </c>
      <c r="C29" s="16" t="s">
        <v>53</v>
      </c>
      <c r="D29" s="16" t="s">
        <v>53</v>
      </c>
      <c r="E29" s="16" t="s">
        <v>53</v>
      </c>
      <c r="F29" s="13">
        <v>0.06</v>
      </c>
      <c r="G29" t="s">
        <v>74</v>
      </c>
      <c r="H29" t="s">
        <v>62</v>
      </c>
    </row>
    <row r="30" spans="1:8" x14ac:dyDescent="0.25">
      <c r="A30" t="s">
        <v>63</v>
      </c>
      <c r="B30" t="s">
        <v>71</v>
      </c>
      <c r="C30" s="16" t="s">
        <v>53</v>
      </c>
      <c r="D30" s="16" t="s">
        <v>53</v>
      </c>
      <c r="E30" s="16" t="s">
        <v>53</v>
      </c>
      <c r="F30" s="13">
        <v>0.04</v>
      </c>
      <c r="G30" t="s">
        <v>74</v>
      </c>
      <c r="H30" t="s">
        <v>63</v>
      </c>
    </row>
    <row r="31" spans="1:8" x14ac:dyDescent="0.25">
      <c r="A31" t="s">
        <v>85</v>
      </c>
      <c r="B31" t="s">
        <v>81</v>
      </c>
      <c r="C31" s="16" t="s">
        <v>53</v>
      </c>
      <c r="D31" s="16" t="s">
        <v>53</v>
      </c>
      <c r="E31" s="16" t="s">
        <v>53</v>
      </c>
      <c r="F31" s="16" t="s">
        <v>86</v>
      </c>
      <c r="G31" t="s">
        <v>73</v>
      </c>
      <c r="H31" t="s">
        <v>85</v>
      </c>
    </row>
    <row r="32" spans="1:8" x14ac:dyDescent="0.25">
      <c r="A32" t="s">
        <v>95</v>
      </c>
      <c r="B32" t="s">
        <v>95</v>
      </c>
      <c r="C32" s="16" t="s">
        <v>53</v>
      </c>
      <c r="D32" s="16" t="s">
        <v>53</v>
      </c>
      <c r="E32" s="16" t="s">
        <v>53</v>
      </c>
      <c r="F32" s="16" t="s">
        <v>53</v>
      </c>
      <c r="G32" t="s">
        <v>73</v>
      </c>
    </row>
    <row r="33" spans="1:7" x14ac:dyDescent="0.25">
      <c r="A33" t="s">
        <v>96</v>
      </c>
      <c r="B33" t="s">
        <v>96</v>
      </c>
      <c r="C33" s="16" t="s">
        <v>53</v>
      </c>
      <c r="D33" s="16" t="s">
        <v>53</v>
      </c>
      <c r="E33" s="16" t="s">
        <v>53</v>
      </c>
      <c r="F33" s="16" t="s">
        <v>53</v>
      </c>
      <c r="G33" t="s">
        <v>73</v>
      </c>
    </row>
    <row r="34" spans="1:7" x14ac:dyDescent="0.25">
      <c r="A34" s="2" t="s">
        <v>0</v>
      </c>
      <c r="B34" s="2" t="s">
        <v>0</v>
      </c>
      <c r="C34" s="18">
        <f>SUM(C2:C33)</f>
        <v>1</v>
      </c>
      <c r="D34" s="18">
        <f>SUM(D2:D33)</f>
        <v>1</v>
      </c>
      <c r="E34" s="18">
        <f>SUM(E2:E33)</f>
        <v>1</v>
      </c>
      <c r="F34" s="18">
        <f>SUM(F2:F33)</f>
        <v>1.0000000000000002</v>
      </c>
      <c r="G34" s="2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27</vt:i4>
      </vt:variant>
    </vt:vector>
  </HeadingPairs>
  <TitlesOfParts>
    <vt:vector size="27" baseType="lpstr">
      <vt:lpstr>Folkmängd</vt:lpstr>
      <vt:lpstr>Vuxen_bef</vt:lpstr>
      <vt:lpstr>Ung_bef</vt:lpstr>
      <vt:lpstr>Sysselsatta</vt:lpstr>
      <vt:lpstr>KIBS</vt:lpstr>
      <vt:lpstr>Inpendling</vt:lpstr>
      <vt:lpstr>Utpendling</vt:lpstr>
      <vt:lpstr>Lång_eftergymnasial_procent</vt:lpstr>
      <vt:lpstr>Lång_eftergymnasial_antal</vt:lpstr>
      <vt:lpstr>Inflyttning_annat_län</vt:lpstr>
      <vt:lpstr>Inflytt_annat_län_30-59</vt:lpstr>
      <vt:lpstr>Utflyttning_annat_län</vt:lpstr>
      <vt:lpstr>Utflytt_annat_län_30-59</vt:lpstr>
      <vt:lpstr>Inflytt_eget_län</vt:lpstr>
      <vt:lpstr>Sysselsättningsgrad</vt:lpstr>
      <vt:lpstr>Syssgrad_kvinnor-män</vt:lpstr>
      <vt:lpstr>Nettoinkomst_median</vt:lpstr>
      <vt:lpstr>Nettoinkomst_belopp_summa</vt:lpstr>
      <vt:lpstr>Förvärvsinkomst_median</vt:lpstr>
      <vt:lpstr>BRP</vt:lpstr>
      <vt:lpstr>Arbetslöshet</vt:lpstr>
      <vt:lpstr>Långtidsarbetslöshet</vt:lpstr>
      <vt:lpstr>Nyföretagande</vt:lpstr>
      <vt:lpstr>Bostadsbyggande</vt:lpstr>
      <vt:lpstr>Bostäder</vt:lpstr>
      <vt:lpstr>Bostadspriser</vt:lpstr>
      <vt:lpstr>Standardvikt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2025-09-08T09:32:40Z</dcterms:created>
  <dcterms:modified xsi:type="dcterms:W3CDTF">2026-03-16T07:46:59Z</dcterms:modified>
</cp:coreProperties>
</file>