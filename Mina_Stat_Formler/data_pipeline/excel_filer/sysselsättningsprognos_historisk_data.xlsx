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a_Stat_Formler\data_pipeline\excel_filer\"/>
    </mc:Choice>
  </mc:AlternateContent>
  <xr:revisionPtr revIDLastSave="0" documentId="13_ncr:1_{952B10A6-EAEA-4AD5-9C22-46205206FC32}" xr6:coauthVersionLast="36" xr6:coauthVersionMax="36" xr10:uidLastSave="{00000000-0000-0000-0000-000000000000}"/>
  <bookViews>
    <workbookView xWindow="0" yWindow="0" windowWidth="28800" windowHeight="10215" xr2:uid="{14E95763-C726-4FCE-B687-19EC56A0FBA8}"/>
  </bookViews>
  <sheets>
    <sheet name="Syss_ålder" sheetId="1" r:id="rId1"/>
    <sheet name="Syss_sektor" sheetId="2" r:id="rId2"/>
    <sheet name="Natt_sektor" sheetId="15" r:id="rId3"/>
    <sheet name="Syss_bransch" sheetId="3" r:id="rId4"/>
    <sheet name="Natt_bransch" sheetId="14" r:id="rId5"/>
    <sheet name="Detalj_bransch" sheetId="20" r:id="rId6"/>
    <sheet name="Syssgrad" sheetId="6" r:id="rId7"/>
    <sheet name="Natt_ålder" sheetId="7" r:id="rId8"/>
    <sheet name="Syss_utbnivå" sheetId="8" r:id="rId9"/>
    <sheet name="Natt_utbnivå" sheetId="13" r:id="rId10"/>
    <sheet name="Syss_utrikes" sheetId="10" r:id="rId11"/>
    <sheet name="Natt_utrikes" sheetId="17" r:id="rId12"/>
    <sheet name="Syssgrad_utrikes" sheetId="21" r:id="rId13"/>
    <sheet name="Pendling" sheetId="4" r:id="rId14"/>
    <sheet name="Ettårsklasser_natt" sheetId="9" r:id="rId15"/>
    <sheet name="Ettårsklasser_dag" sheetId="12" r:id="rId16"/>
    <sheet name="Syss_tillägg" sheetId="5" r:id="rId17"/>
    <sheet name="Arbetslöshet" sheetId="18" r:id="rId18"/>
    <sheet name="Långtidsarbetslöshet" sheetId="19" r:id="rId19"/>
    <sheet name="BRP" sheetId="16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0" l="1"/>
  <c r="E31" i="18" l="1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3" i="16" l="1"/>
  <c r="F3" i="16"/>
  <c r="G3" i="16"/>
  <c r="E4" i="16"/>
  <c r="F4" i="16"/>
  <c r="G4" i="16"/>
  <c r="E5" i="16"/>
  <c r="F5" i="16"/>
  <c r="G5" i="16"/>
  <c r="E6" i="16"/>
  <c r="F6" i="16"/>
  <c r="G6" i="16"/>
  <c r="E7" i="16"/>
  <c r="F7" i="16"/>
  <c r="G7" i="16"/>
  <c r="E8" i="16"/>
  <c r="F8" i="16"/>
  <c r="G8" i="16"/>
  <c r="E9" i="16"/>
  <c r="F9" i="16"/>
  <c r="G9" i="16"/>
  <c r="E10" i="16"/>
  <c r="F10" i="16"/>
  <c r="G10" i="16"/>
  <c r="E11" i="16"/>
  <c r="F11" i="16"/>
  <c r="G11" i="16"/>
  <c r="E12" i="16"/>
  <c r="F12" i="16"/>
  <c r="G12" i="16"/>
  <c r="E13" i="16"/>
  <c r="F13" i="16"/>
  <c r="G13" i="16"/>
  <c r="E14" i="16"/>
  <c r="F14" i="16"/>
  <c r="G14" i="16"/>
  <c r="E15" i="16"/>
  <c r="F15" i="16"/>
  <c r="G15" i="16"/>
  <c r="E16" i="16"/>
  <c r="F16" i="16"/>
  <c r="G16" i="16"/>
  <c r="E17" i="16"/>
  <c r="F17" i="16"/>
  <c r="G17" i="16"/>
  <c r="E18" i="16"/>
  <c r="F18" i="16"/>
  <c r="G18" i="16"/>
  <c r="E19" i="16"/>
  <c r="F19" i="16"/>
  <c r="G19" i="16"/>
  <c r="E20" i="16"/>
  <c r="F20" i="16"/>
  <c r="G20" i="16"/>
  <c r="E21" i="16"/>
  <c r="F21" i="16"/>
  <c r="G21" i="16"/>
  <c r="E22" i="16"/>
  <c r="F22" i="16"/>
  <c r="G22" i="16"/>
  <c r="E23" i="16"/>
  <c r="F23" i="16"/>
  <c r="G23" i="16"/>
  <c r="E24" i="16"/>
  <c r="F24" i="16"/>
  <c r="G24" i="16"/>
  <c r="E25" i="16"/>
  <c r="F25" i="16"/>
  <c r="G25" i="16"/>
  <c r="E26" i="16"/>
  <c r="F26" i="16"/>
  <c r="G26" i="16"/>
  <c r="E27" i="16"/>
  <c r="F27" i="16"/>
  <c r="G27" i="16"/>
  <c r="E28" i="16"/>
  <c r="F28" i="16"/>
  <c r="G28" i="16"/>
  <c r="E29" i="16"/>
  <c r="F29" i="16"/>
  <c r="G29" i="16"/>
  <c r="E30" i="16"/>
  <c r="F30" i="16"/>
  <c r="G30" i="16"/>
  <c r="E31" i="16"/>
  <c r="F31" i="16"/>
  <c r="G31" i="16"/>
  <c r="E32" i="16"/>
  <c r="F32" i="16"/>
  <c r="G32" i="16"/>
  <c r="G2" i="16"/>
  <c r="F2" i="16"/>
  <c r="E2" i="16"/>
  <c r="F3" i="5" l="1"/>
  <c r="F4" i="5" s="1"/>
  <c r="F5" i="5" s="1"/>
  <c r="F6" i="5" s="1"/>
  <c r="F8" i="5"/>
  <c r="F9" i="5" s="1"/>
  <c r="F10" i="5" s="1"/>
  <c r="F11" i="5" s="1"/>
  <c r="Q81" i="7"/>
  <c r="P81" i="7"/>
  <c r="Q80" i="7"/>
  <c r="P80" i="7"/>
  <c r="Q79" i="7"/>
  <c r="P79" i="7"/>
  <c r="Q78" i="7"/>
  <c r="P78" i="7"/>
  <c r="Q77" i="7"/>
  <c r="P77" i="7"/>
  <c r="Q76" i="7"/>
  <c r="P76" i="7"/>
  <c r="Q75" i="7"/>
  <c r="P75" i="7"/>
  <c r="Q74" i="7"/>
  <c r="P74" i="7"/>
  <c r="Q73" i="7"/>
  <c r="P73" i="7"/>
  <c r="Q72" i="7"/>
  <c r="P72" i="7"/>
  <c r="Q71" i="7"/>
  <c r="P71" i="7"/>
  <c r="Q70" i="7"/>
  <c r="P70" i="7"/>
  <c r="Q69" i="7"/>
  <c r="P69" i="7"/>
  <c r="Q68" i="7"/>
  <c r="P68" i="7"/>
  <c r="Q67" i="7"/>
  <c r="P67" i="7"/>
  <c r="Q66" i="7"/>
  <c r="P66" i="7"/>
  <c r="Q65" i="7"/>
  <c r="P65" i="7"/>
  <c r="Q64" i="7"/>
  <c r="P64" i="7"/>
  <c r="Q63" i="7"/>
  <c r="P63" i="7"/>
  <c r="Q62" i="7"/>
  <c r="P62" i="7"/>
  <c r="Q61" i="7"/>
  <c r="P61" i="7"/>
  <c r="Q60" i="7"/>
  <c r="P60" i="7"/>
  <c r="Q59" i="7"/>
  <c r="P59" i="7"/>
  <c r="Q58" i="7"/>
  <c r="P58" i="7"/>
  <c r="Q57" i="7"/>
  <c r="P57" i="7"/>
  <c r="Q56" i="7"/>
  <c r="P56" i="7"/>
  <c r="Q55" i="7"/>
  <c r="P55" i="7"/>
  <c r="Q54" i="7"/>
  <c r="P54" i="7"/>
  <c r="Q53" i="7"/>
  <c r="P53" i="7"/>
  <c r="Q52" i="7"/>
  <c r="P52" i="7"/>
  <c r="Q51" i="7"/>
  <c r="P51" i="7"/>
  <c r="Q50" i="7"/>
  <c r="P50" i="7"/>
  <c r="Q49" i="7"/>
  <c r="P49" i="7"/>
  <c r="Q48" i="7"/>
  <c r="P48" i="7"/>
  <c r="Q47" i="7"/>
  <c r="P47" i="7"/>
  <c r="Q46" i="7"/>
  <c r="P46" i="7"/>
  <c r="Q45" i="7"/>
  <c r="P45" i="7"/>
  <c r="Q44" i="7"/>
  <c r="P44" i="7"/>
  <c r="Q43" i="7"/>
  <c r="P43" i="7"/>
  <c r="Q42" i="7"/>
  <c r="P42" i="7"/>
  <c r="Q41" i="7"/>
  <c r="P41" i="7"/>
  <c r="Q40" i="7"/>
  <c r="P40" i="7"/>
  <c r="Q39" i="7"/>
  <c r="P39" i="7"/>
  <c r="Q38" i="7"/>
  <c r="P38" i="7"/>
  <c r="Q37" i="7"/>
  <c r="P37" i="7"/>
  <c r="Q36" i="7"/>
  <c r="P36" i="7"/>
  <c r="Q35" i="7"/>
  <c r="P35" i="7"/>
  <c r="Q34" i="7"/>
  <c r="P34" i="7"/>
  <c r="Q33" i="7"/>
  <c r="P33" i="7"/>
  <c r="Q32" i="7"/>
  <c r="P32" i="7"/>
  <c r="Q31" i="7"/>
  <c r="P31" i="7"/>
  <c r="Q30" i="7"/>
  <c r="P30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Q13" i="7"/>
  <c r="P13" i="7"/>
  <c r="Q12" i="7"/>
  <c r="P12" i="7"/>
  <c r="Q11" i="7"/>
  <c r="P11" i="7"/>
  <c r="Q10" i="7"/>
  <c r="P10" i="7"/>
  <c r="Q9" i="7"/>
  <c r="P9" i="7"/>
  <c r="Q8" i="7"/>
  <c r="P8" i="7"/>
  <c r="Q7" i="7"/>
  <c r="P7" i="7"/>
  <c r="Q6" i="7"/>
  <c r="P6" i="7"/>
  <c r="Q5" i="7"/>
  <c r="P5" i="7"/>
  <c r="Q4" i="7"/>
  <c r="P4" i="7"/>
  <c r="Q3" i="7"/>
  <c r="P3" i="7"/>
  <c r="Q2" i="7"/>
  <c r="P2" i="7"/>
  <c r="E8" i="5"/>
  <c r="D8" i="5"/>
  <c r="D9" i="5" s="1"/>
  <c r="C8" i="5"/>
  <c r="C9" i="5" s="1"/>
  <c r="C10" i="5" s="1"/>
  <c r="C11" i="5" s="1"/>
  <c r="D3" i="5"/>
  <c r="C3" i="5"/>
  <c r="C4" i="5" s="1"/>
  <c r="C5" i="5" s="1"/>
  <c r="C6" i="5" s="1"/>
  <c r="D58" i="5"/>
  <c r="E58" i="5" s="1"/>
  <c r="C58" i="5"/>
  <c r="C59" i="5" s="1"/>
  <c r="C60" i="5" s="1"/>
  <c r="C61" i="5" s="1"/>
  <c r="D53" i="5"/>
  <c r="D54" i="5" s="1"/>
  <c r="D55" i="5" s="1"/>
  <c r="D56" i="5" s="1"/>
  <c r="C53" i="5"/>
  <c r="E53" i="5" s="1"/>
  <c r="E9" i="5" l="1"/>
  <c r="D10" i="5"/>
  <c r="E3" i="5"/>
  <c r="C54" i="5"/>
  <c r="E54" i="5" s="1"/>
  <c r="D4" i="5"/>
  <c r="D59" i="5"/>
  <c r="C55" i="5"/>
  <c r="E10" i="5" l="1"/>
  <c r="D11" i="5"/>
  <c r="E11" i="5" s="1"/>
  <c r="C56" i="5"/>
  <c r="E56" i="5" s="1"/>
  <c r="E55" i="5"/>
  <c r="D5" i="5"/>
  <c r="E4" i="5"/>
  <c r="D60" i="5"/>
  <c r="E59" i="5"/>
  <c r="E5" i="5" l="1"/>
  <c r="D6" i="5"/>
  <c r="E6" i="5" s="1"/>
  <c r="D61" i="5"/>
  <c r="E61" i="5" s="1"/>
  <c r="E6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0B101409-6727-46CA-AC47-E504430B0E07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fa14.px
Dagbefolkning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1C8FD6BC-1FA3-4711-9F3F-E7B0B7281F67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fa22.px / fa23.px
Dagbefolkning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E548B7C0-CF9C-485B-B231-C56DBD23D096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fa22.px / fa23.px
Nattbefolkning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5FF24E4C-18D3-44AE-BB79-F7C04CC1875F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fa09.px
Dagbefolkning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9052CA2A-C70B-45F1-BA0E-8915AE4A9807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fa09.px
Nattbefolkning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3F38584F-826C-41B3-842C-6059C64B521F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fa09.px
Dagbefolkning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D965A47B-5309-44B5-BF7C-46006826F0AA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beräknad från fve3005.px samt FA25.px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9BF7480E-23F9-4FAA-9CE0-1F3A07EC0478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fve3005.px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ADE8FBEB-C13E-4E4E-B703-04DEEE9D6EC1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fa16.px
Dagbefolkning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9AC72DD5-3DB6-400F-B862-A81BE69D3B2E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fa16.px
Nattbefolkning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74C30AEB-DA37-432A-ABF6-2272F09E9E0C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fve3020.px
Dagbefolkning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1E03C1A6-37A3-43E1-B05F-6C2E77D5DEBC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fve3020.px
Nattbefolkning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78B032AB-7CF9-4811-89EF-6FE7DAB89429}">
      <text>
        <r>
          <rPr>
            <b/>
            <sz val="9"/>
            <color indexed="81"/>
            <rFont val="Tahoma"/>
            <charset val="1"/>
          </rPr>
          <t>jimlin:</t>
        </r>
        <r>
          <rPr>
            <sz val="9"/>
            <color indexed="81"/>
            <rFont val="Tahoma"/>
            <charset val="1"/>
          </rPr>
          <t xml:space="preserve">
Beräknade värden för åldern 20-64 år från fa17.px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D97EBCD6-1F61-4D67-9B96-0452F0079621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pe05.px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165B5822-08E7-4830-AD5B-372E2B35F04C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fa26c.px
Nattbefolkning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3B6FF358-E33F-4125-85B3-A99BD061D041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fa26q.px
Nattbefolkning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EB6FA9EA-B533-4D13-8EA7-8A06C27E5E7B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fve3002.px och pe01.px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EE3FDED8-E03D-486D-900C-A7AC119F7865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Inskrivna arbetslösa. (November respektive år) AL51.px / AL52.px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jimlin</author>
  </authors>
  <commentList>
    <comment ref="A1" authorId="0" shapeId="0" xr:uid="{A028A162-BC03-4EA7-9890-A73CB4C05A65}">
      <text>
        <r>
          <rPr>
            <b/>
            <sz val="9"/>
            <color indexed="81"/>
            <rFont val="Tahoma"/>
            <family val="2"/>
          </rPr>
          <t>jimlin:</t>
        </r>
        <r>
          <rPr>
            <sz val="9"/>
            <color indexed="81"/>
            <rFont val="Tahoma"/>
            <family val="2"/>
          </rPr>
          <t xml:space="preserve">
Långtidsarbetslösa (Utan arbete mer än 12 månader) i november resp år, AL55.px / AL.56px
</t>
        </r>
      </text>
    </comment>
  </commentList>
</comments>
</file>

<file path=xl/sharedStrings.xml><?xml version="1.0" encoding="utf-8"?>
<sst xmlns="http://schemas.openxmlformats.org/spreadsheetml/2006/main" count="3548" uniqueCount="165">
  <si>
    <t>Män</t>
  </si>
  <si>
    <t>Kvinnor</t>
  </si>
  <si>
    <t>Totalt</t>
  </si>
  <si>
    <t>Nattbefolkning</t>
  </si>
  <si>
    <t>Dagbefolkning</t>
  </si>
  <si>
    <t>Typ</t>
  </si>
  <si>
    <t>År</t>
  </si>
  <si>
    <t>16-19 år</t>
  </si>
  <si>
    <t>20-24 år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</si>
  <si>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</si>
  <si>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</si>
  <si>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</si>
  <si>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</si>
  <si>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</si>
  <si>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</si>
  <si>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</si>
  <si>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</si>
  <si>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65-69 år</t>
  </si>
  <si>
    <t>70-74 år</t>
  </si>
  <si>
    <t>Totalt 16-74 år</t>
  </si>
  <si>
    <t>Totalt 20-64 år</t>
  </si>
  <si>
    <t>Totalt 30-64 år</t>
  </si>
  <si>
    <t>Kön</t>
  </si>
  <si>
    <t>Ålder</t>
  </si>
  <si>
    <t>Härkomst</t>
  </si>
  <si>
    <t>Inrikes född</t>
  </si>
  <si>
    <t>Utrikes född</t>
  </si>
  <si>
    <t>Offentlig sektor</t>
  </si>
  <si>
    <t>Privat sektor</t>
  </si>
  <si>
    <t>Sektor</t>
  </si>
  <si>
    <t>Jordbruk, skogsbruk och fiske</t>
  </si>
  <si>
    <t>Tillverkning och utvinning</t>
  </si>
  <si>
    <t>Energi och miljö</t>
  </si>
  <si>
    <t>Byggverksamhet</t>
  </si>
  <si>
    <t>Handel</t>
  </si>
  <si>
    <t>Transport</t>
  </si>
  <si>
    <t>Hotell och restauranger</t>
  </si>
  <si>
    <t>Information och kommunikation</t>
  </si>
  <si>
    <t>Fastighetsverksamhet</t>
  </si>
  <si>
    <t>Företagstjänster</t>
  </si>
  <si>
    <t>Utbildning</t>
  </si>
  <si>
    <t>Vård och omsorg</t>
  </si>
  <si>
    <t>Okänd bransch</t>
  </si>
  <si>
    <t>Samtliga</t>
  </si>
  <si>
    <t>Kreditinstitut och försäkringsbolag</t>
  </si>
  <si>
    <t>Offentlig förvaltning</t>
  </si>
  <si>
    <t>Personliga och kulturella tjänster</t>
  </si>
  <si>
    <t>25-34 år</t>
  </si>
  <si>
    <t>35-44 år</t>
  </si>
  <si>
    <t>45-54 år</t>
  </si>
  <si>
    <t>65-74 år</t>
  </si>
  <si>
    <t>Förgymnasial</t>
  </si>
  <si>
    <t>Gymnasial</t>
  </si>
  <si>
    <t>Kort eftergymnasial</t>
  </si>
  <si>
    <t>Lång eftergymnasial</t>
  </si>
  <si>
    <t>Uppgift saknas</t>
  </si>
  <si>
    <t>Utbildningsnivå</t>
  </si>
  <si>
    <t>15 år</t>
  </si>
  <si>
    <t>-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</si>
  <si>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</si>
  <si>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</si>
  <si>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</si>
  <si>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</si>
  <si>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</si>
  <si>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</si>
  <si>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</si>
  <si>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</si>
  <si>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</si>
  <si>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</si>
  <si>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</si>
  <si>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</si>
  <si>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</si>
  <si>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</si>
  <si>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</si>
  <si>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</si>
  <si>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</si>
  <si>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</si>
  <si>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</si>
  <si>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</si>
  <si>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</si>
  <si>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</si>
  <si>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</si>
  <si>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</si>
  <si>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</si>
  <si>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</si>
  <si>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</si>
  <si>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</si>
  <si>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</si>
  <si>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</si>
  <si>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</si>
  <si>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</si>
  <si>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</si>
  <si>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</si>
  <si>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</si>
  <si>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</si>
  <si>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</si>
  <si>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</si>
  <si>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</si>
  <si>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</si>
  <si>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</si>
  <si>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</si>
  <si>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</si>
  <si>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</si>
  <si>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</si>
  <si>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</si>
  <si>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</si>
  <si>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</si>
  <si>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</si>
  <si>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</si>
  <si>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</si>
  <si>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</si>
  <si>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</si>
  <si>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</si>
  <si>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</si>
  <si>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</si>
  <si>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</si>
  <si>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</si>
  <si>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</si>
  <si>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Pendling</t>
  </si>
  <si>
    <t>Inpendling</t>
  </si>
  <si>
    <t>Utpendling</t>
  </si>
  <si>
    <t>Pendlingsriktning</t>
  </si>
  <si>
    <t>Linköping_BRP_per_capita_(tkr)</t>
  </si>
  <si>
    <t>Linköping_BRP_per_sysselsatt_dagbefolkning_(tkr)</t>
  </si>
  <si>
    <t>Linköping_BRP_(miljoner_kr)</t>
  </si>
  <si>
    <t>Riket_BRP_(miljoner_kr)</t>
  </si>
  <si>
    <t>Riket_BRP_per_capita_(tkr)</t>
  </si>
  <si>
    <t>Riket_BRP_per_sysselsatt_dagbefolkning_(tkr)</t>
  </si>
  <si>
    <t>Linköping_BRP_(miljoner_kr)_andel_av_riket</t>
  </si>
  <si>
    <t>Linköping_BRP_per_capita_(tkr)_andel_av_riket</t>
  </si>
  <si>
    <t>Linköping_BRP_per_sysselsatt_dagbefolkning_(tkr)_andel_av_riket</t>
  </si>
  <si>
    <t>Män_16-65_år_Antal</t>
  </si>
  <si>
    <t>Kvinnor_16-65 år_Antal</t>
  </si>
  <si>
    <t>Totalt_16-65_år_Antal</t>
  </si>
  <si>
    <t>Utrikes_födda_16-65_år_Antal</t>
  </si>
  <si>
    <t>Inrikes_födda_16-65 år_Antal</t>
  </si>
  <si>
    <t>Totalt_16-65_år_Andel_av_arbetskraften</t>
  </si>
  <si>
    <t>Män_16-65_år_Andel_av_arbetskraften</t>
  </si>
  <si>
    <t>Kvinnor_16-65 år_Andel_av_arbetskraften</t>
  </si>
  <si>
    <t>Utrikes_födda_16-65_år_Andel_av_arbetskraften</t>
  </si>
  <si>
    <t>Inrikes_födda_16-65 år_Andel_av_arbetskraften</t>
  </si>
  <si>
    <t>Totalt_16-65_år_Andel_av_inskrivna</t>
  </si>
  <si>
    <t>Män_16-65_år_Andel_av_inskrivna</t>
  </si>
  <si>
    <t>Kvinnor_16-65 år_Andel_av_inskrivna</t>
  </si>
  <si>
    <t>Utrikes_födda_16-65_år_Andel_av_inskrivna</t>
  </si>
  <si>
    <t>Inrikes_födda_16-65 år_Andel_av_inskrivna</t>
  </si>
  <si>
    <t>Totalt_Antal</t>
  </si>
  <si>
    <t>Män_Antal</t>
  </si>
  <si>
    <t>Kvinnor_Antal</t>
  </si>
  <si>
    <t>Inrikes_födda_Antal</t>
  </si>
  <si>
    <t>Utrikes_födda_Antal</t>
  </si>
  <si>
    <t>Totalt_Andel_av_arbetskraften</t>
  </si>
  <si>
    <t>Män_Andel_av_arbetskraften</t>
  </si>
  <si>
    <t>Kvinnor_Andel_av_arbetskraften</t>
  </si>
  <si>
    <t>Inrikes_födda_Andel_av_arbetskraften</t>
  </si>
  <si>
    <t>Utrikes_födda_Andel_av_arbetskraften</t>
  </si>
  <si>
    <t>Transportmedelsindustri_Dag</t>
  </si>
  <si>
    <t>Forskning_och_utveckling_Dag</t>
  </si>
  <si>
    <t>Programvaruproducenter_och_datakonsulter_Dag</t>
  </si>
  <si>
    <t>Inrikes_född_20-64_år_Totalt</t>
  </si>
  <si>
    <t>Inrikes_född_20-64_år_Män</t>
  </si>
  <si>
    <t>Inrikes_född_20-64_år_Kvinnor</t>
  </si>
  <si>
    <t>Utrikes_född_20-64_år_Totalt</t>
  </si>
  <si>
    <t>Utrikes_född_20-64_år_Män</t>
  </si>
  <si>
    <t>Utrikes_född_20-64_år_Kvinnor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</si>
</sst>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 tint="-0.3499862666707357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0" borderId="0" xfId="0" applyNumberFormat="1" applyFont="1"/>
    <xf numFmtId="0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3" fontId="0" fillId="0" borderId="0" xfId="0" applyNumberFormat="1"/>
    <xf numFmtId="2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19FA-864D-4FEA-B067-AAFA63A8C9B9}">
  <dimension ref="A1:K66"/>
  <sheetViews>
    <sheetView tabSelected="1" workbookViewId="0"/>
  </sheetViews>
  <sheetFormatPr defaultRowHeight="15" x14ac:dyDescent="0.25"/>
  <sheetData>
    <row r="1" spans="1:11" x14ac:dyDescent="0.25">
      <c r="A1" s="4" t="s">
        <v>22</v>
      </c>
      <c r="B1" s="4" t="s">
        <v>6</v>
      </c>
      <c r="C1" s="4" t="s">
        <v>7</v>
      </c>
      <c r="D1" s="4" t="s">
        <v>8</v>
      </c>
      <c r="E1" s="4" t="s">
        <v>47</v>
      </c>
      <c r="F1" s="4" t="s">
        <v>48</v>
      </c>
      <c r="G1" s="4" t="s">
        <v>49</v>
      </c>
      <c r="H1" s="4" t="s">
        <v>15</v>
      </c>
      <c r="I1" s="4" t="s">
        <v>16</v>
      </c>
      <c r="J1" s="4" t="s">
        <v>50</v>
      </c>
      <c r="K1" s="4" t="s">
        <v>43</v>
      </c>
    </row>
    <row r="2" spans="1:11" x14ac:dyDescent="0.25">
      <c r="A2" t="s">
        <v>0</v>
      </c>
      <c r="B2">
        <v>1993</v>
      </c>
      <c r="C2">
        <v>371</v>
      </c>
      <c r="D2">
        <v>2441</v>
      </c>
      <c r="E2">
        <v>8106</v>
      </c>
      <c r="F2">
        <v>7748</v>
      </c>
      <c r="G2">
        <v>7641</v>
      </c>
      <c r="H2">
        <v>2591</v>
      </c>
      <c r="I2">
        <v>1438</v>
      </c>
      <c r="J2">
        <v>845</v>
      </c>
      <c r="K2">
        <v>31181</v>
      </c>
    </row>
    <row r="3" spans="1:11" x14ac:dyDescent="0.25">
      <c r="A3" t="s">
        <v>0</v>
      </c>
      <c r="B3">
        <v>1994</v>
      </c>
      <c r="C3">
        <v>394</v>
      </c>
      <c r="D3">
        <v>2484</v>
      </c>
      <c r="E3">
        <v>8552</v>
      </c>
      <c r="F3">
        <v>7880</v>
      </c>
      <c r="G3">
        <v>8082</v>
      </c>
      <c r="H3">
        <v>2673</v>
      </c>
      <c r="I3">
        <v>1540</v>
      </c>
      <c r="J3">
        <v>751</v>
      </c>
      <c r="K3">
        <v>32356</v>
      </c>
    </row>
    <row r="4" spans="1:11" x14ac:dyDescent="0.25">
      <c r="A4" t="s">
        <v>0</v>
      </c>
      <c r="B4">
        <v>1995</v>
      </c>
      <c r="C4">
        <v>390</v>
      </c>
      <c r="D4">
        <v>2442</v>
      </c>
      <c r="E4">
        <v>8621</v>
      </c>
      <c r="F4">
        <v>7962</v>
      </c>
      <c r="G4">
        <v>8185</v>
      </c>
      <c r="H4">
        <v>2736</v>
      </c>
      <c r="I4">
        <v>1562</v>
      </c>
      <c r="J4">
        <v>775</v>
      </c>
      <c r="K4">
        <v>32673</v>
      </c>
    </row>
    <row r="5" spans="1:11" x14ac:dyDescent="0.25">
      <c r="A5" t="s">
        <v>0</v>
      </c>
      <c r="B5">
        <v>1996</v>
      </c>
      <c r="C5">
        <v>320</v>
      </c>
      <c r="D5">
        <v>2236</v>
      </c>
      <c r="E5">
        <v>8602</v>
      </c>
      <c r="F5">
        <v>7868</v>
      </c>
      <c r="G5">
        <v>8110</v>
      </c>
      <c r="H5">
        <v>2758</v>
      </c>
      <c r="I5">
        <v>1643</v>
      </c>
      <c r="J5">
        <v>684</v>
      </c>
      <c r="K5">
        <v>32221</v>
      </c>
    </row>
    <row r="6" spans="1:11" x14ac:dyDescent="0.25">
      <c r="A6" t="s">
        <v>0</v>
      </c>
      <c r="B6">
        <v>1997</v>
      </c>
      <c r="C6">
        <v>331</v>
      </c>
      <c r="D6">
        <v>2384</v>
      </c>
      <c r="E6">
        <v>8717</v>
      </c>
      <c r="F6">
        <v>7889</v>
      </c>
      <c r="G6">
        <v>8021</v>
      </c>
      <c r="H6">
        <v>2970</v>
      </c>
      <c r="I6">
        <v>1660</v>
      </c>
      <c r="J6">
        <v>721</v>
      </c>
      <c r="K6">
        <v>32693</v>
      </c>
    </row>
    <row r="7" spans="1:11" x14ac:dyDescent="0.25">
      <c r="A7" t="s">
        <v>0</v>
      </c>
      <c r="B7">
        <v>1998</v>
      </c>
      <c r="C7">
        <v>400</v>
      </c>
      <c r="D7">
        <v>2555</v>
      </c>
      <c r="E7">
        <v>8978</v>
      </c>
      <c r="F7">
        <v>8197</v>
      </c>
      <c r="G7">
        <v>8022</v>
      </c>
      <c r="H7">
        <v>3167</v>
      </c>
      <c r="I7">
        <v>1726</v>
      </c>
      <c r="J7">
        <v>870</v>
      </c>
      <c r="K7">
        <v>33915</v>
      </c>
    </row>
    <row r="8" spans="1:11" x14ac:dyDescent="0.25">
      <c r="A8" t="s">
        <v>0</v>
      </c>
      <c r="B8">
        <v>1999</v>
      </c>
      <c r="C8">
        <v>466</v>
      </c>
      <c r="D8">
        <v>2459</v>
      </c>
      <c r="E8">
        <v>9309</v>
      </c>
      <c r="F8">
        <v>8575</v>
      </c>
      <c r="G8">
        <v>7969</v>
      </c>
      <c r="H8">
        <v>3368</v>
      </c>
      <c r="I8">
        <v>1766</v>
      </c>
      <c r="J8">
        <v>500</v>
      </c>
      <c r="K8">
        <v>34412</v>
      </c>
    </row>
    <row r="9" spans="1:11" x14ac:dyDescent="0.25">
      <c r="A9" t="s">
        <v>0</v>
      </c>
      <c r="B9">
        <v>2000</v>
      </c>
      <c r="C9">
        <v>487</v>
      </c>
      <c r="D9">
        <v>2621</v>
      </c>
      <c r="E9">
        <v>9524</v>
      </c>
      <c r="F9">
        <v>8877</v>
      </c>
      <c r="G9">
        <v>8044</v>
      </c>
      <c r="H9">
        <v>3563</v>
      </c>
      <c r="I9">
        <v>1777</v>
      </c>
      <c r="J9">
        <v>516</v>
      </c>
      <c r="K9">
        <v>35409</v>
      </c>
    </row>
    <row r="10" spans="1:11" x14ac:dyDescent="0.25">
      <c r="A10" t="s">
        <v>0</v>
      </c>
      <c r="B10">
        <v>2001</v>
      </c>
      <c r="C10">
        <v>404</v>
      </c>
      <c r="D10">
        <v>2560</v>
      </c>
      <c r="E10">
        <v>9402</v>
      </c>
      <c r="F10">
        <v>9031</v>
      </c>
      <c r="G10">
        <v>7936</v>
      </c>
      <c r="H10">
        <v>3775</v>
      </c>
      <c r="I10">
        <v>1807</v>
      </c>
      <c r="J10">
        <v>480</v>
      </c>
      <c r="K10">
        <v>35395</v>
      </c>
    </row>
    <row r="11" spans="1:11" x14ac:dyDescent="0.25">
      <c r="A11" t="s">
        <v>0</v>
      </c>
      <c r="B11">
        <v>2002</v>
      </c>
      <c r="C11">
        <v>506</v>
      </c>
      <c r="D11">
        <v>2538</v>
      </c>
      <c r="E11">
        <v>9224</v>
      </c>
      <c r="F11">
        <v>9526</v>
      </c>
      <c r="G11">
        <v>8124</v>
      </c>
      <c r="H11">
        <v>3934</v>
      </c>
      <c r="I11">
        <v>2085</v>
      </c>
      <c r="J11">
        <v>590</v>
      </c>
      <c r="K11">
        <v>36527</v>
      </c>
    </row>
    <row r="12" spans="1:11" x14ac:dyDescent="0.25">
      <c r="A12" t="s">
        <v>0</v>
      </c>
      <c r="B12">
        <v>2003</v>
      </c>
      <c r="C12">
        <v>434</v>
      </c>
      <c r="D12">
        <v>2363</v>
      </c>
      <c r="E12">
        <v>8713</v>
      </c>
      <c r="F12">
        <v>9574</v>
      </c>
      <c r="G12">
        <v>8204</v>
      </c>
      <c r="H12">
        <v>3927</v>
      </c>
      <c r="I12">
        <v>2283</v>
      </c>
      <c r="J12">
        <v>456</v>
      </c>
      <c r="K12">
        <v>35954</v>
      </c>
    </row>
    <row r="13" spans="1:11" x14ac:dyDescent="0.25">
      <c r="A13" t="s">
        <v>0</v>
      </c>
      <c r="B13">
        <v>2004</v>
      </c>
      <c r="C13">
        <v>419</v>
      </c>
      <c r="D13">
        <v>2252</v>
      </c>
      <c r="E13">
        <v>8439</v>
      </c>
      <c r="F13">
        <v>9522</v>
      </c>
      <c r="G13">
        <v>8108</v>
      </c>
      <c r="H13">
        <v>3947</v>
      </c>
      <c r="I13">
        <v>2601</v>
      </c>
      <c r="J13">
        <v>698</v>
      </c>
      <c r="K13">
        <v>35986</v>
      </c>
    </row>
    <row r="14" spans="1:11" x14ac:dyDescent="0.25">
      <c r="A14" t="s">
        <v>0</v>
      </c>
      <c r="B14">
        <v>2005</v>
      </c>
      <c r="C14">
        <v>446</v>
      </c>
      <c r="D14">
        <v>2145</v>
      </c>
      <c r="E14">
        <v>8220</v>
      </c>
      <c r="F14">
        <v>9457</v>
      </c>
      <c r="G14">
        <v>8059</v>
      </c>
      <c r="H14">
        <v>3846</v>
      </c>
      <c r="I14">
        <v>2796</v>
      </c>
      <c r="J14">
        <v>704</v>
      </c>
      <c r="K14">
        <v>35673</v>
      </c>
    </row>
    <row r="15" spans="1:11" x14ac:dyDescent="0.25">
      <c r="A15" t="s">
        <v>0</v>
      </c>
      <c r="B15">
        <v>2006</v>
      </c>
      <c r="C15">
        <v>454</v>
      </c>
      <c r="D15">
        <v>2360</v>
      </c>
      <c r="E15">
        <v>8259</v>
      </c>
      <c r="F15">
        <v>9636</v>
      </c>
      <c r="G15">
        <v>8111</v>
      </c>
      <c r="H15">
        <v>3809</v>
      </c>
      <c r="I15">
        <v>3086</v>
      </c>
      <c r="J15">
        <v>756</v>
      </c>
      <c r="K15">
        <v>36471</v>
      </c>
    </row>
    <row r="16" spans="1:11" x14ac:dyDescent="0.25">
      <c r="A16" t="s">
        <v>0</v>
      </c>
      <c r="B16">
        <v>2007</v>
      </c>
      <c r="C16">
        <v>486</v>
      </c>
      <c r="D16">
        <v>2590</v>
      </c>
      <c r="E16">
        <v>8482</v>
      </c>
      <c r="F16">
        <v>9832</v>
      </c>
      <c r="G16">
        <v>8164</v>
      </c>
      <c r="H16">
        <v>3809</v>
      </c>
      <c r="I16">
        <v>3282</v>
      </c>
      <c r="J16">
        <v>917</v>
      </c>
      <c r="K16">
        <v>37562</v>
      </c>
    </row>
    <row r="17" spans="1:11" x14ac:dyDescent="0.25">
      <c r="A17" t="s">
        <v>0</v>
      </c>
      <c r="B17">
        <v>2008</v>
      </c>
      <c r="C17">
        <v>503</v>
      </c>
      <c r="D17">
        <v>2758</v>
      </c>
      <c r="E17">
        <v>8408</v>
      </c>
      <c r="F17">
        <v>9947</v>
      </c>
      <c r="G17">
        <v>8369</v>
      </c>
      <c r="H17">
        <v>3795</v>
      </c>
      <c r="I17">
        <v>3303</v>
      </c>
      <c r="J17">
        <v>1024</v>
      </c>
      <c r="K17">
        <v>38107</v>
      </c>
    </row>
    <row r="18" spans="1:11" x14ac:dyDescent="0.25">
      <c r="A18" t="s">
        <v>0</v>
      </c>
      <c r="B18">
        <v>2009</v>
      </c>
      <c r="C18">
        <v>398</v>
      </c>
      <c r="D18">
        <v>2415</v>
      </c>
      <c r="E18">
        <v>8037</v>
      </c>
      <c r="F18">
        <v>9834</v>
      </c>
      <c r="G18">
        <v>8566</v>
      </c>
      <c r="H18">
        <v>3685</v>
      </c>
      <c r="I18">
        <v>3271</v>
      </c>
      <c r="J18">
        <v>1204</v>
      </c>
      <c r="K18">
        <v>37410</v>
      </c>
    </row>
    <row r="19" spans="1:11" x14ac:dyDescent="0.25">
      <c r="A19" t="s">
        <v>0</v>
      </c>
      <c r="B19">
        <v>2010</v>
      </c>
      <c r="C19">
        <v>504</v>
      </c>
      <c r="D19">
        <v>2736</v>
      </c>
      <c r="E19">
        <v>8308</v>
      </c>
      <c r="F19">
        <v>9768</v>
      </c>
      <c r="G19">
        <v>8797</v>
      </c>
      <c r="H19">
        <v>3684</v>
      </c>
      <c r="I19">
        <v>3284</v>
      </c>
      <c r="J19">
        <v>1218</v>
      </c>
      <c r="K19">
        <v>38299</v>
      </c>
    </row>
    <row r="20" spans="1:11" x14ac:dyDescent="0.25">
      <c r="A20" t="s">
        <v>0</v>
      </c>
      <c r="B20">
        <v>2011</v>
      </c>
      <c r="C20">
        <v>560</v>
      </c>
      <c r="D20">
        <v>3067</v>
      </c>
      <c r="E20">
        <v>8438</v>
      </c>
      <c r="F20">
        <v>9930</v>
      </c>
      <c r="G20">
        <v>9073</v>
      </c>
      <c r="H20">
        <v>3745</v>
      </c>
      <c r="I20">
        <v>3188</v>
      </c>
      <c r="J20">
        <v>1592</v>
      </c>
      <c r="K20">
        <v>39593</v>
      </c>
    </row>
    <row r="21" spans="1:11" x14ac:dyDescent="0.25">
      <c r="A21" t="s">
        <v>0</v>
      </c>
      <c r="B21">
        <v>2012</v>
      </c>
      <c r="C21">
        <v>562</v>
      </c>
      <c r="D21">
        <v>3177</v>
      </c>
      <c r="E21">
        <v>8611</v>
      </c>
      <c r="F21">
        <v>9814</v>
      </c>
      <c r="G21">
        <v>9355</v>
      </c>
      <c r="H21">
        <v>3774</v>
      </c>
      <c r="I21">
        <v>3248</v>
      </c>
      <c r="J21">
        <v>1673</v>
      </c>
      <c r="K21">
        <v>40214</v>
      </c>
    </row>
    <row r="22" spans="1:11" x14ac:dyDescent="0.25">
      <c r="A22" t="s">
        <v>0</v>
      </c>
      <c r="B22">
        <v>2013</v>
      </c>
      <c r="C22">
        <v>532</v>
      </c>
      <c r="D22">
        <v>3276</v>
      </c>
      <c r="E22">
        <v>8951</v>
      </c>
      <c r="F22">
        <v>9829</v>
      </c>
      <c r="G22">
        <v>9537</v>
      </c>
      <c r="H22">
        <v>3826</v>
      </c>
      <c r="I22">
        <v>3217</v>
      </c>
      <c r="J22">
        <v>1819</v>
      </c>
      <c r="K22">
        <v>40987</v>
      </c>
    </row>
    <row r="23" spans="1:11" x14ac:dyDescent="0.25">
      <c r="A23" t="s">
        <v>0</v>
      </c>
      <c r="B23">
        <v>2014</v>
      </c>
      <c r="C23">
        <v>492</v>
      </c>
      <c r="D23">
        <v>3472</v>
      </c>
      <c r="E23">
        <v>9276</v>
      </c>
      <c r="F23">
        <v>9941</v>
      </c>
      <c r="G23">
        <v>9807</v>
      </c>
      <c r="H23">
        <v>3976</v>
      </c>
      <c r="I23">
        <v>3152</v>
      </c>
      <c r="J23">
        <v>1851</v>
      </c>
      <c r="K23">
        <v>41967</v>
      </c>
    </row>
    <row r="24" spans="1:11" x14ac:dyDescent="0.25">
      <c r="A24" t="s">
        <v>0</v>
      </c>
      <c r="B24">
        <v>2015</v>
      </c>
      <c r="C24">
        <v>491</v>
      </c>
      <c r="D24">
        <v>3499</v>
      </c>
      <c r="E24">
        <v>9602</v>
      </c>
      <c r="F24">
        <v>9999</v>
      </c>
      <c r="G24">
        <v>9949</v>
      </c>
      <c r="H24">
        <v>4050</v>
      </c>
      <c r="I24">
        <v>3230</v>
      </c>
      <c r="J24">
        <v>1873</v>
      </c>
      <c r="K24">
        <v>42693</v>
      </c>
    </row>
    <row r="25" spans="1:11" x14ac:dyDescent="0.25">
      <c r="A25" t="s">
        <v>0</v>
      </c>
      <c r="B25">
        <v>2016</v>
      </c>
      <c r="C25">
        <v>604</v>
      </c>
      <c r="D25">
        <v>3543</v>
      </c>
      <c r="E25">
        <v>10217</v>
      </c>
      <c r="F25">
        <v>10047</v>
      </c>
      <c r="G25">
        <v>10092</v>
      </c>
      <c r="H25">
        <v>4087</v>
      </c>
      <c r="I25">
        <v>3342</v>
      </c>
      <c r="J25">
        <v>1880</v>
      </c>
      <c r="K25">
        <v>43812</v>
      </c>
    </row>
    <row r="26" spans="1:11" x14ac:dyDescent="0.25">
      <c r="A26" t="s">
        <v>0</v>
      </c>
      <c r="B26">
        <v>2017</v>
      </c>
      <c r="C26">
        <v>668</v>
      </c>
      <c r="D26">
        <v>3673</v>
      </c>
      <c r="E26">
        <v>10624</v>
      </c>
      <c r="F26">
        <v>9967</v>
      </c>
      <c r="G26">
        <v>10391</v>
      </c>
      <c r="H26">
        <v>4123</v>
      </c>
      <c r="I26">
        <v>3325</v>
      </c>
      <c r="J26">
        <v>2007</v>
      </c>
      <c r="K26">
        <v>44778</v>
      </c>
    </row>
    <row r="27" spans="1:11" x14ac:dyDescent="0.25">
      <c r="A27" t="s">
        <v>0</v>
      </c>
      <c r="B27">
        <v>2018</v>
      </c>
      <c r="C27">
        <v>722</v>
      </c>
      <c r="D27">
        <v>3559</v>
      </c>
      <c r="E27">
        <v>11139</v>
      </c>
      <c r="F27">
        <v>10098</v>
      </c>
      <c r="G27">
        <v>10541</v>
      </c>
      <c r="H27">
        <v>4249</v>
      </c>
      <c r="I27">
        <v>3408</v>
      </c>
      <c r="J27">
        <v>2081</v>
      </c>
      <c r="K27">
        <v>45797</v>
      </c>
    </row>
    <row r="28" spans="1:11" x14ac:dyDescent="0.25">
      <c r="A28" t="s">
        <v>0</v>
      </c>
      <c r="B28">
        <v>2019</v>
      </c>
      <c r="C28">
        <v>960</v>
      </c>
      <c r="D28">
        <v>3674</v>
      </c>
      <c r="E28">
        <v>11864</v>
      </c>
      <c r="F28">
        <v>10135</v>
      </c>
      <c r="G28">
        <v>10665</v>
      </c>
      <c r="H28">
        <v>4450</v>
      </c>
      <c r="I28">
        <v>3469</v>
      </c>
      <c r="J28">
        <v>2143</v>
      </c>
      <c r="K28">
        <v>47360</v>
      </c>
    </row>
    <row r="29" spans="1:11" x14ac:dyDescent="0.25">
      <c r="A29" t="s">
        <v>0</v>
      </c>
      <c r="B29">
        <v>2020</v>
      </c>
      <c r="C29">
        <v>821</v>
      </c>
      <c r="D29">
        <v>3635</v>
      </c>
      <c r="E29">
        <v>11888</v>
      </c>
      <c r="F29">
        <v>10087</v>
      </c>
      <c r="G29">
        <v>10477</v>
      </c>
      <c r="H29">
        <v>4632</v>
      </c>
      <c r="I29">
        <v>3426</v>
      </c>
      <c r="J29">
        <v>2061</v>
      </c>
      <c r="K29">
        <v>47027</v>
      </c>
    </row>
    <row r="30" spans="1:11" x14ac:dyDescent="0.25">
      <c r="A30" t="s">
        <v>0</v>
      </c>
      <c r="B30">
        <v>2021</v>
      </c>
      <c r="C30">
        <v>966</v>
      </c>
      <c r="D30">
        <v>3795</v>
      </c>
      <c r="E30">
        <v>11964</v>
      </c>
      <c r="F30">
        <v>10291</v>
      </c>
      <c r="G30">
        <v>10538</v>
      </c>
      <c r="H30">
        <v>4865</v>
      </c>
      <c r="I30">
        <v>3483</v>
      </c>
      <c r="J30">
        <v>2127</v>
      </c>
      <c r="K30">
        <v>48029</v>
      </c>
    </row>
    <row r="31" spans="1:11" x14ac:dyDescent="0.25">
      <c r="A31" t="s">
        <v>0</v>
      </c>
      <c r="B31">
        <v>2022</v>
      </c>
      <c r="C31">
        <v>1122</v>
      </c>
      <c r="D31">
        <v>3999</v>
      </c>
      <c r="E31">
        <v>12145</v>
      </c>
      <c r="F31">
        <v>10493</v>
      </c>
      <c r="G31">
        <v>10553</v>
      </c>
      <c r="H31">
        <v>5181</v>
      </c>
      <c r="I31">
        <v>3588</v>
      </c>
      <c r="J31">
        <v>2239</v>
      </c>
      <c r="K31">
        <v>49320</v>
      </c>
    </row>
    <row r="32" spans="1:11" x14ac:dyDescent="0.25">
      <c r="A32" t="s">
        <v>0</v>
      </c>
      <c r="B32">
        <v>2023</v>
      </c>
      <c r="C32">
        <v>1067</v>
      </c>
      <c r="D32">
        <v>4061</v>
      </c>
      <c r="E32">
        <v>12283</v>
      </c>
      <c r="F32">
        <v>10801</v>
      </c>
      <c r="G32">
        <v>10493</v>
      </c>
      <c r="H32">
        <v>5230</v>
      </c>
      <c r="I32">
        <v>3818</v>
      </c>
      <c r="J32">
        <v>2356</v>
      </c>
      <c r="K32">
        <v>50109</v>
      </c>
    </row>
    <row r="33" spans="1:11" x14ac:dyDescent="0.25">
      <c r="A33" t="s">
        <v>0</v>
      </c>
      <c r="B33">
        <v>2024</v>
      </c>
      <c r="C33">
        <v>999</v>
      </c>
      <c r="D33">
        <v>3816</v>
      </c>
      <c r="E33">
        <v>12023</v>
      </c>
      <c r="F33">
        <v>10820</v>
      </c>
      <c r="G33">
        <v>10418</v>
      </c>
      <c r="H33">
        <v>5141</v>
      </c>
      <c r="I33">
        <v>4046</v>
      </c>
      <c r="J33">
        <v>2552</v>
      </c>
      <c r="K33">
        <v>49815</v>
      </c>
    </row>
    <row r="34" spans="1:11" x14ac:dyDescent="0.25">
      <c r="A34" t="s">
        <v>1</v>
      </c>
      <c r="B34">
        <v>1993</v>
      </c>
      <c r="C34">
        <v>509</v>
      </c>
      <c r="D34">
        <v>2357</v>
      </c>
      <c r="E34">
        <v>7271</v>
      </c>
      <c r="F34">
        <v>7478</v>
      </c>
      <c r="G34">
        <v>7512</v>
      </c>
      <c r="H34">
        <v>2535</v>
      </c>
      <c r="I34">
        <v>1382</v>
      </c>
      <c r="J34">
        <v>214</v>
      </c>
      <c r="K34">
        <v>29258</v>
      </c>
    </row>
    <row r="35" spans="1:11" x14ac:dyDescent="0.25">
      <c r="A35" t="s">
        <v>1</v>
      </c>
      <c r="B35">
        <v>1994</v>
      </c>
      <c r="C35">
        <v>472</v>
      </c>
      <c r="D35">
        <v>2381</v>
      </c>
      <c r="E35">
        <v>7144</v>
      </c>
      <c r="F35">
        <v>7324</v>
      </c>
      <c r="G35">
        <v>7672</v>
      </c>
      <c r="H35">
        <v>2544</v>
      </c>
      <c r="I35">
        <v>1354</v>
      </c>
      <c r="J35">
        <v>179</v>
      </c>
      <c r="K35">
        <v>29070</v>
      </c>
    </row>
    <row r="36" spans="1:11" x14ac:dyDescent="0.25">
      <c r="A36" t="s">
        <v>1</v>
      </c>
      <c r="B36">
        <v>1995</v>
      </c>
      <c r="C36">
        <v>503</v>
      </c>
      <c r="D36">
        <v>2187</v>
      </c>
      <c r="E36">
        <v>6931</v>
      </c>
      <c r="F36">
        <v>7205</v>
      </c>
      <c r="G36">
        <v>7789</v>
      </c>
      <c r="H36">
        <v>2567</v>
      </c>
      <c r="I36">
        <v>1429</v>
      </c>
      <c r="J36">
        <v>241</v>
      </c>
      <c r="K36">
        <v>28852</v>
      </c>
    </row>
    <row r="37" spans="1:11" x14ac:dyDescent="0.25">
      <c r="A37" t="s">
        <v>1</v>
      </c>
      <c r="B37">
        <v>1996</v>
      </c>
      <c r="C37">
        <v>462</v>
      </c>
      <c r="D37">
        <v>2020</v>
      </c>
      <c r="E37">
        <v>6933</v>
      </c>
      <c r="F37">
        <v>7105</v>
      </c>
      <c r="G37">
        <v>7707</v>
      </c>
      <c r="H37">
        <v>2644</v>
      </c>
      <c r="I37">
        <v>1326</v>
      </c>
      <c r="J37">
        <v>239</v>
      </c>
      <c r="K37">
        <v>28436</v>
      </c>
    </row>
    <row r="38" spans="1:11" x14ac:dyDescent="0.25">
      <c r="A38" t="s">
        <v>1</v>
      </c>
      <c r="B38">
        <v>1997</v>
      </c>
      <c r="C38">
        <v>419</v>
      </c>
      <c r="D38">
        <v>2033</v>
      </c>
      <c r="E38">
        <v>6835</v>
      </c>
      <c r="F38">
        <v>7064</v>
      </c>
      <c r="G38">
        <v>7559</v>
      </c>
      <c r="H38">
        <v>2794</v>
      </c>
      <c r="I38">
        <v>1289</v>
      </c>
      <c r="J38">
        <v>263</v>
      </c>
      <c r="K38">
        <v>28256</v>
      </c>
    </row>
    <row r="39" spans="1:11" x14ac:dyDescent="0.25">
      <c r="A39" t="s">
        <v>1</v>
      </c>
      <c r="B39">
        <v>1998</v>
      </c>
      <c r="C39">
        <v>534</v>
      </c>
      <c r="D39">
        <v>2336</v>
      </c>
      <c r="E39">
        <v>7078</v>
      </c>
      <c r="F39">
        <v>7109</v>
      </c>
      <c r="G39">
        <v>7754</v>
      </c>
      <c r="H39">
        <v>2845</v>
      </c>
      <c r="I39">
        <v>1354</v>
      </c>
      <c r="J39">
        <v>255</v>
      </c>
      <c r="K39">
        <v>29265</v>
      </c>
    </row>
    <row r="40" spans="1:11" x14ac:dyDescent="0.25">
      <c r="A40" t="s">
        <v>1</v>
      </c>
      <c r="B40">
        <v>1999</v>
      </c>
      <c r="C40">
        <v>591</v>
      </c>
      <c r="D40">
        <v>2200</v>
      </c>
      <c r="E40">
        <v>7212</v>
      </c>
      <c r="F40">
        <v>7493</v>
      </c>
      <c r="G40">
        <v>7689</v>
      </c>
      <c r="H40">
        <v>3036</v>
      </c>
      <c r="I40">
        <v>1415</v>
      </c>
      <c r="J40">
        <v>230</v>
      </c>
      <c r="K40">
        <v>29866</v>
      </c>
    </row>
    <row r="41" spans="1:11" x14ac:dyDescent="0.25">
      <c r="A41" t="s">
        <v>1</v>
      </c>
      <c r="B41">
        <v>2000</v>
      </c>
      <c r="C41">
        <v>664</v>
      </c>
      <c r="D41">
        <v>2420</v>
      </c>
      <c r="E41">
        <v>7282</v>
      </c>
      <c r="F41">
        <v>7696</v>
      </c>
      <c r="G41">
        <v>7674</v>
      </c>
      <c r="H41">
        <v>3279</v>
      </c>
      <c r="I41">
        <v>1532</v>
      </c>
      <c r="J41">
        <v>246</v>
      </c>
      <c r="K41">
        <v>30793</v>
      </c>
    </row>
    <row r="42" spans="1:11" x14ac:dyDescent="0.25">
      <c r="A42" t="s">
        <v>1</v>
      </c>
      <c r="B42">
        <v>2001</v>
      </c>
      <c r="C42">
        <v>628</v>
      </c>
      <c r="D42">
        <v>2552</v>
      </c>
      <c r="E42">
        <v>7434</v>
      </c>
      <c r="F42">
        <v>7967</v>
      </c>
      <c r="G42">
        <v>7630</v>
      </c>
      <c r="H42">
        <v>3422</v>
      </c>
      <c r="I42">
        <v>1730</v>
      </c>
      <c r="J42">
        <v>227</v>
      </c>
      <c r="K42">
        <v>31590</v>
      </c>
    </row>
    <row r="43" spans="1:11" x14ac:dyDescent="0.25">
      <c r="A43" t="s">
        <v>1</v>
      </c>
      <c r="B43">
        <v>2002</v>
      </c>
      <c r="C43">
        <v>700</v>
      </c>
      <c r="D43">
        <v>2534</v>
      </c>
      <c r="E43">
        <v>7418</v>
      </c>
      <c r="F43">
        <v>8067</v>
      </c>
      <c r="G43">
        <v>7536</v>
      </c>
      <c r="H43">
        <v>3462</v>
      </c>
      <c r="I43">
        <v>1931</v>
      </c>
      <c r="J43">
        <v>304</v>
      </c>
      <c r="K43">
        <v>31952</v>
      </c>
    </row>
    <row r="44" spans="1:11" x14ac:dyDescent="0.25">
      <c r="A44" t="s">
        <v>1</v>
      </c>
      <c r="B44">
        <v>2003</v>
      </c>
      <c r="C44">
        <v>616</v>
      </c>
      <c r="D44">
        <v>2287</v>
      </c>
      <c r="E44">
        <v>7265</v>
      </c>
      <c r="F44">
        <v>8069</v>
      </c>
      <c r="G44">
        <v>7504</v>
      </c>
      <c r="H44">
        <v>3575</v>
      </c>
      <c r="I44">
        <v>2082</v>
      </c>
      <c r="J44">
        <v>257</v>
      </c>
      <c r="K44">
        <v>31655</v>
      </c>
    </row>
    <row r="45" spans="1:11" x14ac:dyDescent="0.25">
      <c r="A45" t="s">
        <v>1</v>
      </c>
      <c r="B45">
        <v>2004</v>
      </c>
      <c r="C45">
        <v>541</v>
      </c>
      <c r="D45">
        <v>2292</v>
      </c>
      <c r="E45">
        <v>7177</v>
      </c>
      <c r="F45">
        <v>8093</v>
      </c>
      <c r="G45">
        <v>7409</v>
      </c>
      <c r="H45">
        <v>3610</v>
      </c>
      <c r="I45">
        <v>2354</v>
      </c>
      <c r="J45">
        <v>366</v>
      </c>
      <c r="K45">
        <v>31842</v>
      </c>
    </row>
    <row r="46" spans="1:11" x14ac:dyDescent="0.25">
      <c r="A46" t="s">
        <v>1</v>
      </c>
      <c r="B46">
        <v>2005</v>
      </c>
      <c r="C46">
        <v>553</v>
      </c>
      <c r="D46">
        <v>2245</v>
      </c>
      <c r="E46">
        <v>7122</v>
      </c>
      <c r="F46">
        <v>8293</v>
      </c>
      <c r="G46">
        <v>7510</v>
      </c>
      <c r="H46">
        <v>3609</v>
      </c>
      <c r="I46">
        <v>2513</v>
      </c>
      <c r="J46">
        <v>384</v>
      </c>
      <c r="K46">
        <v>32229</v>
      </c>
    </row>
    <row r="47" spans="1:11" x14ac:dyDescent="0.25">
      <c r="A47" t="s">
        <v>1</v>
      </c>
      <c r="B47">
        <v>2006</v>
      </c>
      <c r="C47">
        <v>574</v>
      </c>
      <c r="D47">
        <v>2522</v>
      </c>
      <c r="E47">
        <v>7332</v>
      </c>
      <c r="F47">
        <v>8490</v>
      </c>
      <c r="G47">
        <v>7508</v>
      </c>
      <c r="H47">
        <v>3622</v>
      </c>
      <c r="I47">
        <v>2623</v>
      </c>
      <c r="J47">
        <v>432</v>
      </c>
      <c r="K47">
        <v>33103</v>
      </c>
    </row>
    <row r="48" spans="1:11" x14ac:dyDescent="0.25">
      <c r="A48" t="s">
        <v>1</v>
      </c>
      <c r="B48">
        <v>2007</v>
      </c>
      <c r="C48">
        <v>560</v>
      </c>
      <c r="D48">
        <v>2682</v>
      </c>
      <c r="E48">
        <v>7315</v>
      </c>
      <c r="F48">
        <v>8572</v>
      </c>
      <c r="G48">
        <v>7671</v>
      </c>
      <c r="H48">
        <v>3614</v>
      </c>
      <c r="I48">
        <v>2785</v>
      </c>
      <c r="J48">
        <v>518</v>
      </c>
      <c r="K48">
        <v>33717</v>
      </c>
    </row>
    <row r="49" spans="1:11" x14ac:dyDescent="0.25">
      <c r="A49" t="s">
        <v>1</v>
      </c>
      <c r="B49">
        <v>2008</v>
      </c>
      <c r="C49">
        <v>545</v>
      </c>
      <c r="D49">
        <v>2550</v>
      </c>
      <c r="E49">
        <v>7307</v>
      </c>
      <c r="F49">
        <v>8750</v>
      </c>
      <c r="G49">
        <v>7682</v>
      </c>
      <c r="H49">
        <v>3614</v>
      </c>
      <c r="I49">
        <v>2895</v>
      </c>
      <c r="J49">
        <v>562</v>
      </c>
      <c r="K49">
        <v>33905</v>
      </c>
    </row>
    <row r="50" spans="1:11" x14ac:dyDescent="0.25">
      <c r="A50" t="s">
        <v>1</v>
      </c>
      <c r="B50">
        <v>2009</v>
      </c>
      <c r="C50">
        <v>533</v>
      </c>
      <c r="D50">
        <v>2442</v>
      </c>
      <c r="E50">
        <v>7042</v>
      </c>
      <c r="F50">
        <v>8692</v>
      </c>
      <c r="G50">
        <v>7842</v>
      </c>
      <c r="H50">
        <v>3436</v>
      </c>
      <c r="I50">
        <v>2999</v>
      </c>
      <c r="J50">
        <v>693</v>
      </c>
      <c r="K50">
        <v>33679</v>
      </c>
    </row>
    <row r="51" spans="1:11" x14ac:dyDescent="0.25">
      <c r="A51" t="s">
        <v>1</v>
      </c>
      <c r="B51">
        <v>2010</v>
      </c>
      <c r="C51">
        <v>588</v>
      </c>
      <c r="D51">
        <v>2658</v>
      </c>
      <c r="E51">
        <v>7221</v>
      </c>
      <c r="F51">
        <v>8668</v>
      </c>
      <c r="G51">
        <v>8084</v>
      </c>
      <c r="H51">
        <v>3485</v>
      </c>
      <c r="I51">
        <v>3015</v>
      </c>
      <c r="J51">
        <v>714</v>
      </c>
      <c r="K51">
        <v>34433</v>
      </c>
    </row>
    <row r="52" spans="1:11" x14ac:dyDescent="0.25">
      <c r="A52" t="s">
        <v>1</v>
      </c>
      <c r="B52">
        <v>2011</v>
      </c>
      <c r="C52">
        <v>570</v>
      </c>
      <c r="D52">
        <v>2659</v>
      </c>
      <c r="E52">
        <v>7278</v>
      </c>
      <c r="F52">
        <v>8623</v>
      </c>
      <c r="G52">
        <v>8317</v>
      </c>
      <c r="H52">
        <v>3496</v>
      </c>
      <c r="I52">
        <v>2948</v>
      </c>
      <c r="J52">
        <v>844</v>
      </c>
      <c r="K52">
        <v>34735</v>
      </c>
    </row>
    <row r="53" spans="1:11" x14ac:dyDescent="0.25">
      <c r="A53" t="s">
        <v>1</v>
      </c>
      <c r="B53">
        <v>2012</v>
      </c>
      <c r="C53">
        <v>623</v>
      </c>
      <c r="D53">
        <v>2885</v>
      </c>
      <c r="E53">
        <v>7423</v>
      </c>
      <c r="F53">
        <v>8634</v>
      </c>
      <c r="G53">
        <v>8504</v>
      </c>
      <c r="H53">
        <v>3554</v>
      </c>
      <c r="I53">
        <v>2960</v>
      </c>
      <c r="J53">
        <v>935</v>
      </c>
      <c r="K53">
        <v>35518</v>
      </c>
    </row>
    <row r="54" spans="1:11" x14ac:dyDescent="0.25">
      <c r="A54" t="s">
        <v>1</v>
      </c>
      <c r="B54">
        <v>2013</v>
      </c>
      <c r="C54">
        <v>627</v>
      </c>
      <c r="D54">
        <v>3144</v>
      </c>
      <c r="E54">
        <v>7505</v>
      </c>
      <c r="F54">
        <v>8657</v>
      </c>
      <c r="G54">
        <v>8585</v>
      </c>
      <c r="H54">
        <v>3592</v>
      </c>
      <c r="I54">
        <v>2995</v>
      </c>
      <c r="J54">
        <v>1077</v>
      </c>
      <c r="K54">
        <v>36182</v>
      </c>
    </row>
    <row r="55" spans="1:11" x14ac:dyDescent="0.25">
      <c r="A55" t="s">
        <v>1</v>
      </c>
      <c r="B55">
        <v>2014</v>
      </c>
      <c r="C55">
        <v>553</v>
      </c>
      <c r="D55">
        <v>3175</v>
      </c>
      <c r="E55">
        <v>7803</v>
      </c>
      <c r="F55">
        <v>8887</v>
      </c>
      <c r="G55">
        <v>8864</v>
      </c>
      <c r="H55">
        <v>3670</v>
      </c>
      <c r="I55">
        <v>2964</v>
      </c>
      <c r="J55">
        <v>1145</v>
      </c>
      <c r="K55">
        <v>37061</v>
      </c>
    </row>
    <row r="56" spans="1:11" x14ac:dyDescent="0.25">
      <c r="A56" t="s">
        <v>1</v>
      </c>
      <c r="B56">
        <v>2015</v>
      </c>
      <c r="C56">
        <v>634</v>
      </c>
      <c r="D56">
        <v>3383</v>
      </c>
      <c r="E56">
        <v>8236</v>
      </c>
      <c r="F56">
        <v>8943</v>
      </c>
      <c r="G56">
        <v>9085</v>
      </c>
      <c r="H56">
        <v>3732</v>
      </c>
      <c r="I56">
        <v>2972</v>
      </c>
      <c r="J56">
        <v>1194</v>
      </c>
      <c r="K56">
        <v>38179</v>
      </c>
    </row>
    <row r="57" spans="1:11" x14ac:dyDescent="0.25">
      <c r="A57" t="s">
        <v>1</v>
      </c>
      <c r="B57">
        <v>2016</v>
      </c>
      <c r="C57">
        <v>725</v>
      </c>
      <c r="D57">
        <v>3538</v>
      </c>
      <c r="E57">
        <v>8690</v>
      </c>
      <c r="F57">
        <v>8959</v>
      </c>
      <c r="G57">
        <v>9317</v>
      </c>
      <c r="H57">
        <v>3773</v>
      </c>
      <c r="I57">
        <v>3016</v>
      </c>
      <c r="J57">
        <v>1183</v>
      </c>
      <c r="K57">
        <v>39201</v>
      </c>
    </row>
    <row r="58" spans="1:11" x14ac:dyDescent="0.25">
      <c r="A58" t="s">
        <v>1</v>
      </c>
      <c r="B58">
        <v>2017</v>
      </c>
      <c r="C58">
        <v>771</v>
      </c>
      <c r="D58">
        <v>3463</v>
      </c>
      <c r="E58">
        <v>8986</v>
      </c>
      <c r="F58">
        <v>9002</v>
      </c>
      <c r="G58">
        <v>9339</v>
      </c>
      <c r="H58">
        <v>3872</v>
      </c>
      <c r="I58">
        <v>3051</v>
      </c>
      <c r="J58">
        <v>1286</v>
      </c>
      <c r="K58">
        <v>39770</v>
      </c>
    </row>
    <row r="59" spans="1:11" x14ac:dyDescent="0.25">
      <c r="A59" t="s">
        <v>1</v>
      </c>
      <c r="B59">
        <v>2018</v>
      </c>
      <c r="C59">
        <v>790</v>
      </c>
      <c r="D59">
        <v>3183</v>
      </c>
      <c r="E59">
        <v>9494</v>
      </c>
      <c r="F59">
        <v>9100</v>
      </c>
      <c r="G59">
        <v>9525</v>
      </c>
      <c r="H59">
        <v>3932</v>
      </c>
      <c r="I59">
        <v>3171</v>
      </c>
      <c r="J59">
        <v>1374</v>
      </c>
      <c r="K59">
        <v>40569</v>
      </c>
    </row>
    <row r="60" spans="1:11" x14ac:dyDescent="0.25">
      <c r="A60" t="s">
        <v>1</v>
      </c>
      <c r="B60">
        <v>2019</v>
      </c>
      <c r="C60">
        <v>1218</v>
      </c>
      <c r="D60">
        <v>3489</v>
      </c>
      <c r="E60">
        <v>10061</v>
      </c>
      <c r="F60">
        <v>9184</v>
      </c>
      <c r="G60">
        <v>9663</v>
      </c>
      <c r="H60">
        <v>4232</v>
      </c>
      <c r="I60">
        <v>3214</v>
      </c>
      <c r="J60">
        <v>1735</v>
      </c>
      <c r="K60">
        <v>42796</v>
      </c>
    </row>
    <row r="61" spans="1:11" x14ac:dyDescent="0.25">
      <c r="A61" t="s">
        <v>1</v>
      </c>
      <c r="B61">
        <v>2020</v>
      </c>
      <c r="C61">
        <v>1102</v>
      </c>
      <c r="D61">
        <v>3287</v>
      </c>
      <c r="E61">
        <v>10266</v>
      </c>
      <c r="F61">
        <v>9197</v>
      </c>
      <c r="G61">
        <v>9554</v>
      </c>
      <c r="H61">
        <v>4363</v>
      </c>
      <c r="I61">
        <v>3210</v>
      </c>
      <c r="J61">
        <v>1505</v>
      </c>
      <c r="K61">
        <v>42484</v>
      </c>
    </row>
    <row r="62" spans="1:11" x14ac:dyDescent="0.25">
      <c r="A62" t="s">
        <v>1</v>
      </c>
      <c r="B62">
        <v>2021</v>
      </c>
      <c r="C62">
        <v>1210</v>
      </c>
      <c r="D62">
        <v>3395</v>
      </c>
      <c r="E62">
        <v>10302</v>
      </c>
      <c r="F62">
        <v>9336</v>
      </c>
      <c r="G62">
        <v>9662</v>
      </c>
      <c r="H62">
        <v>4671</v>
      </c>
      <c r="I62">
        <v>3253</v>
      </c>
      <c r="J62">
        <v>1700</v>
      </c>
      <c r="K62">
        <v>43529</v>
      </c>
    </row>
    <row r="63" spans="1:11" x14ac:dyDescent="0.25">
      <c r="A63" t="s">
        <v>1</v>
      </c>
      <c r="B63">
        <v>2022</v>
      </c>
      <c r="C63">
        <v>1332</v>
      </c>
      <c r="D63">
        <v>3561</v>
      </c>
      <c r="E63">
        <v>10559</v>
      </c>
      <c r="F63">
        <v>9583</v>
      </c>
      <c r="G63">
        <v>9698</v>
      </c>
      <c r="H63">
        <v>4755</v>
      </c>
      <c r="I63">
        <v>3388</v>
      </c>
      <c r="J63">
        <v>1810</v>
      </c>
      <c r="K63">
        <v>44686</v>
      </c>
    </row>
    <row r="64" spans="1:11" x14ac:dyDescent="0.25">
      <c r="A64" t="s">
        <v>1</v>
      </c>
      <c r="B64">
        <v>2023</v>
      </c>
      <c r="C64">
        <v>1384</v>
      </c>
      <c r="D64">
        <v>3719</v>
      </c>
      <c r="E64">
        <v>10515</v>
      </c>
      <c r="F64">
        <v>9897</v>
      </c>
      <c r="G64">
        <v>9702</v>
      </c>
      <c r="H64">
        <v>4779</v>
      </c>
      <c r="I64">
        <v>3486</v>
      </c>
      <c r="J64">
        <v>1978</v>
      </c>
      <c r="K64">
        <v>45460</v>
      </c>
    </row>
    <row r="65" spans="1:11" x14ac:dyDescent="0.25">
      <c r="A65" t="s">
        <v>1</v>
      </c>
      <c r="B65">
        <v>2024</v>
      </c>
      <c r="C65">
        <v>1368</v>
      </c>
      <c r="D65">
        <v>3469</v>
      </c>
      <c r="E65">
        <v>10134</v>
      </c>
      <c r="F65">
        <v>9975</v>
      </c>
      <c r="G65">
        <v>9717</v>
      </c>
      <c r="H65">
        <v>4688</v>
      </c>
      <c r="I65">
        <v>3677</v>
      </c>
      <c r="J65">
        <v>2027</v>
      </c>
      <c r="K65">
        <v>45055</v>
      </c>
    </row>
    <row r="66" spans="1:11" x14ac:dyDescent="0.25">
      <c r="A66" t="s">
        <v>2</v>
      </c>
      <c r="B66">
        <v>1993</v>
      </c>
      <c r="C66">
        <v>880</v>
      </c>
      <c r="D66">
        <v>4798</v>
      </c>
      <c r="E66">
        <v>15377</v>
      </c>
      <c r="F66">
        <v>15226</v>
      </c>
      <c r="G66">
        <v>15153</v>
      </c>
      <c r="H66">
        <v>5126</v>
      </c>
      <c r="I66">
        <v>2820</v>
      </c>
      <c r="J66">
        <v>1059</v>
      </c>
      <c r="K66">
        <v>60439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BC64-2F6D-4B08-9A1C-B202010F2160}">
  <dimension ref="A1:E76"/>
  <sheetViews>
    <sheetView workbookViewId="0"/>
  </sheetViews>
  <sheetFormatPr defaultRowHeight="15" x14ac:dyDescent="0.25"/>
  <cols>
    <col min="1" max="1" width="15.140625" bestFit="1" customWidth="1"/>
  </cols>
  <sheetData>
    <row r="1" spans="1:5" x14ac:dyDescent="0.25">
      <c r="A1" s="4" t="s">
        <v>29</v>
      </c>
      <c r="B1" s="4" t="s">
        <v>6</v>
      </c>
      <c r="C1" s="5" t="s">
        <v>0</v>
      </c>
      <c r="D1" s="5" t="s">
        <v>1</v>
      </c>
      <c r="E1" s="5" t="s">
        <v>2</v>
      </c>
    </row>
    <row r="2" spans="1:5" x14ac:dyDescent="0.25">
      <c r="A2" t="s">
        <v>27</v>
      </c>
      <c r="B2">
        <v>2000</v>
      </c>
      <c r="C2">
        <v>6302</v>
      </c>
      <c r="D2">
        <v>14833</v>
      </c>
      <c r="E2">
        <v>21135</v>
      </c>
    </row>
    <row r="3" spans="1:5" x14ac:dyDescent="0.25">
      <c r="A3" t="s">
        <v>27</v>
      </c>
      <c r="B3">
        <v>2001</v>
      </c>
      <c r="C3">
        <v>6491</v>
      </c>
      <c r="D3">
        <v>15351</v>
      </c>
      <c r="E3">
        <v>21842</v>
      </c>
    </row>
    <row r="4" spans="1:5" x14ac:dyDescent="0.25">
      <c r="A4" t="s">
        <v>27</v>
      </c>
      <c r="B4">
        <v>2002</v>
      </c>
      <c r="C4">
        <v>7203</v>
      </c>
      <c r="D4">
        <v>15850</v>
      </c>
      <c r="E4">
        <v>23053</v>
      </c>
    </row>
    <row r="5" spans="1:5" x14ac:dyDescent="0.25">
      <c r="A5" t="s">
        <v>27</v>
      </c>
      <c r="B5">
        <v>2003</v>
      </c>
      <c r="C5">
        <v>7169</v>
      </c>
      <c r="D5">
        <v>15688</v>
      </c>
      <c r="E5">
        <v>22857</v>
      </c>
    </row>
    <row r="6" spans="1:5" x14ac:dyDescent="0.25">
      <c r="A6" t="s">
        <v>27</v>
      </c>
      <c r="B6">
        <v>2004</v>
      </c>
      <c r="C6">
        <v>7122</v>
      </c>
      <c r="D6">
        <v>15453</v>
      </c>
      <c r="E6">
        <v>22575</v>
      </c>
    </row>
    <row r="7" spans="1:5" x14ac:dyDescent="0.25">
      <c r="A7" t="s">
        <v>27</v>
      </c>
      <c r="B7">
        <v>2005</v>
      </c>
      <c r="C7">
        <v>6742</v>
      </c>
      <c r="D7">
        <v>15525</v>
      </c>
      <c r="E7">
        <v>22267</v>
      </c>
    </row>
    <row r="8" spans="1:5" x14ac:dyDescent="0.25">
      <c r="A8" t="s">
        <v>27</v>
      </c>
      <c r="B8">
        <v>2006</v>
      </c>
      <c r="C8">
        <v>7024</v>
      </c>
      <c r="D8">
        <v>16062</v>
      </c>
      <c r="E8">
        <v>23086</v>
      </c>
    </row>
    <row r="9" spans="1:5" x14ac:dyDescent="0.25">
      <c r="A9" t="s">
        <v>27</v>
      </c>
      <c r="B9">
        <v>2007</v>
      </c>
      <c r="C9">
        <v>6889</v>
      </c>
      <c r="D9">
        <v>15948</v>
      </c>
      <c r="E9">
        <v>22837</v>
      </c>
    </row>
    <row r="10" spans="1:5" x14ac:dyDescent="0.25">
      <c r="A10" t="s">
        <v>27</v>
      </c>
      <c r="B10">
        <v>2008</v>
      </c>
      <c r="C10">
        <v>6728</v>
      </c>
      <c r="D10">
        <v>15632</v>
      </c>
      <c r="E10">
        <v>22360</v>
      </c>
    </row>
    <row r="11" spans="1:5" x14ac:dyDescent="0.25">
      <c r="A11" t="s">
        <v>27</v>
      </c>
      <c r="B11">
        <v>2009</v>
      </c>
      <c r="C11">
        <v>6750</v>
      </c>
      <c r="D11">
        <v>15735</v>
      </c>
      <c r="E11">
        <v>22485</v>
      </c>
    </row>
    <row r="12" spans="1:5" x14ac:dyDescent="0.25">
      <c r="A12" t="s">
        <v>27</v>
      </c>
      <c r="B12">
        <v>2010</v>
      </c>
      <c r="C12">
        <v>6868</v>
      </c>
      <c r="D12">
        <v>16086</v>
      </c>
      <c r="E12">
        <v>22954</v>
      </c>
    </row>
    <row r="13" spans="1:5" x14ac:dyDescent="0.25">
      <c r="A13" t="s">
        <v>27</v>
      </c>
      <c r="B13">
        <v>2011</v>
      </c>
      <c r="C13">
        <v>6939</v>
      </c>
      <c r="D13">
        <v>15910</v>
      </c>
      <c r="E13">
        <v>22849</v>
      </c>
    </row>
    <row r="14" spans="1:5" x14ac:dyDescent="0.25">
      <c r="A14" t="s">
        <v>27</v>
      </c>
      <c r="B14">
        <v>2012</v>
      </c>
      <c r="C14">
        <v>7049</v>
      </c>
      <c r="D14">
        <v>16056</v>
      </c>
      <c r="E14">
        <v>23105</v>
      </c>
    </row>
    <row r="15" spans="1:5" x14ac:dyDescent="0.25">
      <c r="A15" t="s">
        <v>27</v>
      </c>
      <c r="B15">
        <v>2013</v>
      </c>
      <c r="C15">
        <v>7192</v>
      </c>
      <c r="D15">
        <v>16350</v>
      </c>
      <c r="E15">
        <v>23542</v>
      </c>
    </row>
    <row r="16" spans="1:5" x14ac:dyDescent="0.25">
      <c r="A16" t="s">
        <v>27</v>
      </c>
      <c r="B16">
        <v>2014</v>
      </c>
      <c r="C16">
        <v>7412</v>
      </c>
      <c r="D16">
        <v>16698</v>
      </c>
      <c r="E16">
        <v>24110</v>
      </c>
    </row>
    <row r="17" spans="1:5" x14ac:dyDescent="0.25">
      <c r="A17" t="s">
        <v>27</v>
      </c>
      <c r="B17">
        <v>2015</v>
      </c>
      <c r="C17">
        <v>7553</v>
      </c>
      <c r="D17">
        <v>17299</v>
      </c>
      <c r="E17">
        <v>24852</v>
      </c>
    </row>
    <row r="18" spans="1:5" x14ac:dyDescent="0.25">
      <c r="A18" t="s">
        <v>27</v>
      </c>
      <c r="B18">
        <v>2016</v>
      </c>
      <c r="C18">
        <v>7797</v>
      </c>
      <c r="D18">
        <v>17938</v>
      </c>
      <c r="E18">
        <v>25735</v>
      </c>
    </row>
    <row r="19" spans="1:5" x14ac:dyDescent="0.25">
      <c r="A19" t="s">
        <v>27</v>
      </c>
      <c r="B19">
        <v>2017</v>
      </c>
      <c r="C19">
        <v>7995</v>
      </c>
      <c r="D19">
        <v>18598</v>
      </c>
      <c r="E19">
        <v>26593</v>
      </c>
    </row>
    <row r="20" spans="1:5" x14ac:dyDescent="0.25">
      <c r="A20" t="s">
        <v>27</v>
      </c>
      <c r="B20">
        <v>2018</v>
      </c>
      <c r="C20">
        <v>8232</v>
      </c>
      <c r="D20">
        <v>19243</v>
      </c>
      <c r="E20">
        <v>27475</v>
      </c>
    </row>
    <row r="21" spans="1:5" x14ac:dyDescent="0.25">
      <c r="A21" t="s">
        <v>27</v>
      </c>
      <c r="B21">
        <v>2019</v>
      </c>
      <c r="C21">
        <v>8611</v>
      </c>
      <c r="D21">
        <v>19913</v>
      </c>
      <c r="E21">
        <v>28524</v>
      </c>
    </row>
    <row r="22" spans="1:5" x14ac:dyDescent="0.25">
      <c r="A22" t="s">
        <v>27</v>
      </c>
      <c r="B22">
        <v>2020</v>
      </c>
      <c r="C22">
        <v>8777</v>
      </c>
      <c r="D22">
        <v>20122</v>
      </c>
      <c r="E22">
        <v>28899</v>
      </c>
    </row>
    <row r="23" spans="1:5" x14ac:dyDescent="0.25">
      <c r="A23" t="s">
        <v>27</v>
      </c>
      <c r="B23">
        <v>2021</v>
      </c>
      <c r="C23">
        <v>9015</v>
      </c>
      <c r="D23">
        <v>20562</v>
      </c>
      <c r="E23">
        <v>29577</v>
      </c>
    </row>
    <row r="24" spans="1:5" x14ac:dyDescent="0.25">
      <c r="A24" t="s">
        <v>27</v>
      </c>
      <c r="B24">
        <v>2022</v>
      </c>
      <c r="C24">
        <v>9453</v>
      </c>
      <c r="D24">
        <v>21156</v>
      </c>
      <c r="E24">
        <v>30609</v>
      </c>
    </row>
    <row r="25" spans="1:5" x14ac:dyDescent="0.25">
      <c r="A25" t="s">
        <v>27</v>
      </c>
      <c r="B25">
        <v>2023</v>
      </c>
      <c r="C25">
        <v>9641</v>
      </c>
      <c r="D25">
        <v>21178</v>
      </c>
      <c r="E25">
        <v>30819</v>
      </c>
    </row>
    <row r="26" spans="1:5" x14ac:dyDescent="0.25">
      <c r="A26" t="s">
        <v>27</v>
      </c>
      <c r="B26">
        <v>2024</v>
      </c>
      <c r="C26">
        <v>9697</v>
      </c>
      <c r="D26">
        <v>20861</v>
      </c>
      <c r="E26">
        <v>30558</v>
      </c>
    </row>
    <row r="27" spans="1:5" x14ac:dyDescent="0.25">
      <c r="A27" t="s">
        <v>28</v>
      </c>
      <c r="B27">
        <v>2000</v>
      </c>
      <c r="C27">
        <v>29107</v>
      </c>
      <c r="D27">
        <v>15960</v>
      </c>
      <c r="E27">
        <v>45067</v>
      </c>
    </row>
    <row r="28" spans="1:5" x14ac:dyDescent="0.25">
      <c r="A28" t="s">
        <v>28</v>
      </c>
      <c r="B28">
        <v>2001</v>
      </c>
      <c r="C28">
        <v>28904</v>
      </c>
      <c r="D28">
        <v>16239</v>
      </c>
      <c r="E28">
        <v>45143</v>
      </c>
    </row>
    <row r="29" spans="1:5" x14ac:dyDescent="0.25">
      <c r="A29" t="s">
        <v>28</v>
      </c>
      <c r="B29">
        <v>2002</v>
      </c>
      <c r="C29">
        <v>29324</v>
      </c>
      <c r="D29">
        <v>16102</v>
      </c>
      <c r="E29">
        <v>45426</v>
      </c>
    </row>
    <row r="30" spans="1:5" x14ac:dyDescent="0.25">
      <c r="A30" t="s">
        <v>28</v>
      </c>
      <c r="B30">
        <v>2003</v>
      </c>
      <c r="C30">
        <v>28785</v>
      </c>
      <c r="D30">
        <v>15967</v>
      </c>
      <c r="E30">
        <v>44752</v>
      </c>
    </row>
    <row r="31" spans="1:5" x14ac:dyDescent="0.25">
      <c r="A31" t="s">
        <v>28</v>
      </c>
      <c r="B31">
        <v>2004</v>
      </c>
      <c r="C31">
        <v>28864</v>
      </c>
      <c r="D31">
        <v>16389</v>
      </c>
      <c r="E31">
        <v>45253</v>
      </c>
    </row>
    <row r="32" spans="1:5" x14ac:dyDescent="0.25">
      <c r="A32" t="s">
        <v>28</v>
      </c>
      <c r="B32">
        <v>2005</v>
      </c>
      <c r="C32">
        <v>28931</v>
      </c>
      <c r="D32">
        <v>16704</v>
      </c>
      <c r="E32">
        <v>45635</v>
      </c>
    </row>
    <row r="33" spans="1:5" x14ac:dyDescent="0.25">
      <c r="A33" t="s">
        <v>28</v>
      </c>
      <c r="B33">
        <v>2006</v>
      </c>
      <c r="C33">
        <v>29447</v>
      </c>
      <c r="D33">
        <v>17041</v>
      </c>
      <c r="E33">
        <v>46488</v>
      </c>
    </row>
    <row r="34" spans="1:5" x14ac:dyDescent="0.25">
      <c r="A34" t="s">
        <v>28</v>
      </c>
      <c r="B34">
        <v>2007</v>
      </c>
      <c r="C34">
        <v>30673</v>
      </c>
      <c r="D34">
        <v>17769</v>
      </c>
      <c r="E34">
        <v>48442</v>
      </c>
    </row>
    <row r="35" spans="1:5" x14ac:dyDescent="0.25">
      <c r="A35" t="s">
        <v>28</v>
      </c>
      <c r="B35">
        <v>2008</v>
      </c>
      <c r="C35">
        <v>31379</v>
      </c>
      <c r="D35">
        <v>18273</v>
      </c>
      <c r="E35">
        <v>49652</v>
      </c>
    </row>
    <row r="36" spans="1:5" x14ac:dyDescent="0.25">
      <c r="A36" t="s">
        <v>28</v>
      </c>
      <c r="B36">
        <v>2009</v>
      </c>
      <c r="C36">
        <v>30660</v>
      </c>
      <c r="D36">
        <v>17944</v>
      </c>
      <c r="E36">
        <v>48604</v>
      </c>
    </row>
    <row r="37" spans="1:5" x14ac:dyDescent="0.25">
      <c r="A37" t="s">
        <v>28</v>
      </c>
      <c r="B37">
        <v>2010</v>
      </c>
      <c r="C37">
        <v>31431</v>
      </c>
      <c r="D37">
        <v>18347</v>
      </c>
      <c r="E37">
        <v>49778</v>
      </c>
    </row>
    <row r="38" spans="1:5" x14ac:dyDescent="0.25">
      <c r="A38" t="s">
        <v>28</v>
      </c>
      <c r="B38">
        <v>2011</v>
      </c>
      <c r="C38">
        <v>32654</v>
      </c>
      <c r="D38">
        <v>18825</v>
      </c>
      <c r="E38">
        <v>51479</v>
      </c>
    </row>
    <row r="39" spans="1:5" x14ac:dyDescent="0.25">
      <c r="A39" t="s">
        <v>28</v>
      </c>
      <c r="B39">
        <v>2012</v>
      </c>
      <c r="C39">
        <v>33165</v>
      </c>
      <c r="D39">
        <v>19462</v>
      </c>
      <c r="E39">
        <v>52627</v>
      </c>
    </row>
    <row r="40" spans="1:5" x14ac:dyDescent="0.25">
      <c r="A40" t="s">
        <v>28</v>
      </c>
      <c r="B40">
        <v>2013</v>
      </c>
      <c r="C40">
        <v>33795</v>
      </c>
      <c r="D40">
        <v>19832</v>
      </c>
      <c r="E40">
        <v>53627</v>
      </c>
    </row>
    <row r="41" spans="1:5" x14ac:dyDescent="0.25">
      <c r="A41" t="s">
        <v>28</v>
      </c>
      <c r="B41">
        <v>2014</v>
      </c>
      <c r="C41">
        <v>34555</v>
      </c>
      <c r="D41">
        <v>20363</v>
      </c>
      <c r="E41">
        <v>54918</v>
      </c>
    </row>
    <row r="42" spans="1:5" x14ac:dyDescent="0.25">
      <c r="A42" t="s">
        <v>28</v>
      </c>
      <c r="B42">
        <v>2015</v>
      </c>
      <c r="C42">
        <v>35140</v>
      </c>
      <c r="D42">
        <v>20880</v>
      </c>
      <c r="E42">
        <v>56020</v>
      </c>
    </row>
    <row r="43" spans="1:5" x14ac:dyDescent="0.25">
      <c r="A43" t="s">
        <v>28</v>
      </c>
      <c r="B43">
        <v>2016</v>
      </c>
      <c r="C43">
        <v>36015</v>
      </c>
      <c r="D43">
        <v>21263</v>
      </c>
      <c r="E43">
        <v>57278</v>
      </c>
    </row>
    <row r="44" spans="1:5" x14ac:dyDescent="0.25">
      <c r="A44" t="s">
        <v>28</v>
      </c>
      <c r="B44">
        <v>2017</v>
      </c>
      <c r="C44">
        <v>36783</v>
      </c>
      <c r="D44">
        <v>21172</v>
      </c>
      <c r="E44">
        <v>57955</v>
      </c>
    </row>
    <row r="45" spans="1:5" x14ac:dyDescent="0.25">
      <c r="A45" t="s">
        <v>28</v>
      </c>
      <c r="B45">
        <v>2018</v>
      </c>
      <c r="C45">
        <v>37565</v>
      </c>
      <c r="D45">
        <v>21326</v>
      </c>
      <c r="E45">
        <v>58891</v>
      </c>
    </row>
    <row r="46" spans="1:5" x14ac:dyDescent="0.25">
      <c r="A46" t="s">
        <v>28</v>
      </c>
      <c r="B46">
        <v>2019</v>
      </c>
      <c r="C46">
        <v>38749</v>
      </c>
      <c r="D46">
        <v>22883</v>
      </c>
      <c r="E46">
        <v>61632</v>
      </c>
    </row>
    <row r="47" spans="1:5" x14ac:dyDescent="0.25">
      <c r="A47" t="s">
        <v>28</v>
      </c>
      <c r="B47">
        <v>2020</v>
      </c>
      <c r="C47">
        <v>38250</v>
      </c>
      <c r="D47">
        <v>22362</v>
      </c>
      <c r="E47">
        <v>60612</v>
      </c>
    </row>
    <row r="48" spans="1:5" x14ac:dyDescent="0.25">
      <c r="A48" t="s">
        <v>28</v>
      </c>
      <c r="B48">
        <v>2021</v>
      </c>
      <c r="C48">
        <v>39014</v>
      </c>
      <c r="D48">
        <v>22967</v>
      </c>
      <c r="E48">
        <v>61981</v>
      </c>
    </row>
    <row r="49" spans="1:5" x14ac:dyDescent="0.25">
      <c r="A49" t="s">
        <v>28</v>
      </c>
      <c r="B49">
        <v>2022</v>
      </c>
      <c r="C49">
        <v>39924</v>
      </c>
      <c r="D49">
        <v>23593</v>
      </c>
      <c r="E49">
        <v>63517</v>
      </c>
    </row>
    <row r="50" spans="1:5" x14ac:dyDescent="0.25">
      <c r="A50" t="s">
        <v>28</v>
      </c>
      <c r="B50">
        <v>2023</v>
      </c>
      <c r="C50">
        <v>40528</v>
      </c>
      <c r="D50">
        <v>24345</v>
      </c>
      <c r="E50">
        <v>64873</v>
      </c>
    </row>
    <row r="51" spans="1:5" x14ac:dyDescent="0.25">
      <c r="A51" t="s">
        <v>28</v>
      </c>
      <c r="B51">
        <v>2024</v>
      </c>
      <c r="C51">
        <v>40183</v>
      </c>
      <c r="D51">
        <v>24266</v>
      </c>
      <c r="E51">
        <v>64449</v>
      </c>
    </row>
    <row r="52" spans="1:5" x14ac:dyDescent="0.25">
      <c r="A52" t="s">
        <v>2</v>
      </c>
      <c r="B52">
        <v>2000</v>
      </c>
      <c r="C52">
        <v>35409</v>
      </c>
      <c r="D52">
        <v>30793</v>
      </c>
      <c r="E52">
        <v>66202</v>
      </c>
    </row>
    <row r="53" spans="1:5" x14ac:dyDescent="0.25">
      <c r="A53" t="s">
        <v>2</v>
      </c>
      <c r="B53">
        <v>2001</v>
      </c>
      <c r="C53">
        <v>35395</v>
      </c>
      <c r="D53">
        <v>31590</v>
      </c>
      <c r="E53">
        <v>66985</v>
      </c>
    </row>
    <row r="54" spans="1:5" x14ac:dyDescent="0.25">
      <c r="A54" t="s">
        <v>2</v>
      </c>
      <c r="B54">
        <v>2002</v>
      </c>
      <c r="C54">
        <v>36527</v>
      </c>
      <c r="D54">
        <v>31952</v>
      </c>
      <c r="E54">
        <v>68479</v>
      </c>
    </row>
    <row r="55" spans="1:5" x14ac:dyDescent="0.25">
      <c r="A55" t="s">
        <v>2</v>
      </c>
      <c r="B55">
        <v>2003</v>
      </c>
      <c r="C55">
        <v>35954</v>
      </c>
      <c r="D55">
        <v>31655</v>
      </c>
      <c r="E55">
        <v>67609</v>
      </c>
    </row>
    <row r="56" spans="1:5" x14ac:dyDescent="0.25">
      <c r="A56" t="s">
        <v>2</v>
      </c>
      <c r="B56">
        <v>2004</v>
      </c>
      <c r="C56">
        <v>35986</v>
      </c>
      <c r="D56">
        <v>31842</v>
      </c>
      <c r="E56">
        <v>67828</v>
      </c>
    </row>
    <row r="57" spans="1:5" x14ac:dyDescent="0.25">
      <c r="A57" t="s">
        <v>2</v>
      </c>
      <c r="B57">
        <v>2005</v>
      </c>
      <c r="C57">
        <v>35673</v>
      </c>
      <c r="D57">
        <v>32229</v>
      </c>
      <c r="E57">
        <v>67902</v>
      </c>
    </row>
    <row r="58" spans="1:5" x14ac:dyDescent="0.25">
      <c r="A58" t="s">
        <v>2</v>
      </c>
      <c r="B58">
        <v>2006</v>
      </c>
      <c r="C58">
        <v>36471</v>
      </c>
      <c r="D58">
        <v>33103</v>
      </c>
      <c r="E58">
        <v>69574</v>
      </c>
    </row>
    <row r="59" spans="1:5" x14ac:dyDescent="0.25">
      <c r="A59" t="s">
        <v>2</v>
      </c>
      <c r="B59">
        <v>2007</v>
      </c>
      <c r="C59">
        <v>37562</v>
      </c>
      <c r="D59">
        <v>33717</v>
      </c>
      <c r="E59">
        <v>71279</v>
      </c>
    </row>
    <row r="60" spans="1:5" x14ac:dyDescent="0.25">
      <c r="A60" t="s">
        <v>2</v>
      </c>
      <c r="B60">
        <v>2008</v>
      </c>
      <c r="C60">
        <v>38107</v>
      </c>
      <c r="D60">
        <v>33905</v>
      </c>
      <c r="E60">
        <v>72012</v>
      </c>
    </row>
    <row r="61" spans="1:5" x14ac:dyDescent="0.25">
      <c r="A61" t="s">
        <v>2</v>
      </c>
      <c r="B61">
        <v>2009</v>
      </c>
      <c r="C61">
        <v>37410</v>
      </c>
      <c r="D61">
        <v>33679</v>
      </c>
      <c r="E61">
        <v>71089</v>
      </c>
    </row>
    <row r="62" spans="1:5" x14ac:dyDescent="0.25">
      <c r="A62" t="s">
        <v>2</v>
      </c>
      <c r="B62">
        <v>2010</v>
      </c>
      <c r="C62">
        <v>38299</v>
      </c>
      <c r="D62">
        <v>34433</v>
      </c>
      <c r="E62">
        <v>72732</v>
      </c>
    </row>
    <row r="63" spans="1:5" x14ac:dyDescent="0.25">
      <c r="A63" t="s">
        <v>2</v>
      </c>
      <c r="B63">
        <v>2011</v>
      </c>
      <c r="C63">
        <v>39593</v>
      </c>
      <c r="D63">
        <v>34735</v>
      </c>
      <c r="E63">
        <v>74328</v>
      </c>
    </row>
    <row r="64" spans="1:5" x14ac:dyDescent="0.25">
      <c r="A64" t="s">
        <v>2</v>
      </c>
      <c r="B64">
        <v>2012</v>
      </c>
      <c r="C64">
        <v>40214</v>
      </c>
      <c r="D64">
        <v>35518</v>
      </c>
      <c r="E64">
        <v>75732</v>
      </c>
    </row>
    <row r="65" spans="1:5" x14ac:dyDescent="0.25">
      <c r="A65" t="s">
        <v>2</v>
      </c>
      <c r="B65">
        <v>2013</v>
      </c>
      <c r="C65">
        <v>40987</v>
      </c>
      <c r="D65">
        <v>36182</v>
      </c>
      <c r="E65">
        <v>77169</v>
      </c>
    </row>
    <row r="66" spans="1:5" x14ac:dyDescent="0.25">
      <c r="A66" t="s">
        <v>2</v>
      </c>
      <c r="B66">
        <v>2014</v>
      </c>
      <c r="C66">
        <v>41967</v>
      </c>
      <c r="D66">
        <v>37061</v>
      </c>
      <c r="E66">
        <v>79028</v>
      </c>
    </row>
    <row r="67" spans="1:5" x14ac:dyDescent="0.25">
      <c r="A67" t="s">
        <v>2</v>
      </c>
      <c r="B67">
        <v>2015</v>
      </c>
      <c r="C67">
        <v>42693</v>
      </c>
      <c r="D67">
        <v>38179</v>
      </c>
      <c r="E67">
        <v>80872</v>
      </c>
    </row>
    <row r="68" spans="1:5" x14ac:dyDescent="0.25">
      <c r="A68" t="s">
        <v>2</v>
      </c>
      <c r="B68">
        <v>2016</v>
      </c>
      <c r="C68">
        <v>43812</v>
      </c>
      <c r="D68">
        <v>39201</v>
      </c>
      <c r="E68">
        <v>83013</v>
      </c>
    </row>
    <row r="69" spans="1:5" x14ac:dyDescent="0.25">
      <c r="A69" t="s">
        <v>2</v>
      </c>
      <c r="B69">
        <v>2017</v>
      </c>
      <c r="C69">
        <v>44778</v>
      </c>
      <c r="D69">
        <v>39770</v>
      </c>
      <c r="E69">
        <v>84548</v>
      </c>
    </row>
    <row r="70" spans="1:5" x14ac:dyDescent="0.25">
      <c r="A70" t="s">
        <v>2</v>
      </c>
      <c r="B70">
        <v>2018</v>
      </c>
      <c r="C70">
        <v>45797</v>
      </c>
      <c r="D70">
        <v>40569</v>
      </c>
      <c r="E70">
        <v>86366</v>
      </c>
    </row>
    <row r="71" spans="1:5" x14ac:dyDescent="0.25">
      <c r="A71" t="s">
        <v>2</v>
      </c>
      <c r="B71">
        <v>2019</v>
      </c>
      <c r="C71">
        <v>47360</v>
      </c>
      <c r="D71">
        <v>42796</v>
      </c>
      <c r="E71">
        <v>90156</v>
      </c>
    </row>
    <row r="72" spans="1:5" x14ac:dyDescent="0.25">
      <c r="A72" t="s">
        <v>2</v>
      </c>
      <c r="B72">
        <v>2020</v>
      </c>
      <c r="C72">
        <v>47027</v>
      </c>
      <c r="D72">
        <v>42484</v>
      </c>
      <c r="E72">
        <v>89511</v>
      </c>
    </row>
    <row r="73" spans="1:5" x14ac:dyDescent="0.25">
      <c r="A73" t="s">
        <v>2</v>
      </c>
      <c r="B73">
        <v>2021</v>
      </c>
      <c r="C73">
        <v>48029</v>
      </c>
      <c r="D73">
        <v>43529</v>
      </c>
      <c r="E73">
        <v>91558</v>
      </c>
    </row>
    <row r="74" spans="1:5" x14ac:dyDescent="0.25">
      <c r="A74" t="s">
        <v>2</v>
      </c>
      <c r="B74">
        <v>2022</v>
      </c>
      <c r="C74">
        <v>49377</v>
      </c>
      <c r="D74">
        <v>44749</v>
      </c>
      <c r="E74">
        <v>94126</v>
      </c>
    </row>
    <row r="75" spans="1:5" x14ac:dyDescent="0.25">
      <c r="A75" t="s">
        <v>2</v>
      </c>
      <c r="B75">
        <v>2023</v>
      </c>
      <c r="C75">
        <v>50169</v>
      </c>
      <c r="D75">
        <v>45523</v>
      </c>
      <c r="E75">
        <v>95692</v>
      </c>
    </row>
    <row r="76" spans="1:5" x14ac:dyDescent="0.25">
      <c r="A76" t="s">
        <v>2</v>
      </c>
      <c r="B76">
        <v>2024</v>
      </c>
      <c r="C76">
        <v>49880</v>
      </c>
      <c r="D76">
        <v>45127</v>
      </c>
      <c r="E76">
        <v>95007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C8B7-79D4-4C60-8C94-C95E04FAD6F6}">
  <dimension ref="A1:E76"/>
  <sheetViews>
    <sheetView workbookViewId="0"/>
  </sheetViews>
  <sheetFormatPr defaultRowHeight="15" x14ac:dyDescent="0.25"/>
  <cols>
    <col min="1" max="1" width="15.140625" bestFit="1" customWidth="1"/>
  </cols>
  <sheetData>
    <row r="1" spans="1:5" x14ac:dyDescent="0.25">
      <c r="A1" s="4" t="s">
        <v>29</v>
      </c>
      <c r="B1" s="4" t="s">
        <v>6</v>
      </c>
      <c r="C1" s="5" t="s">
        <v>0</v>
      </c>
      <c r="D1" s="5" t="s">
        <v>1</v>
      </c>
      <c r="E1" s="5" t="s">
        <v>2</v>
      </c>
    </row>
    <row r="2" spans="1:5" x14ac:dyDescent="0.25">
      <c r="A2" t="s">
        <v>27</v>
      </c>
      <c r="B2">
        <v>2000</v>
      </c>
      <c r="C2">
        <v>6150</v>
      </c>
      <c r="D2">
        <v>13988</v>
      </c>
      <c r="E2">
        <v>20138</v>
      </c>
    </row>
    <row r="3" spans="1:5" x14ac:dyDescent="0.25">
      <c r="A3" t="s">
        <v>27</v>
      </c>
      <c r="B3">
        <v>2001</v>
      </c>
      <c r="C3">
        <v>6252</v>
      </c>
      <c r="D3">
        <v>14380</v>
      </c>
      <c r="E3">
        <v>20632</v>
      </c>
    </row>
    <row r="4" spans="1:5" x14ac:dyDescent="0.25">
      <c r="A4" t="s">
        <v>27</v>
      </c>
      <c r="B4">
        <v>2002</v>
      </c>
      <c r="C4">
        <v>6475</v>
      </c>
      <c r="D4">
        <v>14666</v>
      </c>
      <c r="E4">
        <v>21141</v>
      </c>
    </row>
    <row r="5" spans="1:5" x14ac:dyDescent="0.25">
      <c r="A5" t="s">
        <v>27</v>
      </c>
      <c r="B5">
        <v>2003</v>
      </c>
      <c r="C5">
        <v>6505</v>
      </c>
      <c r="D5">
        <v>14436</v>
      </c>
      <c r="E5">
        <v>20941</v>
      </c>
    </row>
    <row r="6" spans="1:5" x14ac:dyDescent="0.25">
      <c r="A6" t="s">
        <v>27</v>
      </c>
      <c r="B6">
        <v>2004</v>
      </c>
      <c r="C6">
        <v>6531</v>
      </c>
      <c r="D6">
        <v>14266</v>
      </c>
      <c r="E6">
        <v>20797</v>
      </c>
    </row>
    <row r="7" spans="1:5" x14ac:dyDescent="0.25">
      <c r="A7" t="s">
        <v>27</v>
      </c>
      <c r="B7">
        <v>2005</v>
      </c>
      <c r="C7">
        <v>6435</v>
      </c>
      <c r="D7">
        <v>14139</v>
      </c>
      <c r="E7">
        <v>20574</v>
      </c>
    </row>
    <row r="8" spans="1:5" x14ac:dyDescent="0.25">
      <c r="A8" t="s">
        <v>27</v>
      </c>
      <c r="B8">
        <v>2006</v>
      </c>
      <c r="C8">
        <v>6539</v>
      </c>
      <c r="D8">
        <v>14542</v>
      </c>
      <c r="E8">
        <v>21081</v>
      </c>
    </row>
    <row r="9" spans="1:5" x14ac:dyDescent="0.25">
      <c r="A9" t="s">
        <v>27</v>
      </c>
      <c r="B9">
        <v>2007</v>
      </c>
      <c r="C9">
        <v>6505</v>
      </c>
      <c r="D9">
        <v>14478</v>
      </c>
      <c r="E9">
        <v>20983</v>
      </c>
    </row>
    <row r="10" spans="1:5" x14ac:dyDescent="0.25">
      <c r="A10" t="s">
        <v>27</v>
      </c>
      <c r="B10">
        <v>2008</v>
      </c>
      <c r="C10">
        <v>6317</v>
      </c>
      <c r="D10">
        <v>14190</v>
      </c>
      <c r="E10">
        <v>20507</v>
      </c>
    </row>
    <row r="11" spans="1:5" x14ac:dyDescent="0.25">
      <c r="A11" t="s">
        <v>27</v>
      </c>
      <c r="B11">
        <v>2009</v>
      </c>
      <c r="C11">
        <v>6303</v>
      </c>
      <c r="D11">
        <v>14142</v>
      </c>
      <c r="E11">
        <v>20445</v>
      </c>
    </row>
    <row r="12" spans="1:5" x14ac:dyDescent="0.25">
      <c r="A12" t="s">
        <v>27</v>
      </c>
      <c r="B12">
        <v>2010</v>
      </c>
      <c r="C12">
        <v>6469</v>
      </c>
      <c r="D12">
        <v>14610</v>
      </c>
      <c r="E12">
        <v>21079</v>
      </c>
    </row>
    <row r="13" spans="1:5" x14ac:dyDescent="0.25">
      <c r="A13" t="s">
        <v>27</v>
      </c>
      <c r="B13">
        <v>2011</v>
      </c>
      <c r="C13">
        <v>6550</v>
      </c>
      <c r="D13">
        <v>14470</v>
      </c>
      <c r="E13">
        <v>21020</v>
      </c>
    </row>
    <row r="14" spans="1:5" x14ac:dyDescent="0.25">
      <c r="A14" t="s">
        <v>27</v>
      </c>
      <c r="B14">
        <v>2012</v>
      </c>
      <c r="C14">
        <v>6632</v>
      </c>
      <c r="D14">
        <v>14578</v>
      </c>
      <c r="E14">
        <v>21210</v>
      </c>
    </row>
    <row r="15" spans="1:5" x14ac:dyDescent="0.25">
      <c r="A15" t="s">
        <v>27</v>
      </c>
      <c r="B15">
        <v>2013</v>
      </c>
      <c r="C15">
        <v>6719</v>
      </c>
      <c r="D15">
        <v>14902</v>
      </c>
      <c r="E15">
        <v>21621</v>
      </c>
    </row>
    <row r="16" spans="1:5" x14ac:dyDescent="0.25">
      <c r="A16" t="s">
        <v>27</v>
      </c>
      <c r="B16">
        <v>2014</v>
      </c>
      <c r="C16">
        <v>6864</v>
      </c>
      <c r="D16">
        <v>15159</v>
      </c>
      <c r="E16">
        <v>22023</v>
      </c>
    </row>
    <row r="17" spans="1:5" x14ac:dyDescent="0.25">
      <c r="A17" t="s">
        <v>27</v>
      </c>
      <c r="B17">
        <v>2015</v>
      </c>
      <c r="C17">
        <v>7005</v>
      </c>
      <c r="D17">
        <v>15682</v>
      </c>
      <c r="E17">
        <v>22687</v>
      </c>
    </row>
    <row r="18" spans="1:5" x14ac:dyDescent="0.25">
      <c r="A18" t="s">
        <v>27</v>
      </c>
      <c r="B18">
        <v>2016</v>
      </c>
      <c r="C18">
        <v>7326</v>
      </c>
      <c r="D18">
        <v>16336</v>
      </c>
      <c r="E18">
        <v>23662</v>
      </c>
    </row>
    <row r="19" spans="1:5" x14ac:dyDescent="0.25">
      <c r="A19" t="s">
        <v>27</v>
      </c>
      <c r="B19">
        <v>2017</v>
      </c>
      <c r="C19">
        <v>7539</v>
      </c>
      <c r="D19">
        <v>16941</v>
      </c>
      <c r="E19">
        <v>24480</v>
      </c>
    </row>
    <row r="20" spans="1:5" x14ac:dyDescent="0.25">
      <c r="A20" t="s">
        <v>27</v>
      </c>
      <c r="B20">
        <v>2018</v>
      </c>
      <c r="C20">
        <v>7752</v>
      </c>
      <c r="D20">
        <v>17394</v>
      </c>
      <c r="E20">
        <v>25146</v>
      </c>
    </row>
    <row r="21" spans="1:5" x14ac:dyDescent="0.25">
      <c r="A21" t="s">
        <v>27</v>
      </c>
      <c r="B21">
        <v>2019</v>
      </c>
      <c r="C21">
        <v>8007</v>
      </c>
      <c r="D21">
        <v>17884</v>
      </c>
      <c r="E21">
        <v>25891</v>
      </c>
    </row>
    <row r="22" spans="1:5" x14ac:dyDescent="0.25">
      <c r="A22" t="s">
        <v>27</v>
      </c>
      <c r="B22">
        <v>2020</v>
      </c>
      <c r="C22">
        <v>8158</v>
      </c>
      <c r="D22">
        <v>17991</v>
      </c>
      <c r="E22">
        <v>26149</v>
      </c>
    </row>
    <row r="23" spans="1:5" x14ac:dyDescent="0.25">
      <c r="A23" t="s">
        <v>27</v>
      </c>
      <c r="B23">
        <v>2021</v>
      </c>
      <c r="C23">
        <v>8260</v>
      </c>
      <c r="D23">
        <v>18087</v>
      </c>
      <c r="E23">
        <v>26347</v>
      </c>
    </row>
    <row r="24" spans="1:5" x14ac:dyDescent="0.25">
      <c r="A24" t="s">
        <v>27</v>
      </c>
      <c r="B24">
        <v>2022</v>
      </c>
      <c r="C24">
        <v>8510</v>
      </c>
      <c r="D24">
        <v>18535</v>
      </c>
      <c r="E24">
        <v>27045</v>
      </c>
    </row>
    <row r="25" spans="1:5" x14ac:dyDescent="0.25">
      <c r="A25" t="s">
        <v>27</v>
      </c>
      <c r="B25">
        <v>2023</v>
      </c>
      <c r="C25">
        <v>8686</v>
      </c>
      <c r="D25">
        <v>18531</v>
      </c>
      <c r="E25">
        <v>27217</v>
      </c>
    </row>
    <row r="26" spans="1:5" x14ac:dyDescent="0.25">
      <c r="A26" t="s">
        <v>27</v>
      </c>
      <c r="B26">
        <v>2024</v>
      </c>
      <c r="C26">
        <v>8716</v>
      </c>
      <c r="D26">
        <v>18328</v>
      </c>
      <c r="E26">
        <v>27044</v>
      </c>
    </row>
    <row r="27" spans="1:5" x14ac:dyDescent="0.25">
      <c r="A27" t="s">
        <v>28</v>
      </c>
      <c r="B27">
        <v>2000</v>
      </c>
      <c r="C27">
        <v>26556</v>
      </c>
      <c r="D27">
        <v>14504</v>
      </c>
      <c r="E27">
        <v>41060</v>
      </c>
    </row>
    <row r="28" spans="1:5" x14ac:dyDescent="0.25">
      <c r="A28" t="s">
        <v>28</v>
      </c>
      <c r="B28">
        <v>2001</v>
      </c>
      <c r="C28">
        <v>26291</v>
      </c>
      <c r="D28">
        <v>14815</v>
      </c>
      <c r="E28">
        <v>41106</v>
      </c>
    </row>
    <row r="29" spans="1:5" x14ac:dyDescent="0.25">
      <c r="A29" t="s">
        <v>28</v>
      </c>
      <c r="B29">
        <v>2002</v>
      </c>
      <c r="C29">
        <v>26502</v>
      </c>
      <c r="D29">
        <v>14886</v>
      </c>
      <c r="E29">
        <v>41388</v>
      </c>
    </row>
    <row r="30" spans="1:5" x14ac:dyDescent="0.25">
      <c r="A30" t="s">
        <v>28</v>
      </c>
      <c r="B30">
        <v>2003</v>
      </c>
      <c r="C30">
        <v>25842</v>
      </c>
      <c r="D30">
        <v>14640</v>
      </c>
      <c r="E30">
        <v>40482</v>
      </c>
    </row>
    <row r="31" spans="1:5" x14ac:dyDescent="0.25">
      <c r="A31" t="s">
        <v>28</v>
      </c>
      <c r="B31">
        <v>2004</v>
      </c>
      <c r="C31">
        <v>26331</v>
      </c>
      <c r="D31">
        <v>15022</v>
      </c>
      <c r="E31">
        <v>41353</v>
      </c>
    </row>
    <row r="32" spans="1:5" x14ac:dyDescent="0.25">
      <c r="A32" t="s">
        <v>28</v>
      </c>
      <c r="B32">
        <v>2005</v>
      </c>
      <c r="C32">
        <v>26343</v>
      </c>
      <c r="D32">
        <v>15195</v>
      </c>
      <c r="E32">
        <v>41538</v>
      </c>
    </row>
    <row r="33" spans="1:5" x14ac:dyDescent="0.25">
      <c r="A33" t="s">
        <v>28</v>
      </c>
      <c r="B33">
        <v>2006</v>
      </c>
      <c r="C33">
        <v>27043</v>
      </c>
      <c r="D33">
        <v>15482</v>
      </c>
      <c r="E33">
        <v>42525</v>
      </c>
    </row>
    <row r="34" spans="1:5" x14ac:dyDescent="0.25">
      <c r="A34" t="s">
        <v>28</v>
      </c>
      <c r="B34">
        <v>2007</v>
      </c>
      <c r="C34">
        <v>28234</v>
      </c>
      <c r="D34">
        <v>16237</v>
      </c>
      <c r="E34">
        <v>44471</v>
      </c>
    </row>
    <row r="35" spans="1:5" x14ac:dyDescent="0.25">
      <c r="A35" t="s">
        <v>28</v>
      </c>
      <c r="B35">
        <v>2008</v>
      </c>
      <c r="C35">
        <v>28775</v>
      </c>
      <c r="D35">
        <v>16475</v>
      </c>
      <c r="E35">
        <v>45250</v>
      </c>
    </row>
    <row r="36" spans="1:5" x14ac:dyDescent="0.25">
      <c r="A36" t="s">
        <v>28</v>
      </c>
      <c r="B36">
        <v>2009</v>
      </c>
      <c r="C36">
        <v>27824</v>
      </c>
      <c r="D36">
        <v>16181</v>
      </c>
      <c r="E36">
        <v>44005</v>
      </c>
    </row>
    <row r="37" spans="1:5" x14ac:dyDescent="0.25">
      <c r="A37" t="s">
        <v>28</v>
      </c>
      <c r="B37">
        <v>2010</v>
      </c>
      <c r="C37">
        <v>28553</v>
      </c>
      <c r="D37">
        <v>16757</v>
      </c>
      <c r="E37">
        <v>45310</v>
      </c>
    </row>
    <row r="38" spans="1:5" x14ac:dyDescent="0.25">
      <c r="A38" t="s">
        <v>28</v>
      </c>
      <c r="B38">
        <v>2011</v>
      </c>
      <c r="C38">
        <v>29499</v>
      </c>
      <c r="D38">
        <v>17166</v>
      </c>
      <c r="E38">
        <v>46665</v>
      </c>
    </row>
    <row r="39" spans="1:5" x14ac:dyDescent="0.25">
      <c r="A39" t="s">
        <v>28</v>
      </c>
      <c r="B39">
        <v>2012</v>
      </c>
      <c r="C39">
        <v>29843</v>
      </c>
      <c r="D39">
        <v>17602</v>
      </c>
      <c r="E39">
        <v>47445</v>
      </c>
    </row>
    <row r="40" spans="1:5" x14ac:dyDescent="0.25">
      <c r="A40" t="s">
        <v>28</v>
      </c>
      <c r="B40">
        <v>2013</v>
      </c>
      <c r="C40">
        <v>30337</v>
      </c>
      <c r="D40">
        <v>18074</v>
      </c>
      <c r="E40">
        <v>48411</v>
      </c>
    </row>
    <row r="41" spans="1:5" x14ac:dyDescent="0.25">
      <c r="A41" t="s">
        <v>28</v>
      </c>
      <c r="B41">
        <v>2014</v>
      </c>
      <c r="C41">
        <v>30808</v>
      </c>
      <c r="D41">
        <v>18229</v>
      </c>
      <c r="E41">
        <v>49037</v>
      </c>
    </row>
    <row r="42" spans="1:5" x14ac:dyDescent="0.25">
      <c r="A42" t="s">
        <v>28</v>
      </c>
      <c r="B42">
        <v>2015</v>
      </c>
      <c r="C42">
        <v>31234</v>
      </c>
      <c r="D42">
        <v>18607</v>
      </c>
      <c r="E42">
        <v>49841</v>
      </c>
    </row>
    <row r="43" spans="1:5" x14ac:dyDescent="0.25">
      <c r="A43" t="s">
        <v>28</v>
      </c>
      <c r="B43">
        <v>2016</v>
      </c>
      <c r="C43">
        <v>32231</v>
      </c>
      <c r="D43">
        <v>19084</v>
      </c>
      <c r="E43">
        <v>51315</v>
      </c>
    </row>
    <row r="44" spans="1:5" x14ac:dyDescent="0.25">
      <c r="A44" t="s">
        <v>28</v>
      </c>
      <c r="B44">
        <v>2017</v>
      </c>
      <c r="C44">
        <v>33070</v>
      </c>
      <c r="D44">
        <v>19090</v>
      </c>
      <c r="E44">
        <v>52160</v>
      </c>
    </row>
    <row r="45" spans="1:5" x14ac:dyDescent="0.25">
      <c r="A45" t="s">
        <v>28</v>
      </c>
      <c r="B45">
        <v>2018</v>
      </c>
      <c r="C45">
        <v>33505</v>
      </c>
      <c r="D45">
        <v>19224</v>
      </c>
      <c r="E45">
        <v>52729</v>
      </c>
    </row>
    <row r="46" spans="1:5" x14ac:dyDescent="0.25">
      <c r="A46" t="s">
        <v>28</v>
      </c>
      <c r="B46">
        <v>2019</v>
      </c>
      <c r="C46">
        <v>33985</v>
      </c>
      <c r="D46">
        <v>20150</v>
      </c>
      <c r="E46">
        <v>54135</v>
      </c>
    </row>
    <row r="47" spans="1:5" x14ac:dyDescent="0.25">
      <c r="A47" t="s">
        <v>28</v>
      </c>
      <c r="B47">
        <v>2020</v>
      </c>
      <c r="C47">
        <v>33450</v>
      </c>
      <c r="D47">
        <v>19688</v>
      </c>
      <c r="E47">
        <v>53138</v>
      </c>
    </row>
    <row r="48" spans="1:5" x14ac:dyDescent="0.25">
      <c r="A48" t="s">
        <v>28</v>
      </c>
      <c r="B48">
        <v>2021</v>
      </c>
      <c r="C48">
        <v>34253</v>
      </c>
      <c r="D48">
        <v>20333</v>
      </c>
      <c r="E48">
        <v>54586</v>
      </c>
    </row>
    <row r="49" spans="1:5" x14ac:dyDescent="0.25">
      <c r="A49" t="s">
        <v>28</v>
      </c>
      <c r="B49">
        <v>2022</v>
      </c>
      <c r="C49">
        <v>35178</v>
      </c>
      <c r="D49">
        <v>20936</v>
      </c>
      <c r="E49">
        <v>56114</v>
      </c>
    </row>
    <row r="50" spans="1:5" x14ac:dyDescent="0.25">
      <c r="A50" t="s">
        <v>28</v>
      </c>
      <c r="B50">
        <v>2023</v>
      </c>
      <c r="C50">
        <v>35547</v>
      </c>
      <c r="D50">
        <v>21571</v>
      </c>
      <c r="E50">
        <v>57118</v>
      </c>
    </row>
    <row r="51" spans="1:5" x14ac:dyDescent="0.25">
      <c r="A51" t="s">
        <v>28</v>
      </c>
      <c r="B51">
        <v>2024</v>
      </c>
      <c r="C51">
        <v>35540</v>
      </c>
      <c r="D51">
        <v>21647</v>
      </c>
      <c r="E51">
        <v>57187</v>
      </c>
    </row>
    <row r="52" spans="1:5" x14ac:dyDescent="0.25">
      <c r="A52" t="s">
        <v>2</v>
      </c>
      <c r="B52">
        <v>2000</v>
      </c>
      <c r="C52">
        <v>32706</v>
      </c>
      <c r="D52">
        <v>28492</v>
      </c>
      <c r="E52">
        <v>61198</v>
      </c>
    </row>
    <row r="53" spans="1:5" x14ac:dyDescent="0.25">
      <c r="A53" t="s">
        <v>2</v>
      </c>
      <c r="B53">
        <v>2001</v>
      </c>
      <c r="C53">
        <v>32543</v>
      </c>
      <c r="D53">
        <v>29195</v>
      </c>
      <c r="E53">
        <v>61738</v>
      </c>
    </row>
    <row r="54" spans="1:5" x14ac:dyDescent="0.25">
      <c r="A54" t="s">
        <v>2</v>
      </c>
      <c r="B54">
        <v>2002</v>
      </c>
      <c r="C54">
        <v>32977</v>
      </c>
      <c r="D54">
        <v>29552</v>
      </c>
      <c r="E54">
        <v>62529</v>
      </c>
    </row>
    <row r="55" spans="1:5" x14ac:dyDescent="0.25">
      <c r="A55" t="s">
        <v>2</v>
      </c>
      <c r="B55">
        <v>2003</v>
      </c>
      <c r="C55">
        <v>32347</v>
      </c>
      <c r="D55">
        <v>29076</v>
      </c>
      <c r="E55">
        <v>61423</v>
      </c>
    </row>
    <row r="56" spans="1:5" x14ac:dyDescent="0.25">
      <c r="A56" t="s">
        <v>2</v>
      </c>
      <c r="B56">
        <v>2004</v>
      </c>
      <c r="C56">
        <v>32862</v>
      </c>
      <c r="D56">
        <v>29288</v>
      </c>
      <c r="E56">
        <v>62150</v>
      </c>
    </row>
    <row r="57" spans="1:5" x14ac:dyDescent="0.25">
      <c r="A57" t="s">
        <v>2</v>
      </c>
      <c r="B57">
        <v>2005</v>
      </c>
      <c r="C57">
        <v>32778</v>
      </c>
      <c r="D57">
        <v>29334</v>
      </c>
      <c r="E57">
        <v>62112</v>
      </c>
    </row>
    <row r="58" spans="1:5" x14ac:dyDescent="0.25">
      <c r="A58" t="s">
        <v>2</v>
      </c>
      <c r="B58">
        <v>2006</v>
      </c>
      <c r="C58">
        <v>33582</v>
      </c>
      <c r="D58">
        <v>30024</v>
      </c>
      <c r="E58">
        <v>63606</v>
      </c>
    </row>
    <row r="59" spans="1:5" x14ac:dyDescent="0.25">
      <c r="A59" t="s">
        <v>2</v>
      </c>
      <c r="B59">
        <v>2007</v>
      </c>
      <c r="C59">
        <v>34739</v>
      </c>
      <c r="D59">
        <v>30715</v>
      </c>
      <c r="E59">
        <v>65454</v>
      </c>
    </row>
    <row r="60" spans="1:5" x14ac:dyDescent="0.25">
      <c r="A60" t="s">
        <v>2</v>
      </c>
      <c r="B60">
        <v>2008</v>
      </c>
      <c r="C60">
        <v>35092</v>
      </c>
      <c r="D60">
        <v>30665</v>
      </c>
      <c r="E60">
        <v>65757</v>
      </c>
    </row>
    <row r="61" spans="1:5" x14ac:dyDescent="0.25">
      <c r="A61" t="s">
        <v>2</v>
      </c>
      <c r="B61">
        <v>2009</v>
      </c>
      <c r="C61">
        <v>34127</v>
      </c>
      <c r="D61">
        <v>30323</v>
      </c>
      <c r="E61">
        <v>64450</v>
      </c>
    </row>
    <row r="62" spans="1:5" x14ac:dyDescent="0.25">
      <c r="A62" t="s">
        <v>2</v>
      </c>
      <c r="B62">
        <v>2010</v>
      </c>
      <c r="C62">
        <v>35022</v>
      </c>
      <c r="D62">
        <v>31367</v>
      </c>
      <c r="E62">
        <v>66389</v>
      </c>
    </row>
    <row r="63" spans="1:5" x14ac:dyDescent="0.25">
      <c r="A63" t="s">
        <v>2</v>
      </c>
      <c r="B63">
        <v>2011</v>
      </c>
      <c r="C63">
        <v>36049</v>
      </c>
      <c r="D63">
        <v>31636</v>
      </c>
      <c r="E63">
        <v>67685</v>
      </c>
    </row>
    <row r="64" spans="1:5" x14ac:dyDescent="0.25">
      <c r="A64" t="s">
        <v>2</v>
      </c>
      <c r="B64">
        <v>2012</v>
      </c>
      <c r="C64">
        <v>36475</v>
      </c>
      <c r="D64">
        <v>32180</v>
      </c>
      <c r="E64">
        <v>68655</v>
      </c>
    </row>
    <row r="65" spans="1:5" x14ac:dyDescent="0.25">
      <c r="A65" t="s">
        <v>2</v>
      </c>
      <c r="B65">
        <v>2013</v>
      </c>
      <c r="C65">
        <v>37056</v>
      </c>
      <c r="D65">
        <v>32976</v>
      </c>
      <c r="E65">
        <v>70032</v>
      </c>
    </row>
    <row r="66" spans="1:5" x14ac:dyDescent="0.25">
      <c r="A66" t="s">
        <v>2</v>
      </c>
      <c r="B66">
        <v>2014</v>
      </c>
      <c r="C66">
        <v>37672</v>
      </c>
      <c r="D66">
        <v>33388</v>
      </c>
      <c r="E66">
        <v>71060</v>
      </c>
    </row>
    <row r="67" spans="1:5" x14ac:dyDescent="0.25">
      <c r="A67" t="s">
        <v>2</v>
      </c>
      <c r="B67">
        <v>2015</v>
      </c>
      <c r="C67">
        <v>38239</v>
      </c>
      <c r="D67">
        <v>34289</v>
      </c>
      <c r="E67">
        <v>72528</v>
      </c>
    </row>
    <row r="68" spans="1:5" x14ac:dyDescent="0.25">
      <c r="A68" t="s">
        <v>2</v>
      </c>
      <c r="B68">
        <v>2016</v>
      </c>
      <c r="C68">
        <v>39557</v>
      </c>
      <c r="D68">
        <v>35420</v>
      </c>
      <c r="E68">
        <v>74977</v>
      </c>
    </row>
    <row r="69" spans="1:5" x14ac:dyDescent="0.25">
      <c r="A69" t="s">
        <v>2</v>
      </c>
      <c r="B69">
        <v>2017</v>
      </c>
      <c r="C69">
        <v>40609</v>
      </c>
      <c r="D69">
        <v>36031</v>
      </c>
      <c r="E69">
        <v>76640</v>
      </c>
    </row>
    <row r="70" spans="1:5" x14ac:dyDescent="0.25">
      <c r="A70" t="s">
        <v>2</v>
      </c>
      <c r="B70">
        <v>2018</v>
      </c>
      <c r="C70">
        <v>41257</v>
      </c>
      <c r="D70">
        <v>36618</v>
      </c>
      <c r="E70">
        <v>77875</v>
      </c>
    </row>
    <row r="71" spans="1:5" x14ac:dyDescent="0.25">
      <c r="A71" t="s">
        <v>2</v>
      </c>
      <c r="B71">
        <v>2019</v>
      </c>
      <c r="C71">
        <v>41992</v>
      </c>
      <c r="D71">
        <v>38034</v>
      </c>
      <c r="E71">
        <v>80026</v>
      </c>
    </row>
    <row r="72" spans="1:5" x14ac:dyDescent="0.25">
      <c r="A72" t="s">
        <v>2</v>
      </c>
      <c r="B72">
        <v>2020</v>
      </c>
      <c r="C72">
        <v>41608</v>
      </c>
      <c r="D72">
        <v>37679</v>
      </c>
      <c r="E72">
        <v>79287</v>
      </c>
    </row>
    <row r="73" spans="1:5" x14ac:dyDescent="0.25">
      <c r="A73" t="s">
        <v>2</v>
      </c>
      <c r="B73">
        <v>2021</v>
      </c>
      <c r="C73">
        <v>42513</v>
      </c>
      <c r="D73">
        <v>38420</v>
      </c>
      <c r="E73">
        <v>80933</v>
      </c>
    </row>
    <row r="74" spans="1:5" x14ac:dyDescent="0.25">
      <c r="A74" t="s">
        <v>2</v>
      </c>
      <c r="B74">
        <v>2022</v>
      </c>
      <c r="C74">
        <v>43688</v>
      </c>
      <c r="D74">
        <v>39471</v>
      </c>
      <c r="E74">
        <v>83159</v>
      </c>
    </row>
    <row r="75" spans="1:5" x14ac:dyDescent="0.25">
      <c r="A75" t="s">
        <v>2</v>
      </c>
      <c r="B75">
        <v>2023</v>
      </c>
      <c r="C75">
        <v>44233</v>
      </c>
      <c r="D75">
        <v>40102</v>
      </c>
      <c r="E75">
        <v>84335</v>
      </c>
    </row>
    <row r="76" spans="1:5" x14ac:dyDescent="0.25">
      <c r="A76" t="s">
        <v>2</v>
      </c>
      <c r="B76">
        <v>2024</v>
      </c>
      <c r="C76">
        <v>44256</v>
      </c>
      <c r="D76">
        <v>39975</v>
      </c>
      <c r="E76">
        <v>84231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5522-29B5-499B-9330-2BFDD2BE8C6A}">
  <dimension ref="A1:R26"/>
  <sheetViews>
    <sheetView workbookViewId="0"/>
  </sheetViews>
  <sheetFormatPr defaultRowHeight="15" x14ac:dyDescent="0.25"/>
  <sheetData>
    <row r="1" spans="1:18" x14ac:dyDescent="0.25">
      <c r="A1" s="4" t="s">
        <v>6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44</v>
      </c>
      <c r="K1" s="4" t="s">
        <v>38</v>
      </c>
      <c r="L1" s="4" t="s">
        <v>39</v>
      </c>
      <c r="M1" s="4" t="s">
        <v>45</v>
      </c>
      <c r="N1" s="4" t="s">
        <v>40</v>
      </c>
      <c r="O1" s="4" t="s">
        <v>41</v>
      </c>
      <c r="P1" s="4" t="s">
        <v>46</v>
      </c>
      <c r="Q1" s="4" t="s">
        <v>42</v>
      </c>
      <c r="R1" s="4" t="s">
        <v>43</v>
      </c>
    </row>
    <row r="2" spans="1:18" x14ac:dyDescent="0.25">
      <c r="A2">
        <v>2000</v>
      </c>
      <c r="B2">
        <v>1049</v>
      </c>
      <c r="C2">
        <v>13554</v>
      </c>
      <c r="D2">
        <v>511</v>
      </c>
      <c r="E2">
        <v>3161</v>
      </c>
      <c r="F2">
        <v>6470</v>
      </c>
      <c r="G2">
        <v>2542</v>
      </c>
      <c r="H2">
        <v>1461</v>
      </c>
      <c r="I2">
        <v>3820</v>
      </c>
      <c r="J2">
        <v>1171</v>
      </c>
      <c r="K2">
        <v>907</v>
      </c>
      <c r="L2">
        <v>6409</v>
      </c>
      <c r="M2">
        <v>4843</v>
      </c>
      <c r="N2">
        <v>7498</v>
      </c>
      <c r="O2">
        <v>9853</v>
      </c>
      <c r="P2">
        <v>2411</v>
      </c>
      <c r="Q2">
        <v>542</v>
      </c>
      <c r="R2">
        <v>66202</v>
      </c>
    </row>
    <row r="3" spans="1:18" x14ac:dyDescent="0.25">
      <c r="A3">
        <v>2001</v>
      </c>
      <c r="B3">
        <v>963</v>
      </c>
      <c r="C3">
        <v>12295</v>
      </c>
      <c r="D3">
        <v>570</v>
      </c>
      <c r="E3">
        <v>3327</v>
      </c>
      <c r="F3">
        <v>6558</v>
      </c>
      <c r="G3">
        <v>2558</v>
      </c>
      <c r="H3">
        <v>1611</v>
      </c>
      <c r="I3">
        <v>3755</v>
      </c>
      <c r="J3">
        <v>1231</v>
      </c>
      <c r="K3">
        <v>877</v>
      </c>
      <c r="L3">
        <v>7119</v>
      </c>
      <c r="M3">
        <v>3909</v>
      </c>
      <c r="N3">
        <v>8335</v>
      </c>
      <c r="O3">
        <v>10857</v>
      </c>
      <c r="P3">
        <v>2381</v>
      </c>
      <c r="Q3">
        <v>639</v>
      </c>
      <c r="R3">
        <v>66985</v>
      </c>
    </row>
    <row r="4" spans="1:18" x14ac:dyDescent="0.25">
      <c r="A4">
        <v>2002</v>
      </c>
      <c r="B4">
        <v>874</v>
      </c>
      <c r="C4">
        <v>12396</v>
      </c>
      <c r="D4">
        <v>660</v>
      </c>
      <c r="E4">
        <v>3422</v>
      </c>
      <c r="F4">
        <v>7126</v>
      </c>
      <c r="G4">
        <v>2474</v>
      </c>
      <c r="H4">
        <v>1688</v>
      </c>
      <c r="I4">
        <v>3145</v>
      </c>
      <c r="J4">
        <v>1310</v>
      </c>
      <c r="K4">
        <v>954</v>
      </c>
      <c r="L4">
        <v>6593</v>
      </c>
      <c r="M4">
        <v>5155</v>
      </c>
      <c r="N4">
        <v>8262</v>
      </c>
      <c r="O4">
        <v>11088</v>
      </c>
      <c r="P4">
        <v>2547</v>
      </c>
      <c r="Q4">
        <v>784</v>
      </c>
      <c r="R4">
        <v>68478</v>
      </c>
    </row>
    <row r="5" spans="1:18" x14ac:dyDescent="0.25">
      <c r="A5">
        <v>2003</v>
      </c>
      <c r="B5">
        <v>840</v>
      </c>
      <c r="C5">
        <v>11728</v>
      </c>
      <c r="D5">
        <v>754</v>
      </c>
      <c r="E5">
        <v>3509</v>
      </c>
      <c r="F5">
        <v>7144</v>
      </c>
      <c r="G5">
        <v>2375</v>
      </c>
      <c r="H5">
        <v>1603</v>
      </c>
      <c r="I5">
        <v>2979</v>
      </c>
      <c r="J5">
        <v>1283</v>
      </c>
      <c r="K5">
        <v>965</v>
      </c>
      <c r="L5">
        <v>6553</v>
      </c>
      <c r="M5">
        <v>4794</v>
      </c>
      <c r="N5">
        <v>8567</v>
      </c>
      <c r="O5">
        <v>11459</v>
      </c>
      <c r="P5">
        <v>2531</v>
      </c>
      <c r="Q5">
        <v>526</v>
      </c>
      <c r="R5">
        <v>67610</v>
      </c>
    </row>
    <row r="6" spans="1:18" x14ac:dyDescent="0.25">
      <c r="A6">
        <v>2004</v>
      </c>
      <c r="B6">
        <v>871</v>
      </c>
      <c r="C6">
        <v>11124</v>
      </c>
      <c r="D6">
        <v>777</v>
      </c>
      <c r="E6">
        <v>3477</v>
      </c>
      <c r="F6">
        <v>7335</v>
      </c>
      <c r="G6">
        <v>2508</v>
      </c>
      <c r="H6">
        <v>1687</v>
      </c>
      <c r="I6">
        <v>3003</v>
      </c>
      <c r="J6">
        <v>1200</v>
      </c>
      <c r="K6">
        <v>1055</v>
      </c>
      <c r="L6">
        <v>6701</v>
      </c>
      <c r="M6">
        <v>4909</v>
      </c>
      <c r="N6">
        <v>8451</v>
      </c>
      <c r="O6">
        <v>11585</v>
      </c>
      <c r="P6">
        <v>2743</v>
      </c>
      <c r="Q6">
        <v>401</v>
      </c>
      <c r="R6">
        <v>67827</v>
      </c>
    </row>
    <row r="7" spans="1:18" x14ac:dyDescent="0.25">
      <c r="A7">
        <v>2005</v>
      </c>
      <c r="B7">
        <v>880</v>
      </c>
      <c r="C7">
        <v>10558</v>
      </c>
      <c r="D7">
        <v>835</v>
      </c>
      <c r="E7">
        <v>3620</v>
      </c>
      <c r="F7">
        <v>7283</v>
      </c>
      <c r="G7">
        <v>2575</v>
      </c>
      <c r="H7">
        <v>1617</v>
      </c>
      <c r="I7">
        <v>3036</v>
      </c>
      <c r="J7">
        <v>1217</v>
      </c>
      <c r="K7">
        <v>991</v>
      </c>
      <c r="L7">
        <v>7304</v>
      </c>
      <c r="M7">
        <v>4546</v>
      </c>
      <c r="N7">
        <v>8330</v>
      </c>
      <c r="O7">
        <v>11962</v>
      </c>
      <c r="P7">
        <v>2815</v>
      </c>
      <c r="Q7">
        <v>333</v>
      </c>
      <c r="R7">
        <v>67902</v>
      </c>
    </row>
    <row r="8" spans="1:18" x14ac:dyDescent="0.25">
      <c r="A8">
        <v>2006</v>
      </c>
      <c r="B8">
        <v>874</v>
      </c>
      <c r="C8">
        <v>10252</v>
      </c>
      <c r="D8">
        <v>814</v>
      </c>
      <c r="E8">
        <v>3765</v>
      </c>
      <c r="F8">
        <v>7129</v>
      </c>
      <c r="G8">
        <v>2622</v>
      </c>
      <c r="H8">
        <v>1685</v>
      </c>
      <c r="I8">
        <v>3207</v>
      </c>
      <c r="J8">
        <v>1252</v>
      </c>
      <c r="K8">
        <v>1030</v>
      </c>
      <c r="L8">
        <v>8056</v>
      </c>
      <c r="M8">
        <v>4756</v>
      </c>
      <c r="N8">
        <v>8411</v>
      </c>
      <c r="O8">
        <v>12462</v>
      </c>
      <c r="P8">
        <v>2798</v>
      </c>
      <c r="Q8">
        <v>461</v>
      </c>
      <c r="R8">
        <v>69574</v>
      </c>
    </row>
    <row r="9" spans="1:18" x14ac:dyDescent="0.25">
      <c r="A9">
        <v>2007</v>
      </c>
      <c r="B9">
        <v>849</v>
      </c>
      <c r="C9">
        <v>10331</v>
      </c>
      <c r="D9">
        <v>786</v>
      </c>
      <c r="E9">
        <v>4108</v>
      </c>
      <c r="F9">
        <v>7251</v>
      </c>
      <c r="G9">
        <v>2709</v>
      </c>
      <c r="H9">
        <v>1823</v>
      </c>
      <c r="I9">
        <v>3519</v>
      </c>
      <c r="J9">
        <v>1258</v>
      </c>
      <c r="K9">
        <v>1075</v>
      </c>
      <c r="L9">
        <v>8680</v>
      </c>
      <c r="M9">
        <v>4522</v>
      </c>
      <c r="N9">
        <v>8419</v>
      </c>
      <c r="O9">
        <v>12485</v>
      </c>
      <c r="P9">
        <v>2925</v>
      </c>
      <c r="Q9">
        <v>540</v>
      </c>
      <c r="R9">
        <v>71280</v>
      </c>
    </row>
    <row r="10" spans="1:18" x14ac:dyDescent="0.25">
      <c r="A10">
        <v>2008</v>
      </c>
      <c r="B10">
        <v>845</v>
      </c>
      <c r="C10">
        <v>10161</v>
      </c>
      <c r="D10">
        <v>726</v>
      </c>
      <c r="E10">
        <v>4003</v>
      </c>
      <c r="F10">
        <v>7272</v>
      </c>
      <c r="G10">
        <v>2719</v>
      </c>
      <c r="H10">
        <v>1835</v>
      </c>
      <c r="I10">
        <v>3819</v>
      </c>
      <c r="J10">
        <v>1392</v>
      </c>
      <c r="K10">
        <v>1044</v>
      </c>
      <c r="L10">
        <v>9500</v>
      </c>
      <c r="M10">
        <v>4232</v>
      </c>
      <c r="N10">
        <v>8515</v>
      </c>
      <c r="O10">
        <v>12635</v>
      </c>
      <c r="P10">
        <v>2854</v>
      </c>
      <c r="Q10">
        <v>460</v>
      </c>
      <c r="R10">
        <v>72012</v>
      </c>
    </row>
    <row r="11" spans="1:18" x14ac:dyDescent="0.25">
      <c r="A11">
        <v>2009</v>
      </c>
      <c r="B11">
        <v>885</v>
      </c>
      <c r="C11">
        <v>9722</v>
      </c>
      <c r="D11">
        <v>745</v>
      </c>
      <c r="E11">
        <v>4090</v>
      </c>
      <c r="F11">
        <v>7064</v>
      </c>
      <c r="G11">
        <v>2623</v>
      </c>
      <c r="H11">
        <v>1864</v>
      </c>
      <c r="I11">
        <v>3856</v>
      </c>
      <c r="J11">
        <v>1394</v>
      </c>
      <c r="K11">
        <v>1048</v>
      </c>
      <c r="L11">
        <v>8865</v>
      </c>
      <c r="M11">
        <v>4044</v>
      </c>
      <c r="N11">
        <v>8952</v>
      </c>
      <c r="O11">
        <v>12678</v>
      </c>
      <c r="P11">
        <v>2826</v>
      </c>
      <c r="Q11">
        <v>433</v>
      </c>
      <c r="R11">
        <v>71089</v>
      </c>
    </row>
    <row r="12" spans="1:18" x14ac:dyDescent="0.25">
      <c r="A12">
        <v>2010</v>
      </c>
      <c r="B12">
        <v>928</v>
      </c>
      <c r="C12">
        <v>9682</v>
      </c>
      <c r="D12">
        <v>795</v>
      </c>
      <c r="E12">
        <v>4152</v>
      </c>
      <c r="F12">
        <v>7200</v>
      </c>
      <c r="G12">
        <v>2619</v>
      </c>
      <c r="H12">
        <v>2050</v>
      </c>
      <c r="I12">
        <v>3804</v>
      </c>
      <c r="J12">
        <v>1476</v>
      </c>
      <c r="K12">
        <v>1078</v>
      </c>
      <c r="L12">
        <v>9299</v>
      </c>
      <c r="M12">
        <v>4037</v>
      </c>
      <c r="N12">
        <v>9322</v>
      </c>
      <c r="O12">
        <v>12845</v>
      </c>
      <c r="P12">
        <v>2879</v>
      </c>
      <c r="Q12">
        <v>566</v>
      </c>
      <c r="R12">
        <v>72732</v>
      </c>
    </row>
    <row r="13" spans="1:18" x14ac:dyDescent="0.25">
      <c r="A13">
        <v>2011</v>
      </c>
      <c r="B13">
        <v>1075</v>
      </c>
      <c r="C13">
        <v>9563</v>
      </c>
      <c r="D13">
        <v>799</v>
      </c>
      <c r="E13">
        <v>4486</v>
      </c>
      <c r="F13">
        <v>7387</v>
      </c>
      <c r="G13">
        <v>2788</v>
      </c>
      <c r="H13">
        <v>2110</v>
      </c>
      <c r="I13">
        <v>3784</v>
      </c>
      <c r="J13">
        <v>1429</v>
      </c>
      <c r="K13">
        <v>1104</v>
      </c>
      <c r="L13">
        <v>9869</v>
      </c>
      <c r="M13">
        <v>4195</v>
      </c>
      <c r="N13">
        <v>9450</v>
      </c>
      <c r="O13">
        <v>12685</v>
      </c>
      <c r="P13">
        <v>2913</v>
      </c>
      <c r="Q13">
        <v>691</v>
      </c>
      <c r="R13">
        <v>74328</v>
      </c>
    </row>
    <row r="14" spans="1:18" x14ac:dyDescent="0.25">
      <c r="A14">
        <v>2012</v>
      </c>
      <c r="B14">
        <v>1123</v>
      </c>
      <c r="C14">
        <v>9725</v>
      </c>
      <c r="D14">
        <v>744</v>
      </c>
      <c r="E14">
        <v>4484</v>
      </c>
      <c r="F14">
        <v>7499</v>
      </c>
      <c r="G14">
        <v>2744</v>
      </c>
      <c r="H14">
        <v>2260</v>
      </c>
      <c r="I14">
        <v>3951</v>
      </c>
      <c r="J14">
        <v>1417</v>
      </c>
      <c r="K14">
        <v>1146</v>
      </c>
      <c r="L14">
        <v>10119</v>
      </c>
      <c r="M14">
        <v>4353</v>
      </c>
      <c r="N14">
        <v>9596</v>
      </c>
      <c r="O14">
        <v>13078</v>
      </c>
      <c r="P14">
        <v>2986</v>
      </c>
      <c r="Q14">
        <v>507</v>
      </c>
      <c r="R14">
        <v>75732</v>
      </c>
    </row>
    <row r="15" spans="1:18" x14ac:dyDescent="0.25">
      <c r="A15">
        <v>2013</v>
      </c>
      <c r="B15">
        <v>1122</v>
      </c>
      <c r="C15">
        <v>9844</v>
      </c>
      <c r="D15">
        <v>755</v>
      </c>
      <c r="E15">
        <v>4469</v>
      </c>
      <c r="F15">
        <v>7603</v>
      </c>
      <c r="G15">
        <v>2767</v>
      </c>
      <c r="H15">
        <v>2402</v>
      </c>
      <c r="I15">
        <v>4225</v>
      </c>
      <c r="J15">
        <v>1438</v>
      </c>
      <c r="K15">
        <v>1190</v>
      </c>
      <c r="L15">
        <v>10044</v>
      </c>
      <c r="M15">
        <v>4510</v>
      </c>
      <c r="N15">
        <v>9814</v>
      </c>
      <c r="O15">
        <v>13420</v>
      </c>
      <c r="P15">
        <v>3133</v>
      </c>
      <c r="Q15">
        <v>433</v>
      </c>
      <c r="R15">
        <v>77169</v>
      </c>
    </row>
    <row r="16" spans="1:18" x14ac:dyDescent="0.25">
      <c r="A16">
        <v>2014</v>
      </c>
      <c r="B16">
        <v>1103</v>
      </c>
      <c r="C16">
        <v>10021</v>
      </c>
      <c r="D16">
        <v>805</v>
      </c>
      <c r="E16">
        <v>4665</v>
      </c>
      <c r="F16">
        <v>7528</v>
      </c>
      <c r="G16">
        <v>3000</v>
      </c>
      <c r="H16">
        <v>2435</v>
      </c>
      <c r="I16">
        <v>4424</v>
      </c>
      <c r="J16">
        <v>1406</v>
      </c>
      <c r="K16">
        <v>1257</v>
      </c>
      <c r="L16">
        <v>10449</v>
      </c>
      <c r="M16">
        <v>4546</v>
      </c>
      <c r="N16">
        <v>10019</v>
      </c>
      <c r="O16">
        <v>13754</v>
      </c>
      <c r="P16">
        <v>3086</v>
      </c>
      <c r="Q16">
        <v>530</v>
      </c>
      <c r="R16">
        <v>79028</v>
      </c>
    </row>
    <row r="17" spans="1:18" x14ac:dyDescent="0.25">
      <c r="A17">
        <v>2015</v>
      </c>
      <c r="B17">
        <v>1121</v>
      </c>
      <c r="C17">
        <v>10247</v>
      </c>
      <c r="D17">
        <v>766</v>
      </c>
      <c r="E17">
        <v>4823</v>
      </c>
      <c r="F17">
        <v>7587</v>
      </c>
      <c r="G17">
        <v>2935</v>
      </c>
      <c r="H17">
        <v>2502</v>
      </c>
      <c r="I17">
        <v>4441</v>
      </c>
      <c r="J17">
        <v>1501</v>
      </c>
      <c r="K17">
        <v>1325</v>
      </c>
      <c r="L17">
        <v>10713</v>
      </c>
      <c r="M17">
        <v>5086</v>
      </c>
      <c r="N17">
        <v>10234</v>
      </c>
      <c r="O17">
        <v>14039</v>
      </c>
      <c r="P17">
        <v>3104</v>
      </c>
      <c r="Q17">
        <v>448</v>
      </c>
      <c r="R17">
        <v>80872</v>
      </c>
    </row>
    <row r="18" spans="1:18" x14ac:dyDescent="0.25">
      <c r="A18">
        <v>2016</v>
      </c>
      <c r="B18">
        <v>1091</v>
      </c>
      <c r="C18">
        <v>9380</v>
      </c>
      <c r="D18">
        <v>851</v>
      </c>
      <c r="E18">
        <v>5043</v>
      </c>
      <c r="F18">
        <v>7515</v>
      </c>
      <c r="G18">
        <v>2935</v>
      </c>
      <c r="H18">
        <v>2560</v>
      </c>
      <c r="I18">
        <v>5678</v>
      </c>
      <c r="J18">
        <v>1433</v>
      </c>
      <c r="K18">
        <v>1398</v>
      </c>
      <c r="L18">
        <v>11693</v>
      </c>
      <c r="M18">
        <v>4754</v>
      </c>
      <c r="N18">
        <v>10203</v>
      </c>
      <c r="O18">
        <v>14888</v>
      </c>
      <c r="P18">
        <v>3183</v>
      </c>
      <c r="Q18">
        <v>408</v>
      </c>
      <c r="R18">
        <v>83013</v>
      </c>
    </row>
    <row r="19" spans="1:18" x14ac:dyDescent="0.25">
      <c r="A19">
        <v>2017</v>
      </c>
      <c r="B19">
        <v>1112</v>
      </c>
      <c r="C19">
        <v>9624</v>
      </c>
      <c r="D19">
        <v>867</v>
      </c>
      <c r="E19">
        <v>5146</v>
      </c>
      <c r="F19">
        <v>7632</v>
      </c>
      <c r="G19">
        <v>2982</v>
      </c>
      <c r="H19">
        <v>2639</v>
      </c>
      <c r="I19">
        <v>5553</v>
      </c>
      <c r="J19">
        <v>1456</v>
      </c>
      <c r="K19">
        <v>1437</v>
      </c>
      <c r="L19">
        <v>11500</v>
      </c>
      <c r="M19">
        <v>5736</v>
      </c>
      <c r="N19">
        <v>10350</v>
      </c>
      <c r="O19">
        <v>14872</v>
      </c>
      <c r="P19">
        <v>3144</v>
      </c>
      <c r="Q19">
        <v>498</v>
      </c>
      <c r="R19">
        <v>84548</v>
      </c>
    </row>
    <row r="20" spans="1:18" x14ac:dyDescent="0.25">
      <c r="A20">
        <v>2018</v>
      </c>
      <c r="B20">
        <v>1077</v>
      </c>
      <c r="C20">
        <v>10063</v>
      </c>
      <c r="D20">
        <v>933</v>
      </c>
      <c r="E20">
        <v>5169</v>
      </c>
      <c r="F20">
        <v>7714</v>
      </c>
      <c r="G20">
        <v>3091</v>
      </c>
      <c r="H20">
        <v>2637</v>
      </c>
      <c r="I20">
        <v>5781</v>
      </c>
      <c r="J20">
        <v>1440</v>
      </c>
      <c r="K20">
        <v>1470</v>
      </c>
      <c r="L20">
        <v>11847</v>
      </c>
      <c r="M20">
        <v>6007</v>
      </c>
      <c r="N20">
        <v>10516</v>
      </c>
      <c r="O20">
        <v>14963</v>
      </c>
      <c r="P20">
        <v>3145</v>
      </c>
      <c r="Q20">
        <v>513</v>
      </c>
      <c r="R20">
        <v>86366</v>
      </c>
    </row>
    <row r="21" spans="1:18" x14ac:dyDescent="0.25">
      <c r="A21">
        <v>2019</v>
      </c>
      <c r="B21">
        <v>1170</v>
      </c>
      <c r="C21">
        <v>10320</v>
      </c>
      <c r="D21">
        <v>1009</v>
      </c>
      <c r="E21">
        <v>5207</v>
      </c>
      <c r="F21">
        <v>7884</v>
      </c>
      <c r="G21">
        <v>3116</v>
      </c>
      <c r="H21">
        <v>3155</v>
      </c>
      <c r="I21">
        <v>5806</v>
      </c>
      <c r="J21">
        <v>1454</v>
      </c>
      <c r="K21">
        <v>1558</v>
      </c>
      <c r="L21">
        <v>12492</v>
      </c>
      <c r="M21">
        <v>6517</v>
      </c>
      <c r="N21">
        <v>11031</v>
      </c>
      <c r="O21">
        <v>15658</v>
      </c>
      <c r="P21">
        <v>3356</v>
      </c>
      <c r="Q21">
        <v>423</v>
      </c>
      <c r="R21">
        <v>90156</v>
      </c>
    </row>
    <row r="22" spans="1:18" x14ac:dyDescent="0.25">
      <c r="A22">
        <v>2020</v>
      </c>
      <c r="B22">
        <v>1178</v>
      </c>
      <c r="C22">
        <v>10382</v>
      </c>
      <c r="D22">
        <v>1043</v>
      </c>
      <c r="E22">
        <v>5017</v>
      </c>
      <c r="F22">
        <v>7570</v>
      </c>
      <c r="G22">
        <v>3051</v>
      </c>
      <c r="H22">
        <v>2806</v>
      </c>
      <c r="I22">
        <v>5905</v>
      </c>
      <c r="J22">
        <v>1491</v>
      </c>
      <c r="K22">
        <v>1571</v>
      </c>
      <c r="L22">
        <v>12238</v>
      </c>
      <c r="M22">
        <v>6843</v>
      </c>
      <c r="N22">
        <v>11239</v>
      </c>
      <c r="O22">
        <v>15579</v>
      </c>
      <c r="P22">
        <v>3112</v>
      </c>
      <c r="Q22">
        <v>486</v>
      </c>
      <c r="R22">
        <v>89511</v>
      </c>
    </row>
    <row r="23" spans="1:18" x14ac:dyDescent="0.25">
      <c r="A23">
        <v>2021</v>
      </c>
      <c r="B23">
        <v>1157</v>
      </c>
      <c r="C23">
        <v>10422</v>
      </c>
      <c r="D23">
        <v>1048</v>
      </c>
      <c r="E23">
        <v>5059</v>
      </c>
      <c r="F23">
        <v>7712</v>
      </c>
      <c r="G23">
        <v>3178</v>
      </c>
      <c r="H23">
        <v>3015</v>
      </c>
      <c r="I23">
        <v>6414</v>
      </c>
      <c r="J23">
        <v>1490</v>
      </c>
      <c r="K23">
        <v>1894</v>
      </c>
      <c r="L23">
        <v>14839</v>
      </c>
      <c r="M23">
        <v>6527</v>
      </c>
      <c r="N23">
        <v>8791</v>
      </c>
      <c r="O23">
        <v>16404</v>
      </c>
      <c r="P23">
        <v>3187</v>
      </c>
      <c r="Q23">
        <v>421</v>
      </c>
      <c r="R23">
        <v>91558</v>
      </c>
    </row>
    <row r="24" spans="1:18" x14ac:dyDescent="0.25">
      <c r="A24">
        <v>2022</v>
      </c>
      <c r="B24">
        <v>1211</v>
      </c>
      <c r="C24">
        <v>10390</v>
      </c>
      <c r="D24">
        <v>1077</v>
      </c>
      <c r="E24">
        <v>5253</v>
      </c>
      <c r="F24">
        <v>7888</v>
      </c>
      <c r="G24">
        <v>3016</v>
      </c>
      <c r="H24">
        <v>3165</v>
      </c>
      <c r="I24">
        <v>6991</v>
      </c>
      <c r="J24">
        <v>1593</v>
      </c>
      <c r="K24">
        <v>1935</v>
      </c>
      <c r="L24">
        <v>15803</v>
      </c>
      <c r="M24">
        <v>6749</v>
      </c>
      <c r="N24">
        <v>8810</v>
      </c>
      <c r="O24">
        <v>16534</v>
      </c>
      <c r="P24">
        <v>3342</v>
      </c>
      <c r="Q24">
        <v>369</v>
      </c>
      <c r="R24">
        <v>94126</v>
      </c>
    </row>
    <row r="25" spans="1:18" x14ac:dyDescent="0.25">
      <c r="A25">
        <v>2023</v>
      </c>
      <c r="B25">
        <v>1260</v>
      </c>
      <c r="C25">
        <v>10736</v>
      </c>
      <c r="D25">
        <v>1174</v>
      </c>
      <c r="E25">
        <v>5082</v>
      </c>
      <c r="F25">
        <v>8013</v>
      </c>
      <c r="G25">
        <v>3006</v>
      </c>
      <c r="H25">
        <v>3315</v>
      </c>
      <c r="I25">
        <v>7360</v>
      </c>
      <c r="J25">
        <v>1640</v>
      </c>
      <c r="K25">
        <v>2017</v>
      </c>
      <c r="L25">
        <v>16084</v>
      </c>
      <c r="M25">
        <v>7039</v>
      </c>
      <c r="N25">
        <v>8474</v>
      </c>
      <c r="O25">
        <v>16837</v>
      </c>
      <c r="P25">
        <v>3264</v>
      </c>
      <c r="Q25">
        <v>391</v>
      </c>
      <c r="R25">
        <v>95692</v>
      </c>
    </row>
    <row r="26" spans="1:18" x14ac:dyDescent="0.25">
      <c r="A26">
        <v>2024</v>
      </c>
      <c r="B26">
        <v>1291</v>
      </c>
      <c r="C26">
        <v>11362</v>
      </c>
      <c r="D26">
        <v>1222</v>
      </c>
      <c r="E26">
        <v>4883</v>
      </c>
      <c r="F26">
        <v>7868</v>
      </c>
      <c r="G26">
        <v>3042</v>
      </c>
      <c r="H26">
        <v>3203</v>
      </c>
      <c r="I26">
        <v>7228</v>
      </c>
      <c r="J26">
        <v>1664</v>
      </c>
      <c r="K26">
        <v>1926</v>
      </c>
      <c r="L26">
        <v>15699</v>
      </c>
      <c r="M26">
        <v>7738</v>
      </c>
      <c r="N26">
        <v>8010</v>
      </c>
      <c r="O26">
        <v>16360</v>
      </c>
      <c r="P26">
        <v>3372</v>
      </c>
      <c r="Q26">
        <v>139</v>
      </c>
      <c r="R26">
        <v>95007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B4BC-0CD0-4B57-916A-0E4373DCD788}">
  <dimension ref="A1:R26"/>
  <sheetViews>
    <sheetView workbookViewId="0"/>
  </sheetViews>
  <sheetFormatPr defaultRowHeight="15" x14ac:dyDescent="0.25"/>
  <sheetData>
    <row r="1" spans="1:18" x14ac:dyDescent="0.25">
      <c r="A1" s="4" t="s">
        <v>6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44</v>
      </c>
      <c r="K1" s="4" t="s">
        <v>38</v>
      </c>
      <c r="L1" s="4" t="s">
        <v>39</v>
      </c>
      <c r="M1" s="4" t="s">
        <v>45</v>
      </c>
      <c r="N1" s="4" t="s">
        <v>40</v>
      </c>
      <c r="O1" s="4" t="s">
        <v>41</v>
      </c>
      <c r="P1" s="4" t="s">
        <v>46</v>
      </c>
      <c r="Q1" s="4" t="s">
        <v>42</v>
      </c>
      <c r="R1" s="4" t="s">
        <v>43</v>
      </c>
    </row>
    <row r="2" spans="1:18" x14ac:dyDescent="0.25">
      <c r="A2">
        <v>2000</v>
      </c>
      <c r="B2">
        <v>935</v>
      </c>
      <c r="C2">
        <v>12374</v>
      </c>
      <c r="D2">
        <v>454</v>
      </c>
      <c r="E2">
        <v>2678</v>
      </c>
      <c r="F2">
        <v>6162</v>
      </c>
      <c r="G2">
        <v>2458</v>
      </c>
      <c r="H2">
        <v>1496</v>
      </c>
      <c r="I2">
        <v>3303</v>
      </c>
      <c r="J2">
        <v>1098</v>
      </c>
      <c r="K2">
        <v>768</v>
      </c>
      <c r="L2">
        <v>5674</v>
      </c>
      <c r="M2">
        <v>4664</v>
      </c>
      <c r="N2">
        <v>7475</v>
      </c>
      <c r="O2">
        <v>8876</v>
      </c>
      <c r="P2">
        <v>2241</v>
      </c>
      <c r="Q2">
        <v>542</v>
      </c>
      <c r="R2">
        <v>61198</v>
      </c>
    </row>
    <row r="3" spans="1:18" x14ac:dyDescent="0.25">
      <c r="A3">
        <v>2001</v>
      </c>
      <c r="B3">
        <v>902</v>
      </c>
      <c r="C3">
        <v>11294</v>
      </c>
      <c r="D3">
        <v>469</v>
      </c>
      <c r="E3">
        <v>2818</v>
      </c>
      <c r="F3">
        <v>6203</v>
      </c>
      <c r="G3">
        <v>2450</v>
      </c>
      <c r="H3">
        <v>1548</v>
      </c>
      <c r="I3">
        <v>3360</v>
      </c>
      <c r="J3">
        <v>1133</v>
      </c>
      <c r="K3">
        <v>772</v>
      </c>
      <c r="L3">
        <v>6199</v>
      </c>
      <c r="M3">
        <v>3633</v>
      </c>
      <c r="N3">
        <v>8317</v>
      </c>
      <c r="O3">
        <v>9741</v>
      </c>
      <c r="P3">
        <v>2267</v>
      </c>
      <c r="Q3">
        <v>632</v>
      </c>
      <c r="R3">
        <v>61738</v>
      </c>
    </row>
    <row r="4" spans="1:18" x14ac:dyDescent="0.25">
      <c r="A4">
        <v>2002</v>
      </c>
      <c r="B4">
        <v>865</v>
      </c>
      <c r="C4">
        <v>11168</v>
      </c>
      <c r="D4">
        <v>520</v>
      </c>
      <c r="E4">
        <v>2817</v>
      </c>
      <c r="F4">
        <v>6686</v>
      </c>
      <c r="G4">
        <v>2388</v>
      </c>
      <c r="H4">
        <v>1590</v>
      </c>
      <c r="I4">
        <v>2837</v>
      </c>
      <c r="J4">
        <v>1198</v>
      </c>
      <c r="K4">
        <v>837</v>
      </c>
      <c r="L4">
        <v>6055</v>
      </c>
      <c r="M4">
        <v>4392</v>
      </c>
      <c r="N4">
        <v>8179</v>
      </c>
      <c r="O4">
        <v>9910</v>
      </c>
      <c r="P4">
        <v>2396</v>
      </c>
      <c r="Q4">
        <v>691</v>
      </c>
      <c r="R4">
        <v>62529</v>
      </c>
    </row>
    <row r="5" spans="1:18" x14ac:dyDescent="0.25">
      <c r="A5">
        <v>2003</v>
      </c>
      <c r="B5">
        <v>809</v>
      </c>
      <c r="C5">
        <v>10591</v>
      </c>
      <c r="D5">
        <v>572</v>
      </c>
      <c r="E5">
        <v>2793</v>
      </c>
      <c r="F5">
        <v>6725</v>
      </c>
      <c r="G5">
        <v>2297</v>
      </c>
      <c r="H5">
        <v>1566</v>
      </c>
      <c r="I5">
        <v>2635</v>
      </c>
      <c r="J5">
        <v>1185</v>
      </c>
      <c r="K5">
        <v>818</v>
      </c>
      <c r="L5">
        <v>5888</v>
      </c>
      <c r="M5">
        <v>4135</v>
      </c>
      <c r="N5">
        <v>8360</v>
      </c>
      <c r="O5">
        <v>10176</v>
      </c>
      <c r="P5">
        <v>2348</v>
      </c>
      <c r="Q5">
        <v>526</v>
      </c>
      <c r="R5">
        <v>61424</v>
      </c>
    </row>
    <row r="6" spans="1:18" x14ac:dyDescent="0.25">
      <c r="A6">
        <v>2004</v>
      </c>
      <c r="B6">
        <v>866</v>
      </c>
      <c r="C6">
        <v>10235</v>
      </c>
      <c r="D6">
        <v>615</v>
      </c>
      <c r="E6">
        <v>2853</v>
      </c>
      <c r="F6">
        <v>7000</v>
      </c>
      <c r="G6">
        <v>2348</v>
      </c>
      <c r="H6">
        <v>1651</v>
      </c>
      <c r="I6">
        <v>2650</v>
      </c>
      <c r="J6">
        <v>1106</v>
      </c>
      <c r="K6">
        <v>897</v>
      </c>
      <c r="L6">
        <v>6016</v>
      </c>
      <c r="M6">
        <v>4216</v>
      </c>
      <c r="N6">
        <v>8334</v>
      </c>
      <c r="O6">
        <v>10372</v>
      </c>
      <c r="P6">
        <v>2578</v>
      </c>
      <c r="Q6">
        <v>412</v>
      </c>
      <c r="R6">
        <v>62149</v>
      </c>
    </row>
    <row r="7" spans="1:18" x14ac:dyDescent="0.25">
      <c r="A7">
        <v>2005</v>
      </c>
      <c r="B7">
        <v>840</v>
      </c>
      <c r="C7">
        <v>9784</v>
      </c>
      <c r="D7">
        <v>629</v>
      </c>
      <c r="E7">
        <v>2940</v>
      </c>
      <c r="F7">
        <v>7010</v>
      </c>
      <c r="G7">
        <v>2429</v>
      </c>
      <c r="H7">
        <v>1614</v>
      </c>
      <c r="I7">
        <v>2733</v>
      </c>
      <c r="J7">
        <v>1129</v>
      </c>
      <c r="K7">
        <v>806</v>
      </c>
      <c r="L7">
        <v>6519</v>
      </c>
      <c r="M7">
        <v>4076</v>
      </c>
      <c r="N7">
        <v>8130</v>
      </c>
      <c r="O7">
        <v>10551</v>
      </c>
      <c r="P7">
        <v>2583</v>
      </c>
      <c r="Q7">
        <v>339</v>
      </c>
      <c r="R7">
        <v>62112</v>
      </c>
    </row>
    <row r="8" spans="1:18" x14ac:dyDescent="0.25">
      <c r="A8">
        <v>2006</v>
      </c>
      <c r="B8">
        <v>838</v>
      </c>
      <c r="C8">
        <v>9704</v>
      </c>
      <c r="D8">
        <v>637</v>
      </c>
      <c r="E8">
        <v>3070</v>
      </c>
      <c r="F8">
        <v>6938</v>
      </c>
      <c r="G8">
        <v>2421</v>
      </c>
      <c r="H8">
        <v>1652</v>
      </c>
      <c r="I8">
        <v>2851</v>
      </c>
      <c r="J8">
        <v>1121</v>
      </c>
      <c r="K8">
        <v>869</v>
      </c>
      <c r="L8">
        <v>7101</v>
      </c>
      <c r="M8">
        <v>4227</v>
      </c>
      <c r="N8">
        <v>8153</v>
      </c>
      <c r="O8">
        <v>10901</v>
      </c>
      <c r="P8">
        <v>2657</v>
      </c>
      <c r="Q8">
        <v>466</v>
      </c>
      <c r="R8">
        <v>63606</v>
      </c>
    </row>
    <row r="9" spans="1:18" x14ac:dyDescent="0.25">
      <c r="A9">
        <v>2007</v>
      </c>
      <c r="B9">
        <v>819</v>
      </c>
      <c r="C9">
        <v>9821</v>
      </c>
      <c r="D9">
        <v>635</v>
      </c>
      <c r="E9">
        <v>3324</v>
      </c>
      <c r="F9">
        <v>7076</v>
      </c>
      <c r="G9">
        <v>2487</v>
      </c>
      <c r="H9">
        <v>1840</v>
      </c>
      <c r="I9">
        <v>3146</v>
      </c>
      <c r="J9">
        <v>1185</v>
      </c>
      <c r="K9">
        <v>913</v>
      </c>
      <c r="L9">
        <v>7701</v>
      </c>
      <c r="M9">
        <v>4140</v>
      </c>
      <c r="N9">
        <v>8196</v>
      </c>
      <c r="O9">
        <v>10932</v>
      </c>
      <c r="P9">
        <v>2700</v>
      </c>
      <c r="Q9">
        <v>539</v>
      </c>
      <c r="R9">
        <v>65454</v>
      </c>
    </row>
    <row r="10" spans="1:18" x14ac:dyDescent="0.25">
      <c r="A10">
        <v>2008</v>
      </c>
      <c r="B10">
        <v>819</v>
      </c>
      <c r="C10">
        <v>9745</v>
      </c>
      <c r="D10">
        <v>629</v>
      </c>
      <c r="E10">
        <v>3286</v>
      </c>
      <c r="F10">
        <v>7056</v>
      </c>
      <c r="G10">
        <v>2469</v>
      </c>
      <c r="H10">
        <v>1853</v>
      </c>
      <c r="I10">
        <v>3363</v>
      </c>
      <c r="J10">
        <v>1253</v>
      </c>
      <c r="K10">
        <v>889</v>
      </c>
      <c r="L10">
        <v>8123</v>
      </c>
      <c r="M10">
        <v>3888</v>
      </c>
      <c r="N10">
        <v>8335</v>
      </c>
      <c r="O10">
        <v>10936</v>
      </c>
      <c r="P10">
        <v>2650</v>
      </c>
      <c r="Q10">
        <v>463</v>
      </c>
      <c r="R10">
        <v>65757</v>
      </c>
    </row>
    <row r="11" spans="1:18" x14ac:dyDescent="0.25">
      <c r="A11">
        <v>2009</v>
      </c>
      <c r="B11">
        <v>862</v>
      </c>
      <c r="C11">
        <v>9186</v>
      </c>
      <c r="D11">
        <v>637</v>
      </c>
      <c r="E11">
        <v>3266</v>
      </c>
      <c r="F11">
        <v>6824</v>
      </c>
      <c r="G11">
        <v>2344</v>
      </c>
      <c r="H11">
        <v>1876</v>
      </c>
      <c r="I11">
        <v>3402</v>
      </c>
      <c r="J11">
        <v>1227</v>
      </c>
      <c r="K11">
        <v>916</v>
      </c>
      <c r="L11">
        <v>7619</v>
      </c>
      <c r="M11">
        <v>3688</v>
      </c>
      <c r="N11">
        <v>8685</v>
      </c>
      <c r="O11">
        <v>10847</v>
      </c>
      <c r="P11">
        <v>2630</v>
      </c>
      <c r="Q11">
        <v>441</v>
      </c>
      <c r="R11">
        <v>64450</v>
      </c>
    </row>
    <row r="12" spans="1:18" x14ac:dyDescent="0.25">
      <c r="A12">
        <v>2010</v>
      </c>
      <c r="B12">
        <v>884</v>
      </c>
      <c r="C12">
        <v>9148</v>
      </c>
      <c r="D12">
        <v>680</v>
      </c>
      <c r="E12">
        <v>3399</v>
      </c>
      <c r="F12">
        <v>6956</v>
      </c>
      <c r="G12">
        <v>2403</v>
      </c>
      <c r="H12">
        <v>2056</v>
      </c>
      <c r="I12">
        <v>3413</v>
      </c>
      <c r="J12">
        <v>1256</v>
      </c>
      <c r="K12">
        <v>924</v>
      </c>
      <c r="L12">
        <v>8035</v>
      </c>
      <c r="M12">
        <v>3705</v>
      </c>
      <c r="N12">
        <v>8911</v>
      </c>
      <c r="O12">
        <v>11325</v>
      </c>
      <c r="P12">
        <v>2739</v>
      </c>
      <c r="Q12">
        <v>555</v>
      </c>
      <c r="R12">
        <v>66389</v>
      </c>
    </row>
    <row r="13" spans="1:18" x14ac:dyDescent="0.25">
      <c r="A13">
        <v>2011</v>
      </c>
      <c r="B13">
        <v>1034</v>
      </c>
      <c r="C13">
        <v>9181</v>
      </c>
      <c r="D13">
        <v>669</v>
      </c>
      <c r="E13">
        <v>3631</v>
      </c>
      <c r="F13">
        <v>7030</v>
      </c>
      <c r="G13">
        <v>2455</v>
      </c>
      <c r="H13">
        <v>2080</v>
      </c>
      <c r="I13">
        <v>3496</v>
      </c>
      <c r="J13">
        <v>1240</v>
      </c>
      <c r="K13">
        <v>952</v>
      </c>
      <c r="L13">
        <v>8307</v>
      </c>
      <c r="M13">
        <v>3874</v>
      </c>
      <c r="N13">
        <v>8900</v>
      </c>
      <c r="O13">
        <v>11425</v>
      </c>
      <c r="P13">
        <v>2753</v>
      </c>
      <c r="Q13">
        <v>658</v>
      </c>
      <c r="R13">
        <v>67685</v>
      </c>
    </row>
    <row r="14" spans="1:18" x14ac:dyDescent="0.25">
      <c r="A14">
        <v>2012</v>
      </c>
      <c r="B14">
        <v>1073</v>
      </c>
      <c r="C14">
        <v>9160</v>
      </c>
      <c r="D14">
        <v>631</v>
      </c>
      <c r="E14">
        <v>3645</v>
      </c>
      <c r="F14">
        <v>7131</v>
      </c>
      <c r="G14">
        <v>2546</v>
      </c>
      <c r="H14">
        <v>2204</v>
      </c>
      <c r="I14">
        <v>3617</v>
      </c>
      <c r="J14">
        <v>1225</v>
      </c>
      <c r="K14">
        <v>984</v>
      </c>
      <c r="L14">
        <v>8479</v>
      </c>
      <c r="M14">
        <v>3940</v>
      </c>
      <c r="N14">
        <v>9066</v>
      </c>
      <c r="O14">
        <v>11651</v>
      </c>
      <c r="P14">
        <v>2799</v>
      </c>
      <c r="Q14">
        <v>504</v>
      </c>
      <c r="R14">
        <v>68655</v>
      </c>
    </row>
    <row r="15" spans="1:18" x14ac:dyDescent="0.25">
      <c r="A15">
        <v>2013</v>
      </c>
      <c r="B15">
        <v>1091</v>
      </c>
      <c r="C15">
        <v>9205</v>
      </c>
      <c r="D15">
        <v>640</v>
      </c>
      <c r="E15">
        <v>3618</v>
      </c>
      <c r="F15">
        <v>7253</v>
      </c>
      <c r="G15">
        <v>2479</v>
      </c>
      <c r="H15">
        <v>2373</v>
      </c>
      <c r="I15">
        <v>3800</v>
      </c>
      <c r="J15">
        <v>1227</v>
      </c>
      <c r="K15">
        <v>1028</v>
      </c>
      <c r="L15">
        <v>8591</v>
      </c>
      <c r="M15">
        <v>4034</v>
      </c>
      <c r="N15">
        <v>9312</v>
      </c>
      <c r="O15">
        <v>11982</v>
      </c>
      <c r="P15">
        <v>2948</v>
      </c>
      <c r="Q15">
        <v>451</v>
      </c>
      <c r="R15">
        <v>70032</v>
      </c>
    </row>
    <row r="16" spans="1:18" x14ac:dyDescent="0.25">
      <c r="A16">
        <v>2014</v>
      </c>
      <c r="B16">
        <v>1090</v>
      </c>
      <c r="C16">
        <v>9233</v>
      </c>
      <c r="D16">
        <v>678</v>
      </c>
      <c r="E16">
        <v>3770</v>
      </c>
      <c r="F16">
        <v>7181</v>
      </c>
      <c r="G16">
        <v>2490</v>
      </c>
      <c r="H16">
        <v>2340</v>
      </c>
      <c r="I16">
        <v>3994</v>
      </c>
      <c r="J16">
        <v>1226</v>
      </c>
      <c r="K16">
        <v>1052</v>
      </c>
      <c r="L16">
        <v>8776</v>
      </c>
      <c r="M16">
        <v>4080</v>
      </c>
      <c r="N16">
        <v>9431</v>
      </c>
      <c r="O16">
        <v>12258</v>
      </c>
      <c r="P16">
        <v>2932</v>
      </c>
      <c r="Q16">
        <v>529</v>
      </c>
      <c r="R16">
        <v>71060</v>
      </c>
    </row>
    <row r="17" spans="1:18" x14ac:dyDescent="0.25">
      <c r="A17">
        <v>2015</v>
      </c>
      <c r="B17">
        <v>1090</v>
      </c>
      <c r="C17">
        <v>9446</v>
      </c>
      <c r="D17">
        <v>656</v>
      </c>
      <c r="E17">
        <v>3927</v>
      </c>
      <c r="F17">
        <v>7174</v>
      </c>
      <c r="G17">
        <v>2455</v>
      </c>
      <c r="H17">
        <v>2367</v>
      </c>
      <c r="I17">
        <v>3972</v>
      </c>
      <c r="J17">
        <v>1299</v>
      </c>
      <c r="K17">
        <v>1130</v>
      </c>
      <c r="L17">
        <v>8995</v>
      </c>
      <c r="M17">
        <v>4505</v>
      </c>
      <c r="N17">
        <v>9560</v>
      </c>
      <c r="O17">
        <v>12585</v>
      </c>
      <c r="P17">
        <v>2911</v>
      </c>
      <c r="Q17">
        <v>456</v>
      </c>
      <c r="R17">
        <v>72528</v>
      </c>
    </row>
    <row r="18" spans="1:18" x14ac:dyDescent="0.25">
      <c r="A18">
        <v>2016</v>
      </c>
      <c r="B18">
        <v>1044</v>
      </c>
      <c r="C18">
        <v>8819</v>
      </c>
      <c r="D18">
        <v>722</v>
      </c>
      <c r="E18">
        <v>4137</v>
      </c>
      <c r="F18">
        <v>7303</v>
      </c>
      <c r="G18">
        <v>2474</v>
      </c>
      <c r="H18">
        <v>2423</v>
      </c>
      <c r="I18">
        <v>4935</v>
      </c>
      <c r="J18">
        <v>1257</v>
      </c>
      <c r="K18">
        <v>1185</v>
      </c>
      <c r="L18">
        <v>9754</v>
      </c>
      <c r="M18">
        <v>4401</v>
      </c>
      <c r="N18">
        <v>9634</v>
      </c>
      <c r="O18">
        <v>13430</v>
      </c>
      <c r="P18">
        <v>3018</v>
      </c>
      <c r="Q18">
        <v>441</v>
      </c>
      <c r="R18">
        <v>74977</v>
      </c>
    </row>
    <row r="19" spans="1:18" x14ac:dyDescent="0.25">
      <c r="A19">
        <v>2017</v>
      </c>
      <c r="B19">
        <v>1026</v>
      </c>
      <c r="C19">
        <v>8988</v>
      </c>
      <c r="D19">
        <v>725</v>
      </c>
      <c r="E19">
        <v>4289</v>
      </c>
      <c r="F19">
        <v>7357</v>
      </c>
      <c r="G19">
        <v>2536</v>
      </c>
      <c r="H19">
        <v>2532</v>
      </c>
      <c r="I19">
        <v>4987</v>
      </c>
      <c r="J19">
        <v>1294</v>
      </c>
      <c r="K19">
        <v>1208</v>
      </c>
      <c r="L19">
        <v>9768</v>
      </c>
      <c r="M19">
        <v>5184</v>
      </c>
      <c r="N19">
        <v>9791</v>
      </c>
      <c r="O19">
        <v>13456</v>
      </c>
      <c r="P19">
        <v>2985</v>
      </c>
      <c r="Q19">
        <v>514</v>
      </c>
      <c r="R19">
        <v>76640</v>
      </c>
    </row>
    <row r="20" spans="1:18" x14ac:dyDescent="0.25">
      <c r="A20">
        <v>2018</v>
      </c>
      <c r="B20">
        <v>1000</v>
      </c>
      <c r="C20">
        <v>9357</v>
      </c>
      <c r="D20">
        <v>762</v>
      </c>
      <c r="E20">
        <v>4244</v>
      </c>
      <c r="F20">
        <v>7356</v>
      </c>
      <c r="G20">
        <v>2598</v>
      </c>
      <c r="H20">
        <v>2534</v>
      </c>
      <c r="I20">
        <v>5147</v>
      </c>
      <c r="J20">
        <v>1274</v>
      </c>
      <c r="K20">
        <v>1246</v>
      </c>
      <c r="L20">
        <v>10149</v>
      </c>
      <c r="M20">
        <v>5331</v>
      </c>
      <c r="N20">
        <v>9868</v>
      </c>
      <c r="O20">
        <v>13539</v>
      </c>
      <c r="P20">
        <v>2962</v>
      </c>
      <c r="Q20">
        <v>508</v>
      </c>
      <c r="R20">
        <v>77875</v>
      </c>
    </row>
    <row r="21" spans="1:18" x14ac:dyDescent="0.25">
      <c r="A21">
        <v>2019</v>
      </c>
      <c r="B21">
        <v>1052</v>
      </c>
      <c r="C21">
        <v>9427</v>
      </c>
      <c r="D21">
        <v>785</v>
      </c>
      <c r="E21">
        <v>4168</v>
      </c>
      <c r="F21">
        <v>7269</v>
      </c>
      <c r="G21">
        <v>2704</v>
      </c>
      <c r="H21">
        <v>2911</v>
      </c>
      <c r="I21">
        <v>5236</v>
      </c>
      <c r="J21">
        <v>1262</v>
      </c>
      <c r="K21">
        <v>1287</v>
      </c>
      <c r="L21">
        <v>10403</v>
      </c>
      <c r="M21">
        <v>5684</v>
      </c>
      <c r="N21">
        <v>10389</v>
      </c>
      <c r="O21">
        <v>13851</v>
      </c>
      <c r="P21">
        <v>3156</v>
      </c>
      <c r="Q21">
        <v>442</v>
      </c>
      <c r="R21">
        <v>80026</v>
      </c>
    </row>
    <row r="22" spans="1:18" x14ac:dyDescent="0.25">
      <c r="A22">
        <v>2020</v>
      </c>
      <c r="B22">
        <v>1078</v>
      </c>
      <c r="C22">
        <v>9483</v>
      </c>
      <c r="D22">
        <v>802</v>
      </c>
      <c r="E22">
        <v>4035</v>
      </c>
      <c r="F22">
        <v>7021</v>
      </c>
      <c r="G22">
        <v>2529</v>
      </c>
      <c r="H22">
        <v>2618</v>
      </c>
      <c r="I22">
        <v>5263</v>
      </c>
      <c r="J22">
        <v>1296</v>
      </c>
      <c r="K22">
        <v>1296</v>
      </c>
      <c r="L22">
        <v>10174</v>
      </c>
      <c r="M22">
        <v>6087</v>
      </c>
      <c r="N22">
        <v>10447</v>
      </c>
      <c r="O22">
        <v>13725</v>
      </c>
      <c r="P22">
        <v>2937</v>
      </c>
      <c r="Q22">
        <v>496</v>
      </c>
      <c r="R22">
        <v>79287</v>
      </c>
    </row>
    <row r="23" spans="1:18" x14ac:dyDescent="0.25">
      <c r="A23">
        <v>2021</v>
      </c>
      <c r="B23">
        <v>1080</v>
      </c>
      <c r="C23">
        <v>9580</v>
      </c>
      <c r="D23">
        <v>821</v>
      </c>
      <c r="E23">
        <v>4003</v>
      </c>
      <c r="F23">
        <v>7215</v>
      </c>
      <c r="G23">
        <v>2620</v>
      </c>
      <c r="H23">
        <v>2870</v>
      </c>
      <c r="I23">
        <v>5591</v>
      </c>
      <c r="J23">
        <v>1290</v>
      </c>
      <c r="K23">
        <v>1567</v>
      </c>
      <c r="L23">
        <v>12342</v>
      </c>
      <c r="M23">
        <v>5782</v>
      </c>
      <c r="N23">
        <v>8476</v>
      </c>
      <c r="O23">
        <v>14238</v>
      </c>
      <c r="P23">
        <v>3014</v>
      </c>
      <c r="Q23">
        <v>444</v>
      </c>
      <c r="R23">
        <v>80933</v>
      </c>
    </row>
    <row r="24" spans="1:18" x14ac:dyDescent="0.25">
      <c r="A24">
        <v>2022</v>
      </c>
      <c r="B24">
        <v>1133</v>
      </c>
      <c r="C24">
        <v>9768</v>
      </c>
      <c r="D24">
        <v>801</v>
      </c>
      <c r="E24">
        <v>4042</v>
      </c>
      <c r="F24">
        <v>7323</v>
      </c>
      <c r="G24">
        <v>2612</v>
      </c>
      <c r="H24">
        <v>3156</v>
      </c>
      <c r="I24">
        <v>5983</v>
      </c>
      <c r="J24">
        <v>1361</v>
      </c>
      <c r="K24">
        <v>1587</v>
      </c>
      <c r="L24">
        <v>12938</v>
      </c>
      <c r="M24">
        <v>6012</v>
      </c>
      <c r="N24">
        <v>8413</v>
      </c>
      <c r="O24">
        <v>14408</v>
      </c>
      <c r="P24">
        <v>3150</v>
      </c>
      <c r="Q24">
        <v>472</v>
      </c>
      <c r="R24">
        <v>83159</v>
      </c>
    </row>
    <row r="25" spans="1:18" x14ac:dyDescent="0.25">
      <c r="A25">
        <v>2023</v>
      </c>
      <c r="B25">
        <v>1143</v>
      </c>
      <c r="C25">
        <v>9909</v>
      </c>
      <c r="D25">
        <v>870</v>
      </c>
      <c r="E25">
        <v>3917</v>
      </c>
      <c r="F25">
        <v>7518</v>
      </c>
      <c r="G25">
        <v>2583</v>
      </c>
      <c r="H25">
        <v>3109</v>
      </c>
      <c r="I25">
        <v>6259</v>
      </c>
      <c r="J25">
        <v>1372</v>
      </c>
      <c r="K25">
        <v>1671</v>
      </c>
      <c r="L25">
        <v>13287</v>
      </c>
      <c r="M25">
        <v>6270</v>
      </c>
      <c r="N25">
        <v>8233</v>
      </c>
      <c r="O25">
        <v>14544</v>
      </c>
      <c r="P25">
        <v>3170</v>
      </c>
      <c r="Q25">
        <v>480</v>
      </c>
      <c r="R25">
        <v>84335</v>
      </c>
    </row>
    <row r="26" spans="1:18" x14ac:dyDescent="0.25">
      <c r="A26">
        <v>2024</v>
      </c>
      <c r="B26">
        <v>1159</v>
      </c>
      <c r="C26">
        <v>10357</v>
      </c>
      <c r="D26">
        <v>896</v>
      </c>
      <c r="E26">
        <v>3796</v>
      </c>
      <c r="F26">
        <v>7377</v>
      </c>
      <c r="G26">
        <v>2670</v>
      </c>
      <c r="H26">
        <v>3120</v>
      </c>
      <c r="I26">
        <v>6101</v>
      </c>
      <c r="J26">
        <v>1411</v>
      </c>
      <c r="K26">
        <v>1582</v>
      </c>
      <c r="L26">
        <v>13432</v>
      </c>
      <c r="M26">
        <v>6825</v>
      </c>
      <c r="N26">
        <v>7754</v>
      </c>
      <c r="O26">
        <v>14328</v>
      </c>
      <c r="P26">
        <v>3194</v>
      </c>
      <c r="Q26">
        <v>229</v>
      </c>
      <c r="R26">
        <v>84231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3C4A-D2A4-4C3D-A90E-84386BF93432}">
  <dimension ref="A1:D26"/>
  <sheetViews>
    <sheetView workbookViewId="0"/>
  </sheetViews>
  <sheetFormatPr defaultRowHeight="15" x14ac:dyDescent="0.25"/>
  <cols>
    <col min="2" max="2" width="23.28515625" bestFit="1" customWidth="1"/>
    <col min="3" max="3" width="40.5703125" bestFit="1" customWidth="1"/>
    <col min="4" max="4" width="23.140625" bestFit="1" customWidth="1"/>
  </cols>
  <sheetData>
    <row r="1" spans="1:4" x14ac:dyDescent="0.25">
      <c r="A1" s="4" t="s">
        <v>6</v>
      </c>
      <c r="B1" s="6" t="s">
        <v>156</v>
      </c>
      <c r="C1" s="6" t="s">
        <v>158</v>
      </c>
      <c r="D1" s="6" t="s">
        <v>157</v>
      </c>
    </row>
    <row r="2" spans="1:4" x14ac:dyDescent="0.25">
      <c r="A2">
        <v>2000</v>
      </c>
      <c r="B2">
        <v>5631</v>
      </c>
      <c r="C2">
        <v>3354</v>
      </c>
      <c r="D2">
        <v>669</v>
      </c>
    </row>
    <row r="3" spans="1:4" x14ac:dyDescent="0.25">
      <c r="A3">
        <v>2001</v>
      </c>
      <c r="B3">
        <v>5456</v>
      </c>
      <c r="C3">
        <v>3308</v>
      </c>
      <c r="D3">
        <v>721</v>
      </c>
    </row>
    <row r="4" spans="1:4" x14ac:dyDescent="0.25">
      <c r="A4">
        <v>2002</v>
      </c>
      <c r="B4">
        <v>5314</v>
      </c>
      <c r="C4">
        <v>2710</v>
      </c>
      <c r="D4">
        <v>754</v>
      </c>
    </row>
    <row r="5" spans="1:4" x14ac:dyDescent="0.25">
      <c r="A5">
        <v>2003</v>
      </c>
      <c r="B5">
        <v>5129</v>
      </c>
      <c r="C5">
        <v>2572</v>
      </c>
      <c r="D5">
        <v>740</v>
      </c>
    </row>
    <row r="6" spans="1:4" x14ac:dyDescent="0.25">
      <c r="A6">
        <v>2004</v>
      </c>
      <c r="B6">
        <v>4817</v>
      </c>
      <c r="C6">
        <v>2603</v>
      </c>
      <c r="D6">
        <v>725</v>
      </c>
    </row>
    <row r="7" spans="1:4" x14ac:dyDescent="0.25">
      <c r="A7">
        <v>2005</v>
      </c>
      <c r="B7">
        <v>4397</v>
      </c>
      <c r="C7">
        <v>2635</v>
      </c>
      <c r="D7">
        <v>588</v>
      </c>
    </row>
    <row r="8" spans="1:4" x14ac:dyDescent="0.25">
      <c r="A8">
        <v>2006</v>
      </c>
      <c r="B8">
        <v>4422</v>
      </c>
      <c r="C8">
        <v>2816</v>
      </c>
      <c r="D8">
        <v>700</v>
      </c>
    </row>
    <row r="9" spans="1:4" x14ac:dyDescent="0.25">
      <c r="A9">
        <v>2007</v>
      </c>
      <c r="B9">
        <v>4516</v>
      </c>
      <c r="C9">
        <f>3148-150</f>
        <v>2998</v>
      </c>
      <c r="D9">
        <v>626</v>
      </c>
    </row>
    <row r="10" spans="1:4" x14ac:dyDescent="0.25">
      <c r="A10">
        <v>2008</v>
      </c>
      <c r="B10">
        <v>4500</v>
      </c>
      <c r="C10">
        <v>2959</v>
      </c>
      <c r="D10">
        <v>631</v>
      </c>
    </row>
    <row r="11" spans="1:4" x14ac:dyDescent="0.25">
      <c r="A11">
        <v>2009</v>
      </c>
      <c r="B11">
        <v>4324</v>
      </c>
      <c r="C11">
        <v>2897</v>
      </c>
      <c r="D11">
        <v>587</v>
      </c>
    </row>
    <row r="12" spans="1:4" x14ac:dyDescent="0.25">
      <c r="A12">
        <v>2010</v>
      </c>
      <c r="B12">
        <v>4156</v>
      </c>
      <c r="C12">
        <v>2951</v>
      </c>
      <c r="D12">
        <v>595</v>
      </c>
    </row>
    <row r="13" spans="1:4" x14ac:dyDescent="0.25">
      <c r="A13">
        <v>2011</v>
      </c>
      <c r="B13">
        <v>4031</v>
      </c>
      <c r="C13">
        <v>2969</v>
      </c>
      <c r="D13">
        <v>620</v>
      </c>
    </row>
    <row r="14" spans="1:4" x14ac:dyDescent="0.25">
      <c r="A14">
        <v>2012</v>
      </c>
      <c r="B14">
        <v>4338</v>
      </c>
      <c r="C14">
        <v>3215</v>
      </c>
      <c r="D14">
        <v>613</v>
      </c>
    </row>
    <row r="15" spans="1:4" x14ac:dyDescent="0.25">
      <c r="A15">
        <v>2013</v>
      </c>
      <c r="B15">
        <v>4631</v>
      </c>
      <c r="C15">
        <v>3450</v>
      </c>
      <c r="D15">
        <v>639</v>
      </c>
    </row>
    <row r="16" spans="1:4" x14ac:dyDescent="0.25">
      <c r="A16">
        <v>2014</v>
      </c>
      <c r="B16">
        <v>4808</v>
      </c>
      <c r="C16">
        <v>3627</v>
      </c>
      <c r="D16">
        <v>676</v>
      </c>
    </row>
    <row r="17" spans="1:4" x14ac:dyDescent="0.25">
      <c r="A17">
        <v>2015</v>
      </c>
      <c r="B17">
        <v>4927</v>
      </c>
      <c r="C17">
        <v>3641</v>
      </c>
      <c r="D17">
        <v>674</v>
      </c>
    </row>
    <row r="18" spans="1:4" x14ac:dyDescent="0.25">
      <c r="A18">
        <v>2016</v>
      </c>
      <c r="B18">
        <v>5123</v>
      </c>
      <c r="C18">
        <v>4859</v>
      </c>
      <c r="D18">
        <v>604</v>
      </c>
    </row>
    <row r="19" spans="1:4" x14ac:dyDescent="0.25">
      <c r="A19">
        <v>2017</v>
      </c>
      <c r="B19">
        <v>5307</v>
      </c>
      <c r="C19">
        <v>4731</v>
      </c>
      <c r="D19">
        <v>623</v>
      </c>
    </row>
    <row r="20" spans="1:4" x14ac:dyDescent="0.25">
      <c r="A20">
        <v>2018</v>
      </c>
      <c r="B20">
        <v>5576</v>
      </c>
      <c r="C20">
        <v>4956</v>
      </c>
      <c r="D20">
        <v>531</v>
      </c>
    </row>
    <row r="21" spans="1:4" x14ac:dyDescent="0.25">
      <c r="A21">
        <v>2019</v>
      </c>
      <c r="B21">
        <v>5828</v>
      </c>
      <c r="C21">
        <v>5065</v>
      </c>
      <c r="D21">
        <v>520</v>
      </c>
    </row>
    <row r="22" spans="1:4" x14ac:dyDescent="0.25">
      <c r="A22">
        <v>2020</v>
      </c>
      <c r="B22">
        <v>5728</v>
      </c>
      <c r="C22">
        <v>5086</v>
      </c>
      <c r="D22">
        <v>574</v>
      </c>
    </row>
    <row r="23" spans="1:4" x14ac:dyDescent="0.25">
      <c r="A23">
        <v>2021</v>
      </c>
      <c r="B23">
        <v>5613</v>
      </c>
      <c r="C23">
        <v>5520</v>
      </c>
      <c r="D23">
        <v>3005</v>
      </c>
    </row>
    <row r="24" spans="1:4" x14ac:dyDescent="0.25">
      <c r="A24">
        <v>2022</v>
      </c>
      <c r="B24">
        <v>5471</v>
      </c>
      <c r="C24">
        <v>6125</v>
      </c>
      <c r="D24">
        <v>3181</v>
      </c>
    </row>
    <row r="25" spans="1:4" x14ac:dyDescent="0.25">
      <c r="A25">
        <v>2023</v>
      </c>
      <c r="B25">
        <v>5781</v>
      </c>
      <c r="C25">
        <v>6418</v>
      </c>
      <c r="D25">
        <v>3341</v>
      </c>
    </row>
    <row r="26" spans="1:4" x14ac:dyDescent="0.25">
      <c r="A26">
        <v>2024</v>
      </c>
      <c r="B26">
        <v>6222</v>
      </c>
      <c r="C26">
        <v>6312</v>
      </c>
      <c r="D26">
        <v>3495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069B-2803-4D20-A044-B06E0B29BFD8}">
  <dimension ref="A1:Q121"/>
  <sheetViews>
    <sheetView workbookViewId="0"/>
  </sheetViews>
  <sheetFormatPr defaultRowHeight="15" x14ac:dyDescent="0.25"/>
  <cols>
    <col min="3" max="14" width="9" customWidth="1"/>
    <col min="15" max="15" width="13.7109375" bestFit="1" customWidth="1"/>
    <col min="16" max="16" width="13.7109375" style="2" bestFit="1" customWidth="1"/>
    <col min="17" max="17" width="13.7109375" bestFit="1" customWidth="1"/>
  </cols>
  <sheetData>
    <row r="1" spans="1:17" x14ac:dyDescent="0.25">
      <c r="A1" s="4" t="s">
        <v>22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</row>
    <row r="2" spans="1:17" x14ac:dyDescent="0.25">
      <c r="A2" t="s">
        <v>0</v>
      </c>
      <c r="B2">
        <v>1985</v>
      </c>
      <c r="C2" s="3">
        <v>39.481897627965047</v>
      </c>
      <c r="D2" s="3">
        <v>71.408075425292068</v>
      </c>
      <c r="E2" s="3">
        <v>84.476230542700876</v>
      </c>
      <c r="F2" s="3">
        <v>90.785463071512311</v>
      </c>
      <c r="G2" s="3">
        <v>93.567508232711305</v>
      </c>
      <c r="H2" s="3">
        <v>94.216281895504252</v>
      </c>
      <c r="I2" s="3">
        <v>94.711246200607903</v>
      </c>
      <c r="J2" s="3">
        <v>92.734159779614316</v>
      </c>
      <c r="K2" s="3">
        <v>89.894521946240218</v>
      </c>
      <c r="L2" s="3">
        <v>71.234647705235943</v>
      </c>
      <c r="M2" s="3">
        <v>19.907735982966642</v>
      </c>
      <c r="N2" s="3">
        <v>7.7378243058716434</v>
      </c>
      <c r="O2" s="3">
        <v>74.771004789138416</v>
      </c>
      <c r="P2" s="3">
        <v>86.696364420175314</v>
      </c>
      <c r="Q2" s="3">
        <v>90.08027978698037</v>
      </c>
    </row>
    <row r="3" spans="1:17" x14ac:dyDescent="0.25">
      <c r="A3" t="s">
        <v>0</v>
      </c>
      <c r="B3">
        <v>1986</v>
      </c>
      <c r="C3" s="3">
        <v>39.480198019801982</v>
      </c>
      <c r="D3" s="3">
        <v>71.937462893330689</v>
      </c>
      <c r="E3" s="3">
        <v>84.312486839334596</v>
      </c>
      <c r="F3" s="3">
        <v>90.379804412099162</v>
      </c>
      <c r="G3" s="3">
        <v>93.418355727624686</v>
      </c>
      <c r="H3" s="3">
        <v>94.187880153187649</v>
      </c>
      <c r="I3" s="3">
        <v>94.524669073405533</v>
      </c>
      <c r="J3" s="3">
        <v>92.399049881235157</v>
      </c>
      <c r="K3" s="3">
        <v>90.201528839471862</v>
      </c>
      <c r="L3" s="3">
        <v>73.110893032384695</v>
      </c>
      <c r="M3" s="3">
        <v>15.944055944055943</v>
      </c>
      <c r="N3" s="3">
        <v>6.5018315018315027</v>
      </c>
      <c r="O3" s="3">
        <v>74.615614442324926</v>
      </c>
      <c r="P3" s="3">
        <v>86.822761458776782</v>
      </c>
      <c r="Q3" s="3">
        <v>90.248889238391058</v>
      </c>
    </row>
    <row r="4" spans="1:17" x14ac:dyDescent="0.25">
      <c r="A4" t="s">
        <v>0</v>
      </c>
      <c r="B4">
        <v>1987</v>
      </c>
      <c r="C4" s="3">
        <v>36.366430986781431</v>
      </c>
      <c r="D4" s="3">
        <v>71.694455215199696</v>
      </c>
      <c r="E4" s="3">
        <v>82.924785250366654</v>
      </c>
      <c r="F4" s="3">
        <v>90.050435580009164</v>
      </c>
      <c r="G4" s="3">
        <v>92.568659127625196</v>
      </c>
      <c r="H4" s="3">
        <v>94.028540065861691</v>
      </c>
      <c r="I4" s="3">
        <v>93.760732684602175</v>
      </c>
      <c r="J4" s="3">
        <v>92.928286852589636</v>
      </c>
      <c r="K4" s="3">
        <v>90.099361249112846</v>
      </c>
      <c r="L4" s="3">
        <v>73.30452127659575</v>
      </c>
      <c r="M4" s="3">
        <v>15.268743580965422</v>
      </c>
      <c r="N4" s="3">
        <v>6.8618481244281799</v>
      </c>
      <c r="O4" s="3">
        <v>74.02274747566841</v>
      </c>
      <c r="P4" s="3">
        <v>86.438768901529016</v>
      </c>
      <c r="Q4" s="3">
        <v>90.067234774450782</v>
      </c>
    </row>
    <row r="5" spans="1:17" x14ac:dyDescent="0.25">
      <c r="A5" t="s">
        <v>0</v>
      </c>
      <c r="B5">
        <v>1988</v>
      </c>
      <c r="C5" s="3">
        <v>39.392097264437695</v>
      </c>
      <c r="D5" s="3">
        <v>73.444227005870843</v>
      </c>
      <c r="E5" s="3">
        <v>83.883534960016405</v>
      </c>
      <c r="F5" s="3">
        <v>89.624573378839585</v>
      </c>
      <c r="G5" s="3">
        <v>92.39284032030146</v>
      </c>
      <c r="H5" s="3">
        <v>93.204310534418298</v>
      </c>
      <c r="I5" s="3">
        <v>93.086554164398478</v>
      </c>
      <c r="J5" s="3">
        <v>92.385620915032689</v>
      </c>
      <c r="K5" s="3">
        <v>89.81481481481481</v>
      </c>
      <c r="L5" s="3">
        <v>72.978576364892874</v>
      </c>
      <c r="M5" s="3">
        <v>17.014824797843666</v>
      </c>
      <c r="N5" s="3">
        <v>7.9911699779249448</v>
      </c>
      <c r="O5" s="3">
        <v>74.334979834141478</v>
      </c>
      <c r="P5" s="3">
        <v>86.560332481536605</v>
      </c>
      <c r="Q5" s="3">
        <v>89.685451139556676</v>
      </c>
    </row>
    <row r="6" spans="1:17" x14ac:dyDescent="0.25">
      <c r="A6" t="s">
        <v>0</v>
      </c>
      <c r="B6">
        <v>1989</v>
      </c>
      <c r="C6" s="3">
        <v>39.440433212996389</v>
      </c>
      <c r="D6" s="3">
        <v>73.568111455108351</v>
      </c>
      <c r="E6" s="3">
        <v>84.801719085758947</v>
      </c>
      <c r="F6" s="3">
        <v>89.376801951652254</v>
      </c>
      <c r="G6" s="3">
        <v>92.05697730564944</v>
      </c>
      <c r="H6" s="3">
        <v>93.190360380278577</v>
      </c>
      <c r="I6" s="3">
        <v>92.778206116679513</v>
      </c>
      <c r="J6" s="3">
        <v>91.872232764073374</v>
      </c>
      <c r="K6" s="3">
        <v>89.228581585495917</v>
      </c>
      <c r="L6" s="3">
        <v>73.484579936192844</v>
      </c>
      <c r="M6" s="3">
        <v>15.857385398981325</v>
      </c>
      <c r="N6" s="3">
        <v>7.2532188841201712</v>
      </c>
      <c r="O6" s="3">
        <v>74.297718282789901</v>
      </c>
      <c r="P6" s="3">
        <v>86.585703220095169</v>
      </c>
      <c r="Q6" s="3">
        <v>89.540234329685632</v>
      </c>
    </row>
    <row r="7" spans="1:17" x14ac:dyDescent="0.25">
      <c r="A7" t="s">
        <v>0</v>
      </c>
      <c r="B7">
        <v>1990</v>
      </c>
      <c r="C7" s="3">
        <v>37.708333333333336</v>
      </c>
      <c r="D7" s="3">
        <v>71.291053227633071</v>
      </c>
      <c r="E7" s="3">
        <v>83.090001848087226</v>
      </c>
      <c r="F7" s="3">
        <v>88.790820829655786</v>
      </c>
      <c r="G7" s="3">
        <v>91.532741664667782</v>
      </c>
      <c r="H7" s="3">
        <v>92.635832959137858</v>
      </c>
      <c r="I7" s="3">
        <v>92.356687898089177</v>
      </c>
      <c r="J7" s="3">
        <v>91.661538461538456</v>
      </c>
      <c r="K7" s="3">
        <v>88.940256045519206</v>
      </c>
      <c r="L7" s="3">
        <v>73.720259552992076</v>
      </c>
      <c r="M7" s="3">
        <v>18.159466104671584</v>
      </c>
      <c r="N7" s="3">
        <v>7.3632250102838332</v>
      </c>
      <c r="O7" s="3">
        <v>73.749449581682086</v>
      </c>
      <c r="P7" s="3">
        <v>85.732151595889292</v>
      </c>
      <c r="Q7" s="3">
        <v>89.214896636367129</v>
      </c>
    </row>
    <row r="8" spans="1:17" x14ac:dyDescent="0.25">
      <c r="A8" t="s">
        <v>0</v>
      </c>
      <c r="B8">
        <v>1991</v>
      </c>
      <c r="C8" s="3">
        <v>29.787888103289273</v>
      </c>
      <c r="D8" s="3">
        <v>62.968248305387085</v>
      </c>
      <c r="E8" s="3">
        <v>78.74739764052741</v>
      </c>
      <c r="F8" s="3">
        <v>87.139107611548567</v>
      </c>
      <c r="G8" s="3">
        <v>89.054842473745623</v>
      </c>
      <c r="H8" s="3">
        <v>91.953757225433534</v>
      </c>
      <c r="I8" s="3">
        <v>91.960604672469088</v>
      </c>
      <c r="J8" s="3">
        <v>91.022900763358777</v>
      </c>
      <c r="K8" s="3">
        <v>88.367203924316755</v>
      </c>
      <c r="L8" s="3">
        <v>72.949002217294904</v>
      </c>
      <c r="M8" s="3">
        <v>17.503586800573888</v>
      </c>
      <c r="N8" s="3">
        <v>5.7699960206923997</v>
      </c>
      <c r="O8" s="3">
        <v>71.133953829874528</v>
      </c>
      <c r="P8" s="3">
        <v>83.007972876327713</v>
      </c>
      <c r="Q8" s="3">
        <v>88.196945002463707</v>
      </c>
    </row>
    <row r="9" spans="1:17" x14ac:dyDescent="0.25">
      <c r="A9" t="s">
        <v>0</v>
      </c>
      <c r="B9">
        <v>1992</v>
      </c>
      <c r="C9" s="3">
        <v>16.844751728472659</v>
      </c>
      <c r="D9" s="3">
        <v>50.716629252288037</v>
      </c>
      <c r="E9" s="3">
        <v>73.130462932988024</v>
      </c>
      <c r="F9" s="3">
        <v>82.097571459273581</v>
      </c>
      <c r="G9" s="3">
        <v>86.276767211604877</v>
      </c>
      <c r="H9" s="3">
        <v>89.498469507887918</v>
      </c>
      <c r="I9" s="3">
        <v>90.516662938939831</v>
      </c>
      <c r="J9" s="3">
        <v>89.658194566170025</v>
      </c>
      <c r="K9" s="3">
        <v>86.337109509097161</v>
      </c>
      <c r="L9" s="3">
        <v>65.668813944676018</v>
      </c>
      <c r="M9" s="3">
        <v>13.119533527696792</v>
      </c>
      <c r="N9" s="3">
        <v>4.3410852713178292</v>
      </c>
      <c r="O9" s="3">
        <v>66.141548638792301</v>
      </c>
      <c r="P9" s="3">
        <v>78.087329918774898</v>
      </c>
      <c r="Q9" s="3">
        <v>85.173667053842408</v>
      </c>
    </row>
    <row r="10" spans="1:17" x14ac:dyDescent="0.25">
      <c r="A10" t="s">
        <v>0</v>
      </c>
      <c r="B10">
        <v>1993</v>
      </c>
      <c r="C10" s="3">
        <v>10.636335690132185</v>
      </c>
      <c r="D10" s="3">
        <v>37.301717089125106</v>
      </c>
      <c r="E10" s="3">
        <v>63.928628837807423</v>
      </c>
      <c r="F10" s="3">
        <v>75.546305931321541</v>
      </c>
      <c r="G10" s="3">
        <v>80.437725631768956</v>
      </c>
      <c r="H10" s="3">
        <v>84.307692307692307</v>
      </c>
      <c r="I10" s="3">
        <v>86.545293072824165</v>
      </c>
      <c r="J10" s="3">
        <v>84.865315190224933</v>
      </c>
      <c r="K10" s="3">
        <v>82.494085839810751</v>
      </c>
      <c r="L10" s="3">
        <v>53.041825095057035</v>
      </c>
      <c r="M10" s="3">
        <v>15.489233094068759</v>
      </c>
      <c r="N10" s="3">
        <v>9.4216775181922632</v>
      </c>
      <c r="O10" s="3">
        <v>60.010832656292315</v>
      </c>
      <c r="P10" s="3">
        <v>70.406664640939937</v>
      </c>
      <c r="Q10" s="3">
        <v>79.345264398291349</v>
      </c>
    </row>
    <row r="11" spans="1:17" x14ac:dyDescent="0.25">
      <c r="A11" t="s">
        <v>0</v>
      </c>
      <c r="B11">
        <v>1994</v>
      </c>
      <c r="C11" s="3">
        <v>12.030312598673824</v>
      </c>
      <c r="D11" s="3">
        <v>38.141809290953546</v>
      </c>
      <c r="E11" s="3">
        <v>66.589899654548447</v>
      </c>
      <c r="F11" s="3">
        <v>77.629747464704707</v>
      </c>
      <c r="G11" s="3">
        <v>81.04749223257879</v>
      </c>
      <c r="H11" s="3">
        <v>84.908829174664106</v>
      </c>
      <c r="I11" s="3">
        <v>86.642920747996442</v>
      </c>
      <c r="J11" s="3">
        <v>86.569114188659526</v>
      </c>
      <c r="K11" s="3">
        <v>80.078636959370911</v>
      </c>
      <c r="L11" s="3">
        <v>54.960091220068421</v>
      </c>
      <c r="M11" s="3">
        <v>14.884615384615385</v>
      </c>
      <c r="N11" s="3">
        <v>8.6501163692785106</v>
      </c>
      <c r="O11" s="3">
        <v>61.070819550880358</v>
      </c>
      <c r="P11" s="3">
        <v>71.250743900019842</v>
      </c>
      <c r="Q11" s="3">
        <v>80.09384587619563</v>
      </c>
    </row>
    <row r="12" spans="1:17" x14ac:dyDescent="0.25">
      <c r="A12" t="s">
        <v>0</v>
      </c>
      <c r="B12">
        <v>1995</v>
      </c>
      <c r="C12" s="3">
        <v>12.616372391653291</v>
      </c>
      <c r="D12" s="3">
        <v>36.249073387694587</v>
      </c>
      <c r="E12" s="3">
        <v>68.205394190871374</v>
      </c>
      <c r="F12" s="3">
        <v>78.727901614142965</v>
      </c>
      <c r="G12" s="3">
        <v>81.358189081225035</v>
      </c>
      <c r="H12" s="3">
        <v>84.258156703977136</v>
      </c>
      <c r="I12" s="3">
        <v>86.301989150090421</v>
      </c>
      <c r="J12" s="3">
        <v>86.613585469022141</v>
      </c>
      <c r="K12" s="3">
        <v>79.853128991060032</v>
      </c>
      <c r="L12" s="3">
        <v>54.248120300751879</v>
      </c>
      <c r="M12" s="3">
        <v>18.259851736246585</v>
      </c>
      <c r="N12" s="3">
        <v>8.3941605839416056</v>
      </c>
      <c r="O12" s="3">
        <v>61.458098613188028</v>
      </c>
      <c r="P12" s="3">
        <v>71.138101443217863</v>
      </c>
      <c r="Q12" s="3">
        <v>80.102330869812391</v>
      </c>
    </row>
    <row r="13" spans="1:17" x14ac:dyDescent="0.25">
      <c r="A13" t="s">
        <v>0</v>
      </c>
      <c r="B13">
        <v>1996</v>
      </c>
      <c r="C13" s="3">
        <v>10.699186991869919</v>
      </c>
      <c r="D13" s="3">
        <v>34.697193500738557</v>
      </c>
      <c r="E13" s="3">
        <v>68.827800829875514</v>
      </c>
      <c r="F13" s="3">
        <v>79.032258064516128</v>
      </c>
      <c r="G13" s="3">
        <v>80.84964412811388</v>
      </c>
      <c r="H13" s="3">
        <v>83.864915572232647</v>
      </c>
      <c r="I13" s="3">
        <v>85.104408352668216</v>
      </c>
      <c r="J13" s="3">
        <v>86.141621874269688</v>
      </c>
      <c r="K13" s="3">
        <v>80.298223350253807</v>
      </c>
      <c r="L13" s="3">
        <v>57.041728763040233</v>
      </c>
      <c r="M13" s="3">
        <v>17.844166330238192</v>
      </c>
      <c r="N13" s="3">
        <v>6.25</v>
      </c>
      <c r="O13" s="3">
        <v>61.30265067135354</v>
      </c>
      <c r="P13" s="3">
        <v>71.001538574254525</v>
      </c>
      <c r="Q13" s="3">
        <v>80.100729052935577</v>
      </c>
    </row>
    <row r="14" spans="1:17" x14ac:dyDescent="0.25">
      <c r="A14" t="s">
        <v>0</v>
      </c>
      <c r="B14">
        <v>1997</v>
      </c>
      <c r="C14" s="3">
        <v>9.860557768924302</v>
      </c>
      <c r="D14" s="3">
        <v>36.314606741573037</v>
      </c>
      <c r="E14" s="3">
        <v>68.237954426856845</v>
      </c>
      <c r="F14" s="3">
        <v>79.644859813084111</v>
      </c>
      <c r="G14" s="3">
        <v>80.665926748057714</v>
      </c>
      <c r="H14" s="3">
        <v>83.736212156770705</v>
      </c>
      <c r="I14" s="3">
        <v>84.962049335863384</v>
      </c>
      <c r="J14" s="3">
        <v>85.028441410693972</v>
      </c>
      <c r="K14" s="3">
        <v>80.952380952380949</v>
      </c>
      <c r="L14" s="3">
        <v>55.982752425440175</v>
      </c>
      <c r="M14" s="3">
        <v>18.529289572081428</v>
      </c>
      <c r="N14" s="3">
        <v>6.7867616254713035</v>
      </c>
      <c r="O14" s="3">
        <v>61.710545098599013</v>
      </c>
      <c r="P14" s="3">
        <v>71.19885523028789</v>
      </c>
      <c r="Q14" s="3">
        <v>79.872947547471099</v>
      </c>
    </row>
    <row r="15" spans="1:17" x14ac:dyDescent="0.25">
      <c r="A15" t="s">
        <v>0</v>
      </c>
      <c r="B15">
        <v>1998</v>
      </c>
      <c r="C15" s="3">
        <v>12.86607436656795</v>
      </c>
      <c r="D15" s="3">
        <v>40.763452399202819</v>
      </c>
      <c r="E15" s="3">
        <v>70.732556116234562</v>
      </c>
      <c r="F15" s="3">
        <v>82.053231939163496</v>
      </c>
      <c r="G15" s="3">
        <v>82.76779773785762</v>
      </c>
      <c r="H15" s="3">
        <v>84.38445427042123</v>
      </c>
      <c r="I15" s="3">
        <v>85.621387283236999</v>
      </c>
      <c r="J15" s="3">
        <v>85.191046800813936</v>
      </c>
      <c r="K15" s="3">
        <v>81.605544325729142</v>
      </c>
      <c r="L15" s="3">
        <v>57.015985790408529</v>
      </c>
      <c r="M15" s="3">
        <v>21.046128500823723</v>
      </c>
      <c r="N15" s="3">
        <v>8.4572885677858043</v>
      </c>
      <c r="O15" s="3">
        <v>63.769919810647025</v>
      </c>
      <c r="P15" s="3">
        <v>73.204010779577061</v>
      </c>
      <c r="Q15" s="3">
        <v>81.01248314257063</v>
      </c>
    </row>
    <row r="16" spans="1:17" x14ac:dyDescent="0.25">
      <c r="A16" t="s">
        <v>0</v>
      </c>
      <c r="B16">
        <v>1999</v>
      </c>
      <c r="C16" s="3">
        <v>14.57319052255761</v>
      </c>
      <c r="D16" s="3">
        <v>40.908376551940904</v>
      </c>
      <c r="E16" s="3">
        <v>73.378723404255325</v>
      </c>
      <c r="F16" s="3">
        <v>83.880308880308888</v>
      </c>
      <c r="G16" s="3">
        <v>84.110943883035901</v>
      </c>
      <c r="H16" s="3">
        <v>85.40851553509782</v>
      </c>
      <c r="I16" s="3">
        <v>86.152712987969565</v>
      </c>
      <c r="J16" s="3">
        <v>85.763020241073463</v>
      </c>
      <c r="K16" s="3">
        <v>81.188925081433226</v>
      </c>
      <c r="L16" s="3">
        <v>57.545548298384318</v>
      </c>
      <c r="M16" s="3">
        <v>15.460934270359653</v>
      </c>
      <c r="N16" s="3">
        <v>3.867640739149119</v>
      </c>
      <c r="O16" s="3">
        <v>64.376115528151871</v>
      </c>
      <c r="P16" s="3">
        <v>74.323118836945781</v>
      </c>
      <c r="Q16" s="3">
        <v>81.784602756592221</v>
      </c>
    </row>
    <row r="17" spans="1:17" x14ac:dyDescent="0.25">
      <c r="A17" t="s">
        <v>0</v>
      </c>
      <c r="B17">
        <v>2000</v>
      </c>
      <c r="C17" s="3">
        <v>15.990768216287504</v>
      </c>
      <c r="D17" s="3">
        <v>44.793335469400837</v>
      </c>
      <c r="E17" s="3">
        <v>76.714165968147526</v>
      </c>
      <c r="F17" s="3">
        <v>85.081676835268652</v>
      </c>
      <c r="G17" s="3">
        <v>85.387469084913434</v>
      </c>
      <c r="H17" s="3">
        <v>86.532220676866018</v>
      </c>
      <c r="I17" s="3">
        <v>86.468001954079142</v>
      </c>
      <c r="J17" s="3">
        <v>86.481481481481481</v>
      </c>
      <c r="K17" s="3">
        <v>81.783045606802375</v>
      </c>
      <c r="L17" s="3">
        <v>56.460296096904436</v>
      </c>
      <c r="M17" s="3">
        <v>15.277777777777779</v>
      </c>
      <c r="N17" s="3">
        <v>4.2350907519446848</v>
      </c>
      <c r="O17" s="3">
        <v>65.950399870748839</v>
      </c>
      <c r="P17" s="3">
        <v>75.978524004697874</v>
      </c>
      <c r="Q17" s="3">
        <v>82.42528969302704</v>
      </c>
    </row>
    <row r="18" spans="1:17" x14ac:dyDescent="0.25">
      <c r="A18" t="s">
        <v>0</v>
      </c>
      <c r="B18">
        <v>2001</v>
      </c>
      <c r="C18" s="3">
        <v>12.068965517241379</v>
      </c>
      <c r="D18" s="3">
        <v>41.83985822458515</v>
      </c>
      <c r="E18" s="3">
        <v>75.071344636562031</v>
      </c>
      <c r="F18" s="3">
        <v>85.175731396033768</v>
      </c>
      <c r="G18" s="3">
        <v>86.328756058158319</v>
      </c>
      <c r="H18" s="3">
        <v>86.172896124742024</v>
      </c>
      <c r="I18" s="3">
        <v>86.465082793376538</v>
      </c>
      <c r="J18" s="3">
        <v>85.765464533078571</v>
      </c>
      <c r="K18" s="3">
        <v>81.747947851279577</v>
      </c>
      <c r="L18" s="3">
        <v>55.500166168162181</v>
      </c>
      <c r="M18" s="3">
        <v>13.929146537842191</v>
      </c>
      <c r="N18" s="3">
        <v>4.097253489419181</v>
      </c>
      <c r="O18" s="3">
        <v>65.186344124844538</v>
      </c>
      <c r="P18" s="3">
        <v>75.317884729649435</v>
      </c>
      <c r="Q18" s="3">
        <v>82.314198789742903</v>
      </c>
    </row>
    <row r="19" spans="1:17" x14ac:dyDescent="0.25">
      <c r="A19" t="s">
        <v>0</v>
      </c>
      <c r="B19">
        <v>2002</v>
      </c>
      <c r="C19" s="3">
        <v>15.297805642633227</v>
      </c>
      <c r="D19" s="3">
        <v>40.682833439693681</v>
      </c>
      <c r="E19" s="3">
        <v>71.503378378378386</v>
      </c>
      <c r="F19" s="3">
        <v>84.877951974598133</v>
      </c>
      <c r="G19" s="3">
        <v>87.308066083576279</v>
      </c>
      <c r="H19" s="3">
        <v>86.59012629161883</v>
      </c>
      <c r="I19" s="3">
        <v>86.69538167025604</v>
      </c>
      <c r="J19" s="3">
        <v>86.513317191283292</v>
      </c>
      <c r="K19" s="3">
        <v>82.373845060412222</v>
      </c>
      <c r="L19" s="3">
        <v>60.4836143811645</v>
      </c>
      <c r="M19" s="3">
        <v>17.464021781408011</v>
      </c>
      <c r="N19" s="3">
        <v>4.6203110704483077</v>
      </c>
      <c r="O19" s="3">
        <v>65.416012870677491</v>
      </c>
      <c r="P19" s="3">
        <v>75.228773584905667</v>
      </c>
      <c r="Q19" s="3">
        <v>83.125910234343962</v>
      </c>
    </row>
    <row r="20" spans="1:17" x14ac:dyDescent="0.25">
      <c r="A20" t="s">
        <v>0</v>
      </c>
      <c r="B20">
        <v>2003</v>
      </c>
      <c r="C20" s="3">
        <v>12.271774917689314</v>
      </c>
      <c r="D20" s="3">
        <v>37.426356589147289</v>
      </c>
      <c r="E20" s="3">
        <v>67.701327815140544</v>
      </c>
      <c r="F20" s="3">
        <v>82.076758231053972</v>
      </c>
      <c r="G20" s="3">
        <v>86.193447737909509</v>
      </c>
      <c r="H20" s="3">
        <v>85.817361894024799</v>
      </c>
      <c r="I20" s="3">
        <v>86.595744680851055</v>
      </c>
      <c r="J20" s="3">
        <v>86.075949367088612</v>
      </c>
      <c r="K20" s="3">
        <v>81.618168914123487</v>
      </c>
      <c r="L20" s="3">
        <v>62.194016319129645</v>
      </c>
      <c r="M20" s="3">
        <v>13.760061326178613</v>
      </c>
      <c r="N20" s="3">
        <v>2.9292474087426768</v>
      </c>
      <c r="O20" s="3">
        <v>63.387463716953008</v>
      </c>
      <c r="P20" s="3">
        <v>73.532777505313064</v>
      </c>
      <c r="Q20" s="3">
        <v>82.257114818449466</v>
      </c>
    </row>
    <row r="21" spans="1:17" x14ac:dyDescent="0.25">
      <c r="A21" t="s">
        <v>0</v>
      </c>
      <c r="B21">
        <v>2004</v>
      </c>
      <c r="C21" s="3">
        <v>11.565387846541585</v>
      </c>
      <c r="D21" s="3">
        <v>38.673014897865151</v>
      </c>
      <c r="E21" s="3">
        <v>66.549357733591407</v>
      </c>
      <c r="F21" s="3">
        <v>82.550077041602464</v>
      </c>
      <c r="G21" s="3">
        <v>85.891039712632207</v>
      </c>
      <c r="H21" s="3">
        <v>85.615100889563905</v>
      </c>
      <c r="I21" s="3">
        <v>86.226986716383124</v>
      </c>
      <c r="J21" s="3">
        <v>85.564435564435556</v>
      </c>
      <c r="K21" s="3">
        <v>83.056083650190118</v>
      </c>
      <c r="L21" s="3">
        <v>65.882352941176464</v>
      </c>
      <c r="M21" s="3">
        <v>18.114328136599852</v>
      </c>
      <c r="N21" s="3">
        <v>5.7885141294439375</v>
      </c>
      <c r="O21" s="3">
        <v>63.710570812197545</v>
      </c>
      <c r="P21" s="3">
        <v>73.854491324370841</v>
      </c>
      <c r="Q21" s="3">
        <v>82.639610389610382</v>
      </c>
    </row>
    <row r="22" spans="1:17" x14ac:dyDescent="0.25">
      <c r="A22" t="s">
        <v>0</v>
      </c>
      <c r="B22">
        <v>2005</v>
      </c>
      <c r="C22" s="3">
        <v>12.131147540983607</v>
      </c>
      <c r="D22" s="3">
        <v>36.890104879160965</v>
      </c>
      <c r="E22" s="3">
        <v>65.707689575563847</v>
      </c>
      <c r="F22" s="3">
        <v>82.397075798383995</v>
      </c>
      <c r="G22" s="3">
        <v>85.488180883864345</v>
      </c>
      <c r="H22" s="3">
        <v>85.603520536462696</v>
      </c>
      <c r="I22" s="3">
        <v>85.687689085408422</v>
      </c>
      <c r="J22" s="3">
        <v>85.48990276738968</v>
      </c>
      <c r="K22" s="3">
        <v>82.039537126325939</v>
      </c>
      <c r="L22" s="3">
        <v>68.166939443535185</v>
      </c>
      <c r="M22" s="3">
        <v>17.97505502567865</v>
      </c>
      <c r="N22" s="3">
        <v>5.0291872474180508</v>
      </c>
      <c r="O22" s="3">
        <v>63.176902278872149</v>
      </c>
      <c r="P22" s="3">
        <v>73.359279078926036</v>
      </c>
      <c r="Q22" s="3">
        <v>82.501534386406945</v>
      </c>
    </row>
    <row r="23" spans="1:17" x14ac:dyDescent="0.25">
      <c r="A23" t="s">
        <v>0</v>
      </c>
      <c r="B23">
        <v>2006</v>
      </c>
      <c r="C23" s="3">
        <v>12.513171759747102</v>
      </c>
      <c r="D23" s="3">
        <v>40.699258362342974</v>
      </c>
      <c r="E23" s="3">
        <v>66.199404240406523</v>
      </c>
      <c r="F23" s="3">
        <v>82.42564696794129</v>
      </c>
      <c r="G23" s="3">
        <v>86.487038171055318</v>
      </c>
      <c r="H23" s="3">
        <v>86.629236847577459</v>
      </c>
      <c r="I23" s="3">
        <v>86.248548199767711</v>
      </c>
      <c r="J23" s="3">
        <v>85.966633954857713</v>
      </c>
      <c r="K23" s="3">
        <v>82.470908640752654</v>
      </c>
      <c r="L23" s="3">
        <v>69.578702507107778</v>
      </c>
      <c r="M23" s="3">
        <v>18.93342877594846</v>
      </c>
      <c r="N23" s="3">
        <v>5.4280670785525151</v>
      </c>
      <c r="O23" s="3">
        <v>64.008023688986526</v>
      </c>
      <c r="P23" s="3">
        <v>74.451010600381707</v>
      </c>
      <c r="Q23" s="3">
        <v>83.114675220529264</v>
      </c>
    </row>
    <row r="24" spans="1:17" x14ac:dyDescent="0.25">
      <c r="A24" t="s">
        <v>0</v>
      </c>
      <c r="B24">
        <v>2007</v>
      </c>
      <c r="C24" s="3">
        <v>12.067260138476756</v>
      </c>
      <c r="D24" s="3">
        <v>43.401201113226897</v>
      </c>
      <c r="E24" s="3">
        <v>67.492686284632597</v>
      </c>
      <c r="F24" s="3">
        <v>84.279051690633494</v>
      </c>
      <c r="G24" s="3">
        <v>87.25328947368422</v>
      </c>
      <c r="H24" s="3">
        <v>87.348319076984282</v>
      </c>
      <c r="I24" s="3">
        <v>87.161531279178334</v>
      </c>
      <c r="J24" s="3">
        <v>85.870356882738534</v>
      </c>
      <c r="K24" s="3">
        <v>84.068810770381447</v>
      </c>
      <c r="L24" s="3">
        <v>72.219426270759939</v>
      </c>
      <c r="M24" s="3">
        <v>22.5982905982906</v>
      </c>
      <c r="N24" s="3">
        <v>6.8568994889267456</v>
      </c>
      <c r="O24" s="3">
        <v>64.968152866242036</v>
      </c>
      <c r="P24" s="3">
        <v>75.732473957742314</v>
      </c>
      <c r="Q24" s="3">
        <v>84.280031821797934</v>
      </c>
    </row>
    <row r="25" spans="1:17" x14ac:dyDescent="0.25">
      <c r="A25" t="s">
        <v>0</v>
      </c>
      <c r="B25">
        <v>2008</v>
      </c>
      <c r="C25" s="3">
        <v>12.290909090909091</v>
      </c>
      <c r="D25" s="3">
        <v>43.770375620127574</v>
      </c>
      <c r="E25" s="3">
        <v>66.655445211243901</v>
      </c>
      <c r="F25" s="3">
        <v>83.875473957293963</v>
      </c>
      <c r="G25" s="3">
        <v>86.487029961793681</v>
      </c>
      <c r="H25" s="3">
        <v>87.724137931034491</v>
      </c>
      <c r="I25" s="3">
        <v>86.827711941659075</v>
      </c>
      <c r="J25" s="3">
        <v>86.602870813397132</v>
      </c>
      <c r="K25" s="3">
        <v>83.052552175006284</v>
      </c>
      <c r="L25" s="3">
        <v>71.670400796614388</v>
      </c>
      <c r="M25" s="3">
        <v>25.11415525114155</v>
      </c>
      <c r="N25" s="3">
        <v>5.7989153108051728</v>
      </c>
      <c r="O25" s="3">
        <v>64.62872428742736</v>
      </c>
      <c r="P25" s="3">
        <v>75.343478943003788</v>
      </c>
      <c r="Q25" s="3">
        <v>84.020113215900821</v>
      </c>
    </row>
    <row r="26" spans="1:17" x14ac:dyDescent="0.25">
      <c r="A26" t="s">
        <v>0</v>
      </c>
      <c r="B26">
        <v>2009</v>
      </c>
      <c r="C26" s="3">
        <v>9.8815165876777247</v>
      </c>
      <c r="D26" s="3">
        <v>35.139790645289523</v>
      </c>
      <c r="E26" s="3">
        <v>60.687762350661934</v>
      </c>
      <c r="F26" s="3">
        <v>80.481496219657771</v>
      </c>
      <c r="G26" s="3">
        <v>84.414288565156653</v>
      </c>
      <c r="H26" s="3">
        <v>85.908821788040257</v>
      </c>
      <c r="I26" s="3">
        <v>84.627092846270926</v>
      </c>
      <c r="J26" s="3">
        <v>84.693157770985181</v>
      </c>
      <c r="K26" s="3">
        <v>81.649274624586411</v>
      </c>
      <c r="L26" s="3">
        <v>71.239048811013774</v>
      </c>
      <c r="M26" s="3">
        <v>27.239150507848571</v>
      </c>
      <c r="N26" s="3">
        <v>7.517269402681837</v>
      </c>
      <c r="O26" s="3">
        <v>61.338229734838258</v>
      </c>
      <c r="P26" s="3">
        <v>71.429823984568515</v>
      </c>
      <c r="Q26" s="3">
        <v>82.107904642409039</v>
      </c>
    </row>
    <row r="27" spans="1:17" x14ac:dyDescent="0.25">
      <c r="A27" t="s">
        <v>0</v>
      </c>
      <c r="B27">
        <v>2010</v>
      </c>
      <c r="C27" s="3">
        <v>12.326184303558803</v>
      </c>
      <c r="D27" s="3">
        <v>38.239538239538241</v>
      </c>
      <c r="E27" s="3">
        <v>62.129804662885945</v>
      </c>
      <c r="F27" s="3">
        <v>80.514633667255936</v>
      </c>
      <c r="G27" s="3">
        <v>85.531829974057075</v>
      </c>
      <c r="H27" s="3">
        <v>86.107207388074684</v>
      </c>
      <c r="I27" s="3">
        <v>85.323590814196237</v>
      </c>
      <c r="J27" s="3">
        <v>84.658298465829844</v>
      </c>
      <c r="K27" s="3">
        <v>82.394723490613899</v>
      </c>
      <c r="L27" s="3">
        <v>71.863979848866506</v>
      </c>
      <c r="M27" s="3">
        <v>25.704225352112676</v>
      </c>
      <c r="N27" s="3">
        <v>7.8790290489454833</v>
      </c>
      <c r="O27" s="3">
        <v>62.18206396072712</v>
      </c>
      <c r="P27" s="3">
        <v>72.436927352468629</v>
      </c>
      <c r="Q27" s="3">
        <v>82.600430080718041</v>
      </c>
    </row>
    <row r="28" spans="1:17" x14ac:dyDescent="0.25">
      <c r="A28" t="s">
        <v>0</v>
      </c>
      <c r="B28">
        <v>2011</v>
      </c>
      <c r="C28" s="3">
        <v>13.219094247246021</v>
      </c>
      <c r="D28" s="3">
        <v>41.249195106245978</v>
      </c>
      <c r="E28" s="3">
        <v>63.753132832080205</v>
      </c>
      <c r="F28" s="3">
        <v>80.932784636488336</v>
      </c>
      <c r="G28" s="3">
        <v>87.054108216432866</v>
      </c>
      <c r="H28" s="3">
        <v>87.406810396937345</v>
      </c>
      <c r="I28" s="3">
        <v>86.658431130327358</v>
      </c>
      <c r="J28" s="3">
        <v>85.737743373211345</v>
      </c>
      <c r="K28" s="3">
        <v>83.108108108108098</v>
      </c>
      <c r="L28" s="3">
        <v>71.817474721285976</v>
      </c>
      <c r="M28" s="3">
        <v>31.386056764949021</v>
      </c>
      <c r="N28" s="3">
        <v>12.840466926070038</v>
      </c>
      <c r="O28" s="3">
        <v>63.846480818957886</v>
      </c>
      <c r="P28" s="3">
        <v>73.714755944389097</v>
      </c>
      <c r="Q28" s="3">
        <v>83.571138655593373</v>
      </c>
    </row>
    <row r="29" spans="1:17" x14ac:dyDescent="0.25">
      <c r="A29" t="s">
        <v>0</v>
      </c>
      <c r="B29">
        <v>2012</v>
      </c>
      <c r="C29" s="3">
        <v>13.578028747433265</v>
      </c>
      <c r="D29" s="3">
        <v>40.971421248237853</v>
      </c>
      <c r="E29" s="3">
        <v>64.761316236675427</v>
      </c>
      <c r="F29" s="3">
        <v>81.029126213592235</v>
      </c>
      <c r="G29" s="3">
        <v>87.00803212851406</v>
      </c>
      <c r="H29" s="3">
        <v>87.126296522269669</v>
      </c>
      <c r="I29" s="3">
        <v>87.258000790201507</v>
      </c>
      <c r="J29" s="3">
        <v>85.526624442880603</v>
      </c>
      <c r="K29" s="3">
        <v>82.822238843181253</v>
      </c>
      <c r="L29" s="3">
        <v>73.091951028913783</v>
      </c>
      <c r="M29" s="3">
        <v>31.001076426264802</v>
      </c>
      <c r="N29" s="3">
        <v>15.779679940454038</v>
      </c>
      <c r="O29" s="3">
        <v>64.219941194077151</v>
      </c>
      <c r="P29" s="3">
        <v>73.917157727214075</v>
      </c>
      <c r="Q29" s="3">
        <v>83.734715411830436</v>
      </c>
    </row>
    <row r="30" spans="1:17" x14ac:dyDescent="0.25">
      <c r="A30" t="s">
        <v>0</v>
      </c>
      <c r="B30">
        <v>2013</v>
      </c>
      <c r="C30" s="3">
        <v>13.816503800217156</v>
      </c>
      <c r="D30" s="3">
        <v>41.987466427931963</v>
      </c>
      <c r="E30" s="3">
        <v>65.519314594919592</v>
      </c>
      <c r="F30" s="3">
        <v>80.595327807083649</v>
      </c>
      <c r="G30" s="3">
        <v>86.476152143288388</v>
      </c>
      <c r="H30" s="3">
        <v>87.224580553871036</v>
      </c>
      <c r="I30" s="3">
        <v>87.460567823343851</v>
      </c>
      <c r="J30" s="3">
        <v>85.966521440036686</v>
      </c>
      <c r="K30" s="3">
        <v>83.049172226340488</v>
      </c>
      <c r="L30" s="3">
        <v>72.781837160751564</v>
      </c>
      <c r="M30" s="3">
        <v>31.87017823889332</v>
      </c>
      <c r="N30" s="3">
        <v>17.104329311568488</v>
      </c>
      <c r="O30" s="3">
        <v>64.70516335190068</v>
      </c>
      <c r="P30" s="3">
        <v>74.172481279782161</v>
      </c>
      <c r="Q30" s="3">
        <v>83.676542906319156</v>
      </c>
    </row>
    <row r="31" spans="1:17" x14ac:dyDescent="0.25">
      <c r="A31" t="s">
        <v>0</v>
      </c>
      <c r="B31">
        <v>2014</v>
      </c>
      <c r="C31" s="3">
        <v>13.755274261603375</v>
      </c>
      <c r="D31" s="3">
        <v>43.401273885350314</v>
      </c>
      <c r="E31" s="3">
        <v>66.982528871779692</v>
      </c>
      <c r="F31" s="3">
        <v>80.025916327286197</v>
      </c>
      <c r="G31" s="3">
        <v>86.119554204660588</v>
      </c>
      <c r="H31" s="3">
        <v>87.895679872586101</v>
      </c>
      <c r="I31" s="3">
        <v>87.838375796178354</v>
      </c>
      <c r="J31" s="3">
        <v>85.764345159877351</v>
      </c>
      <c r="K31" s="3">
        <v>83.696705426356587</v>
      </c>
      <c r="L31" s="3">
        <v>72.973691203826732</v>
      </c>
      <c r="M31" s="3">
        <v>32.164838105432167</v>
      </c>
      <c r="N31" s="3">
        <v>17.703826955074874</v>
      </c>
      <c r="O31" s="3">
        <v>65.241938277163939</v>
      </c>
      <c r="P31" s="3">
        <v>74.715986932237328</v>
      </c>
      <c r="Q31" s="3">
        <v>83.791601960963419</v>
      </c>
    </row>
    <row r="32" spans="1:17" x14ac:dyDescent="0.25">
      <c r="A32" t="s">
        <v>0</v>
      </c>
      <c r="B32">
        <v>2015</v>
      </c>
      <c r="C32" s="3">
        <v>14.430599826137353</v>
      </c>
      <c r="D32" s="3">
        <v>43.425115800308802</v>
      </c>
      <c r="E32" s="3">
        <v>69.035984007107956</v>
      </c>
      <c r="F32" s="3">
        <v>81.591205515185393</v>
      </c>
      <c r="G32" s="3">
        <v>86.476152143288388</v>
      </c>
      <c r="H32" s="3">
        <v>88.737133808392727</v>
      </c>
      <c r="I32" s="3">
        <v>88.515972503032756</v>
      </c>
      <c r="J32" s="3">
        <v>86.769686706181204</v>
      </c>
      <c r="K32" s="3">
        <v>84.350961538461533</v>
      </c>
      <c r="L32" s="3">
        <v>73.642593568792833</v>
      </c>
      <c r="M32" s="3">
        <v>32.185145317545746</v>
      </c>
      <c r="N32" s="3">
        <v>18.086458995549904</v>
      </c>
      <c r="O32" s="3">
        <v>66.100259291270518</v>
      </c>
      <c r="P32" s="3">
        <v>75.679996634200734</v>
      </c>
      <c r="Q32" s="3">
        <v>84.632860777898941</v>
      </c>
    </row>
    <row r="33" spans="1:17" x14ac:dyDescent="0.25">
      <c r="A33" t="s">
        <v>0</v>
      </c>
      <c r="B33">
        <v>2016</v>
      </c>
      <c r="C33" s="3">
        <v>17.474048442906575</v>
      </c>
      <c r="D33" s="3">
        <v>47.185473411154341</v>
      </c>
      <c r="E33" s="3">
        <v>69.774247491638803</v>
      </c>
      <c r="F33" s="3">
        <v>81.641043975688234</v>
      </c>
      <c r="G33" s="3">
        <v>86.442037705575615</v>
      </c>
      <c r="H33" s="3">
        <v>88.937007874015748</v>
      </c>
      <c r="I33" s="3">
        <v>88.520710059171591</v>
      </c>
      <c r="J33" s="3">
        <v>87.030927835051543</v>
      </c>
      <c r="K33" s="3">
        <v>84.438592291118027</v>
      </c>
      <c r="L33" s="3">
        <v>75.530263838592859</v>
      </c>
      <c r="M33" s="3">
        <v>31.662995594713657</v>
      </c>
      <c r="N33" s="3">
        <v>18.038163387000598</v>
      </c>
      <c r="O33" s="3">
        <v>67.087834743822398</v>
      </c>
      <c r="P33" s="3">
        <v>76.678554495042164</v>
      </c>
      <c r="Q33" s="3">
        <v>84.915087886268324</v>
      </c>
    </row>
    <row r="34" spans="1:17" x14ac:dyDescent="0.25">
      <c r="A34" t="s">
        <v>0</v>
      </c>
      <c r="B34">
        <v>2017</v>
      </c>
      <c r="C34" s="3">
        <v>18.531956461066144</v>
      </c>
      <c r="D34" s="3">
        <v>48.987179487179489</v>
      </c>
      <c r="E34" s="3">
        <v>70.224719101123597</v>
      </c>
      <c r="F34" s="3">
        <v>81.476371162469817</v>
      </c>
      <c r="G34" s="3">
        <v>86.099625910612318</v>
      </c>
      <c r="H34" s="3">
        <v>88.46078238647533</v>
      </c>
      <c r="I34" s="3">
        <v>89.030459884531155</v>
      </c>
      <c r="J34" s="3">
        <v>87.865698016885915</v>
      </c>
      <c r="K34" s="3">
        <v>84.406940812930827</v>
      </c>
      <c r="L34" s="3">
        <v>75.284090909090907</v>
      </c>
      <c r="M34" s="3">
        <v>33.823937795056928</v>
      </c>
      <c r="N34" s="3">
        <v>18.822843822843822</v>
      </c>
      <c r="O34" s="3">
        <v>67.624186108474461</v>
      </c>
      <c r="P34" s="3">
        <v>77.032466875695363</v>
      </c>
      <c r="Q34" s="3">
        <v>84.926373722884165</v>
      </c>
    </row>
    <row r="35" spans="1:17" x14ac:dyDescent="0.25">
      <c r="A35" t="s">
        <v>0</v>
      </c>
      <c r="B35">
        <v>2018</v>
      </c>
      <c r="C35" s="3">
        <v>18.679850347407804</v>
      </c>
      <c r="D35" s="3">
        <v>48.121368624919306</v>
      </c>
      <c r="E35" s="3">
        <v>70.93647675180091</v>
      </c>
      <c r="F35" s="3">
        <v>81.847027388109552</v>
      </c>
      <c r="G35" s="3">
        <v>85.714285714285708</v>
      </c>
      <c r="H35" s="3">
        <v>87.752302567117383</v>
      </c>
      <c r="I35" s="3">
        <v>88.674793550924107</v>
      </c>
      <c r="J35" s="3">
        <v>88.009358549424846</v>
      </c>
      <c r="K35" s="3">
        <v>84.897394512335708</v>
      </c>
      <c r="L35" s="3">
        <v>75.204498977505111</v>
      </c>
      <c r="M35" s="3">
        <v>35.239955357142854</v>
      </c>
      <c r="N35" s="3">
        <v>18.848920863309353</v>
      </c>
      <c r="O35" s="3">
        <v>67.688799199356865</v>
      </c>
      <c r="P35" s="3">
        <v>77.048853439680954</v>
      </c>
      <c r="Q35" s="3">
        <v>84.834627552487774</v>
      </c>
    </row>
    <row r="36" spans="1:17" x14ac:dyDescent="0.25">
      <c r="A36" t="s">
        <v>0</v>
      </c>
      <c r="B36">
        <v>2019</v>
      </c>
      <c r="C36" s="3">
        <v>21.557682083997872</v>
      </c>
      <c r="D36" s="3">
        <v>46.236979166666664</v>
      </c>
      <c r="E36" s="3">
        <v>72.952066954095869</v>
      </c>
      <c r="F36" s="3">
        <v>82.610082961072123</v>
      </c>
      <c r="G36" s="3">
        <v>84.840475740985468</v>
      </c>
      <c r="H36" s="3">
        <v>87.432675044883297</v>
      </c>
      <c r="I36" s="3">
        <v>88.411685045463344</v>
      </c>
      <c r="J36" s="3">
        <v>87.465510445407958</v>
      </c>
      <c r="K36" s="3">
        <v>84.816290393979628</v>
      </c>
      <c r="L36" s="3">
        <v>75.489212242849973</v>
      </c>
      <c r="M36" s="3">
        <v>35.198863636363633</v>
      </c>
      <c r="N36" s="3">
        <v>21.13446587964296</v>
      </c>
      <c r="O36" s="3">
        <v>68.117963858157864</v>
      </c>
      <c r="P36" s="3">
        <v>77.043092098799391</v>
      </c>
      <c r="Q36" s="3">
        <v>84.653927813163477</v>
      </c>
    </row>
    <row r="37" spans="1:17" x14ac:dyDescent="0.25">
      <c r="A37" t="s">
        <v>0</v>
      </c>
      <c r="B37">
        <v>2020</v>
      </c>
      <c r="C37" s="3">
        <v>19.07573812580231</v>
      </c>
      <c r="D37" s="3">
        <v>43.499361430395908</v>
      </c>
      <c r="E37" s="3">
        <v>70.535031847133752</v>
      </c>
      <c r="F37" s="3">
        <v>82.27229751024268</v>
      </c>
      <c r="G37" s="3">
        <v>83.891252080636207</v>
      </c>
      <c r="H37" s="3">
        <v>86.276826146879301</v>
      </c>
      <c r="I37" s="3">
        <v>87.712848297213625</v>
      </c>
      <c r="J37" s="3">
        <v>87.604790419161688</v>
      </c>
      <c r="K37" s="3">
        <v>84.515164459632629</v>
      </c>
      <c r="L37" s="3">
        <v>74.644727000747949</v>
      </c>
      <c r="M37" s="3">
        <v>35.184135977337114</v>
      </c>
      <c r="N37" s="3">
        <v>19.583699794781591</v>
      </c>
      <c r="O37" s="3">
        <v>66.87346309005288</v>
      </c>
      <c r="P37" s="3">
        <v>75.813012085709289</v>
      </c>
      <c r="Q37" s="3">
        <v>84.060163011511634</v>
      </c>
    </row>
    <row r="38" spans="1:17" x14ac:dyDescent="0.25">
      <c r="A38" t="s">
        <v>0</v>
      </c>
      <c r="B38">
        <v>2021</v>
      </c>
      <c r="C38" s="3">
        <v>22.60759493670886</v>
      </c>
      <c r="D38" s="3">
        <v>46.644424483510846</v>
      </c>
      <c r="E38" s="3">
        <v>71.533903884134304</v>
      </c>
      <c r="F38" s="3">
        <v>83.017705927636641</v>
      </c>
      <c r="G38" s="3">
        <v>85.206671501087754</v>
      </c>
      <c r="H38" s="3">
        <v>86.943501696945503</v>
      </c>
      <c r="I38" s="3">
        <v>88.044735827227143</v>
      </c>
      <c r="J38" s="3">
        <v>87.867429473268885</v>
      </c>
      <c r="K38" s="3">
        <v>85.300901656531764</v>
      </c>
      <c r="L38" s="3">
        <v>75.564376085338623</v>
      </c>
      <c r="M38" s="3">
        <v>35.756056808688385</v>
      </c>
      <c r="N38" s="3">
        <v>20.71148628278565</v>
      </c>
      <c r="O38" s="3">
        <v>68.216171114070704</v>
      </c>
      <c r="P38" s="3">
        <v>77.043701299963089</v>
      </c>
      <c r="Q38" s="3">
        <v>84.770616770616769</v>
      </c>
    </row>
    <row r="39" spans="1:17" x14ac:dyDescent="0.25">
      <c r="A39" t="s">
        <v>0</v>
      </c>
      <c r="B39">
        <v>2022</v>
      </c>
      <c r="C39" s="3">
        <v>25.488257107540175</v>
      </c>
      <c r="D39" s="3">
        <v>48.361680840420213</v>
      </c>
      <c r="E39" s="3">
        <v>73.068402104680146</v>
      </c>
      <c r="F39" s="3">
        <v>83.595270169136356</v>
      </c>
      <c r="G39" s="3">
        <v>85.237757274662883</v>
      </c>
      <c r="H39" s="3">
        <v>87.029702970297024</v>
      </c>
      <c r="I39" s="3">
        <v>89.543503706593825</v>
      </c>
      <c r="J39" s="3">
        <v>89.069629041856786</v>
      </c>
      <c r="K39" s="3">
        <v>87.569721115537845</v>
      </c>
      <c r="L39" s="3">
        <v>76.981595092024534</v>
      </c>
      <c r="M39" s="3">
        <v>38.359569179784593</v>
      </c>
      <c r="N39" s="3">
        <v>20.525203742831273</v>
      </c>
      <c r="O39" s="3">
        <v>69.46327953395091</v>
      </c>
      <c r="P39" s="3">
        <v>78.193530966111823</v>
      </c>
      <c r="Q39" s="3">
        <v>85.716235769472277</v>
      </c>
    </row>
    <row r="40" spans="1:17" x14ac:dyDescent="0.25">
      <c r="A40" t="s">
        <v>0</v>
      </c>
      <c r="B40">
        <v>2023</v>
      </c>
      <c r="C40" s="3">
        <v>24.711939200784506</v>
      </c>
      <c r="D40" s="3">
        <v>48.674430128840434</v>
      </c>
      <c r="E40" s="3">
        <v>74.717514124293785</v>
      </c>
      <c r="F40" s="3">
        <v>85.23086178372688</v>
      </c>
      <c r="G40" s="3">
        <v>85.617391304347819</v>
      </c>
      <c r="H40" s="3">
        <v>87.258912916423142</v>
      </c>
      <c r="I40" s="3">
        <v>89.099901088031658</v>
      </c>
      <c r="J40" s="3">
        <v>88.965517241379317</v>
      </c>
      <c r="K40" s="3">
        <v>87.514958117271632</v>
      </c>
      <c r="L40" s="3">
        <v>78.99259966579136</v>
      </c>
      <c r="M40" s="3">
        <v>39.842903575297939</v>
      </c>
      <c r="N40" s="3">
        <v>21.212121212121211</v>
      </c>
      <c r="O40" s="3">
        <v>70.033920872432148</v>
      </c>
      <c r="P40" s="3">
        <v>78.828075436876404</v>
      </c>
      <c r="Q40" s="3">
        <v>86.219991862199919</v>
      </c>
    </row>
    <row r="41" spans="1:17" x14ac:dyDescent="0.25">
      <c r="A41" t="s">
        <v>0</v>
      </c>
      <c r="B41">
        <v>2024</v>
      </c>
      <c r="C41" s="3">
        <v>23.835213339872485</v>
      </c>
      <c r="D41" s="3">
        <v>47.231749142577165</v>
      </c>
      <c r="E41" s="3">
        <v>73.241828215650202</v>
      </c>
      <c r="F41" s="3">
        <v>84.814870334282716</v>
      </c>
      <c r="G41" s="3">
        <v>85.416666666666657</v>
      </c>
      <c r="H41" s="3">
        <v>88.007774538386784</v>
      </c>
      <c r="I41" s="3">
        <v>88.702166430451513</v>
      </c>
      <c r="J41" s="3">
        <v>88.114196931443004</v>
      </c>
      <c r="K41" s="3">
        <v>87.757160145219842</v>
      </c>
      <c r="L41" s="3">
        <v>79.569399908382948</v>
      </c>
      <c r="M41" s="3">
        <v>41.91744340878828</v>
      </c>
      <c r="N41" s="3">
        <v>22.854506305752075</v>
      </c>
      <c r="O41" s="3">
        <v>69.787375100629816</v>
      </c>
      <c r="P41" s="3">
        <v>78.294143532247887</v>
      </c>
      <c r="Q41" s="3">
        <v>86.105410951506641</v>
      </c>
    </row>
    <row r="42" spans="1:17" x14ac:dyDescent="0.25">
      <c r="A42" t="s">
        <v>1</v>
      </c>
      <c r="B42">
        <v>1985</v>
      </c>
      <c r="C42" s="3">
        <v>48.64</v>
      </c>
      <c r="D42" s="3">
        <v>76.293929712460056</v>
      </c>
      <c r="E42" s="3">
        <v>83.685585371645686</v>
      </c>
      <c r="F42" s="3">
        <v>86.06537232735316</v>
      </c>
      <c r="G42" s="3">
        <v>88.822584347027771</v>
      </c>
      <c r="H42" s="3">
        <v>90.865499880124673</v>
      </c>
      <c r="I42" s="3">
        <v>90.121580547112458</v>
      </c>
      <c r="J42" s="3">
        <v>86.098360655737707</v>
      </c>
      <c r="K42" s="3">
        <v>77.317933910811675</v>
      </c>
      <c r="L42" s="3">
        <v>48.749272833042468</v>
      </c>
      <c r="M42" s="3">
        <v>6.409851594568992</v>
      </c>
      <c r="N42" s="3">
        <v>1.9558131111915973</v>
      </c>
      <c r="O42" s="3">
        <v>68.403488987595225</v>
      </c>
      <c r="P42" s="3">
        <v>81.240188383045535</v>
      </c>
      <c r="Q42" s="3">
        <v>81.747214812490185</v>
      </c>
    </row>
    <row r="43" spans="1:17" x14ac:dyDescent="0.25">
      <c r="A43" t="s">
        <v>1</v>
      </c>
      <c r="B43">
        <v>1986</v>
      </c>
      <c r="C43" s="3">
        <v>44.60431654676259</v>
      </c>
      <c r="D43" s="3">
        <v>74.700750659362953</v>
      </c>
      <c r="E43" s="3">
        <v>83.627797408716134</v>
      </c>
      <c r="F43" s="3">
        <v>87.040714995034747</v>
      </c>
      <c r="G43" s="3">
        <v>89.30254476908577</v>
      </c>
      <c r="H43" s="3">
        <v>91.114664230242113</v>
      </c>
      <c r="I43" s="3">
        <v>90.244621279104038</v>
      </c>
      <c r="J43" s="3">
        <v>86.202365308804204</v>
      </c>
      <c r="K43" s="3">
        <v>79.21077959576516</v>
      </c>
      <c r="L43" s="3">
        <v>51.845184518451845</v>
      </c>
      <c r="M43" s="3">
        <v>5.8823529411764701</v>
      </c>
      <c r="N43" s="3">
        <v>1.5302491103202847</v>
      </c>
      <c r="O43" s="3">
        <v>68.423693634103515</v>
      </c>
      <c r="P43" s="3">
        <v>81.818443721010624</v>
      </c>
      <c r="Q43" s="3">
        <v>82.891490778086691</v>
      </c>
    </row>
    <row r="44" spans="1:17" x14ac:dyDescent="0.25">
      <c r="A44" t="s">
        <v>1</v>
      </c>
      <c r="B44">
        <v>1987</v>
      </c>
      <c r="C44" s="3">
        <v>44.010589013898084</v>
      </c>
      <c r="D44" s="3">
        <v>74.995062216077429</v>
      </c>
      <c r="E44" s="3">
        <v>84.718624911702378</v>
      </c>
      <c r="F44" s="3">
        <v>87.253451676528599</v>
      </c>
      <c r="G44" s="3">
        <v>88.912938912938912</v>
      </c>
      <c r="H44" s="3">
        <v>90.827135451881901</v>
      </c>
      <c r="I44" s="3">
        <v>91.103697525715873</v>
      </c>
      <c r="J44" s="3">
        <v>87.706543291473892</v>
      </c>
      <c r="K44" s="3">
        <v>79.146141215106738</v>
      </c>
      <c r="L44" s="3">
        <v>52.86972365624051</v>
      </c>
      <c r="M44" s="3">
        <v>6.223692122669874</v>
      </c>
      <c r="N44" s="3">
        <v>1.827956989247312</v>
      </c>
      <c r="O44" s="3">
        <v>68.840217884702682</v>
      </c>
      <c r="P44" s="3">
        <v>82.306282572590334</v>
      </c>
      <c r="Q44" s="3">
        <v>83.351553959081684</v>
      </c>
    </row>
    <row r="45" spans="1:17" x14ac:dyDescent="0.25">
      <c r="A45" t="s">
        <v>1</v>
      </c>
      <c r="B45">
        <v>1988</v>
      </c>
      <c r="C45" s="3">
        <v>46.738774172402493</v>
      </c>
      <c r="D45" s="3">
        <v>77.039696788350284</v>
      </c>
      <c r="E45" s="3">
        <v>85.536802625410218</v>
      </c>
      <c r="F45" s="3">
        <v>87.836139733601399</v>
      </c>
      <c r="G45" s="3">
        <v>90.203193033381709</v>
      </c>
      <c r="H45" s="3">
        <v>91.597765363128488</v>
      </c>
      <c r="I45" s="3">
        <v>91.544019266791537</v>
      </c>
      <c r="J45" s="3">
        <v>88.178913738019176</v>
      </c>
      <c r="K45" s="3">
        <v>79.41663904540934</v>
      </c>
      <c r="L45" s="3">
        <v>54.978488014751072</v>
      </c>
      <c r="M45" s="3">
        <v>6.0132291040288637</v>
      </c>
      <c r="N45" s="3">
        <v>2.4170274170274171</v>
      </c>
      <c r="O45" s="3">
        <v>69.966480953028039</v>
      </c>
      <c r="P45" s="3">
        <v>83.416654763605209</v>
      </c>
      <c r="Q45" s="3">
        <v>84.307704268055659</v>
      </c>
    </row>
    <row r="46" spans="1:17" x14ac:dyDescent="0.25">
      <c r="A46" t="s">
        <v>1</v>
      </c>
      <c r="B46">
        <v>1989</v>
      </c>
      <c r="C46" s="3">
        <v>48.381979695431468</v>
      </c>
      <c r="D46" s="3">
        <v>75.806124518353286</v>
      </c>
      <c r="E46" s="3">
        <v>84.386781991572406</v>
      </c>
      <c r="F46" s="3">
        <v>88.450074515648296</v>
      </c>
      <c r="G46" s="3">
        <v>89.742949837783883</v>
      </c>
      <c r="H46" s="3">
        <v>91.170523477870148</v>
      </c>
      <c r="I46" s="3">
        <v>91.36398272796545</v>
      </c>
      <c r="J46" s="3">
        <v>88.012326656394464</v>
      </c>
      <c r="K46" s="3">
        <v>79.266666666666666</v>
      </c>
      <c r="L46" s="3">
        <v>56.648682957791173</v>
      </c>
      <c r="M46" s="3">
        <v>6.5898345153664302</v>
      </c>
      <c r="N46" s="3">
        <v>2.1818181818181821</v>
      </c>
      <c r="O46" s="3">
        <v>70.004265541162468</v>
      </c>
      <c r="P46" s="3">
        <v>83.313951839351049</v>
      </c>
      <c r="Q46" s="3">
        <v>84.560560870744084</v>
      </c>
    </row>
    <row r="47" spans="1:17" x14ac:dyDescent="0.25">
      <c r="A47" t="s">
        <v>1</v>
      </c>
      <c r="B47">
        <v>1990</v>
      </c>
      <c r="C47" s="3">
        <v>45.320983711274351</v>
      </c>
      <c r="D47" s="3">
        <v>74.380495603517176</v>
      </c>
      <c r="E47" s="3">
        <v>84.489281210592679</v>
      </c>
      <c r="F47" s="3">
        <v>88.049382716049379</v>
      </c>
      <c r="G47" s="3">
        <v>89.98000999500249</v>
      </c>
      <c r="H47" s="3">
        <v>91.588356635342649</v>
      </c>
      <c r="I47" s="3">
        <v>91.794995187680456</v>
      </c>
      <c r="J47" s="3">
        <v>88.05012224938875</v>
      </c>
      <c r="K47" s="3">
        <v>80.947680157946692</v>
      </c>
      <c r="L47" s="3">
        <v>58.484948726430694</v>
      </c>
      <c r="M47" s="3">
        <v>7.7181208053691277</v>
      </c>
      <c r="N47" s="3">
        <v>1.9972918077183481</v>
      </c>
      <c r="O47" s="3">
        <v>70.086608927381747</v>
      </c>
      <c r="P47" s="3">
        <v>83.631928673563792</v>
      </c>
      <c r="Q47" s="3">
        <v>85.261532522679019</v>
      </c>
    </row>
    <row r="48" spans="1:17" x14ac:dyDescent="0.25">
      <c r="A48" t="s">
        <v>1</v>
      </c>
      <c r="B48">
        <v>1991</v>
      </c>
      <c r="C48" s="3">
        <v>34.854368932038838</v>
      </c>
      <c r="D48" s="3">
        <v>66.212749161239387</v>
      </c>
      <c r="E48" s="3">
        <v>80.167932826869247</v>
      </c>
      <c r="F48" s="3">
        <v>85.328836424957842</v>
      </c>
      <c r="G48" s="3">
        <v>87.911535561698912</v>
      </c>
      <c r="H48" s="3">
        <v>89.908686490283301</v>
      </c>
      <c r="I48" s="3">
        <v>90.856615100438702</v>
      </c>
      <c r="J48" s="3">
        <v>88.547569340888757</v>
      </c>
      <c r="K48" s="3">
        <v>79.460719041278296</v>
      </c>
      <c r="L48" s="3">
        <v>60.343121082151107</v>
      </c>
      <c r="M48" s="3">
        <v>7.4085651766176932</v>
      </c>
      <c r="N48" s="3">
        <v>1.6039279869067102</v>
      </c>
      <c r="O48" s="3">
        <v>67.485120681703378</v>
      </c>
      <c r="P48" s="3">
        <v>81.14344137721406</v>
      </c>
      <c r="Q48" s="3">
        <v>84.226646248085757</v>
      </c>
    </row>
    <row r="49" spans="1:17" x14ac:dyDescent="0.25">
      <c r="A49" t="s">
        <v>1</v>
      </c>
      <c r="B49">
        <v>1992</v>
      </c>
      <c r="C49" s="3">
        <v>23.482321547698465</v>
      </c>
      <c r="D49" s="3">
        <v>55.781522370714697</v>
      </c>
      <c r="E49" s="3">
        <v>75.644254989343153</v>
      </c>
      <c r="F49" s="3">
        <v>83.309386973180082</v>
      </c>
      <c r="G49" s="3">
        <v>85.427872860635702</v>
      </c>
      <c r="H49" s="3">
        <v>88.357638058809457</v>
      </c>
      <c r="I49" s="3">
        <v>89.990880072959413</v>
      </c>
      <c r="J49" s="3">
        <v>87.59206798866856</v>
      </c>
      <c r="K49" s="3">
        <v>79.222074468085097</v>
      </c>
      <c r="L49" s="3">
        <v>56.39810426540285</v>
      </c>
      <c r="M49" s="3">
        <v>5.650252525252526</v>
      </c>
      <c r="N49" s="3">
        <v>1.0259698621352997</v>
      </c>
      <c r="O49" s="3">
        <v>64.123998606757226</v>
      </c>
      <c r="P49" s="3">
        <v>77.872363646285237</v>
      </c>
      <c r="Q49" s="3">
        <v>82.641394765829759</v>
      </c>
    </row>
    <row r="50" spans="1:17" x14ac:dyDescent="0.25">
      <c r="A50" t="s">
        <v>1</v>
      </c>
      <c r="B50">
        <v>1993</v>
      </c>
      <c r="C50" s="3">
        <v>16.320375335120644</v>
      </c>
      <c r="D50" s="3">
        <v>41.896423248882265</v>
      </c>
      <c r="E50" s="3">
        <v>68.728652751423141</v>
      </c>
      <c r="F50" s="3">
        <v>78.04589543411403</v>
      </c>
      <c r="G50" s="3">
        <v>82.354386827230272</v>
      </c>
      <c r="H50" s="3">
        <v>86.495482643842124</v>
      </c>
      <c r="I50" s="3">
        <v>88.001804239963917</v>
      </c>
      <c r="J50" s="3">
        <v>85.760869565217391</v>
      </c>
      <c r="K50" s="3">
        <v>78.513991637182386</v>
      </c>
      <c r="L50" s="3">
        <v>45.426515930113055</v>
      </c>
      <c r="M50" s="3">
        <v>4.63768115942029</v>
      </c>
      <c r="N50" s="3">
        <v>1.4340344168260037</v>
      </c>
      <c r="O50" s="3">
        <v>59.472360188350635</v>
      </c>
      <c r="P50" s="3">
        <v>72.378091304114591</v>
      </c>
      <c r="Q50" s="3">
        <v>79.241104939198308</v>
      </c>
    </row>
    <row r="51" spans="1:17" x14ac:dyDescent="0.25">
      <c r="A51" t="s">
        <v>1</v>
      </c>
      <c r="B51">
        <v>1994</v>
      </c>
      <c r="C51" s="3">
        <v>15.65068493150685</v>
      </c>
      <c r="D51" s="3">
        <v>42.368938987296474</v>
      </c>
      <c r="E51" s="3">
        <v>65.676632572777336</v>
      </c>
      <c r="F51" s="3">
        <v>75.483580746738639</v>
      </c>
      <c r="G51" s="3">
        <v>81.328806983511157</v>
      </c>
      <c r="H51" s="3">
        <v>85.38857563128218</v>
      </c>
      <c r="I51" s="3">
        <v>87.042443296653943</v>
      </c>
      <c r="J51" s="3">
        <v>84.434203789042499</v>
      </c>
      <c r="K51" s="3">
        <v>75.109034267912776</v>
      </c>
      <c r="L51" s="3">
        <v>44.744121715076076</v>
      </c>
      <c r="M51" s="3">
        <v>4.3132050431320508</v>
      </c>
      <c r="N51" s="3">
        <v>1.1919698870765372</v>
      </c>
      <c r="O51" s="3">
        <v>58.424475002664963</v>
      </c>
      <c r="P51" s="3">
        <v>70.875790699520948</v>
      </c>
      <c r="Q51" s="3">
        <v>77.727775728513464</v>
      </c>
    </row>
    <row r="52" spans="1:17" x14ac:dyDescent="0.25">
      <c r="A52" t="s">
        <v>1</v>
      </c>
      <c r="B52">
        <v>1995</v>
      </c>
      <c r="C52" s="3">
        <v>16.859279401767505</v>
      </c>
      <c r="D52" s="3">
        <v>39.346866725507503</v>
      </c>
      <c r="E52" s="3">
        <v>64.719287342034391</v>
      </c>
      <c r="F52" s="3">
        <v>72.788524233862205</v>
      </c>
      <c r="G52" s="3">
        <v>79.093320472630808</v>
      </c>
      <c r="H52" s="3">
        <v>83.924175283111765</v>
      </c>
      <c r="I52" s="3">
        <v>85.815440840566467</v>
      </c>
      <c r="J52" s="3">
        <v>84.550084889643458</v>
      </c>
      <c r="K52" s="3">
        <v>75.139318885448915</v>
      </c>
      <c r="L52" s="3">
        <v>46.904761904761905</v>
      </c>
      <c r="M52" s="3">
        <v>6.2778730703259011</v>
      </c>
      <c r="N52" s="3">
        <v>1.2214721954355512</v>
      </c>
      <c r="O52" s="3">
        <v>57.853475639632734</v>
      </c>
      <c r="P52" s="3">
        <v>69.628420193295241</v>
      </c>
      <c r="Q52" s="3">
        <v>76.733015538008075</v>
      </c>
    </row>
    <row r="53" spans="1:17" x14ac:dyDescent="0.25">
      <c r="A53" t="s">
        <v>1</v>
      </c>
      <c r="B53">
        <v>1996</v>
      </c>
      <c r="C53" s="3">
        <v>16.093117408906881</v>
      </c>
      <c r="D53" s="3">
        <v>37.680906713164781</v>
      </c>
      <c r="E53" s="3">
        <v>64.071236280803475</v>
      </c>
      <c r="F53" s="3">
        <v>72.952747487705793</v>
      </c>
      <c r="G53" s="3">
        <v>78.431845597104939</v>
      </c>
      <c r="H53" s="3">
        <v>82.800495662949189</v>
      </c>
      <c r="I53" s="3">
        <v>84.47102979122684</v>
      </c>
      <c r="J53" s="3">
        <v>83.57126140884624</v>
      </c>
      <c r="K53" s="3">
        <v>75.376279349789286</v>
      </c>
      <c r="L53" s="3">
        <v>44.44825222755312</v>
      </c>
      <c r="M53" s="3">
        <v>6.8134893324156911</v>
      </c>
      <c r="N53" s="3">
        <v>0.88553624139061993</v>
      </c>
      <c r="O53" s="3">
        <v>57.165294167586381</v>
      </c>
      <c r="P53" s="3">
        <v>68.675550435898103</v>
      </c>
      <c r="Q53" s="3">
        <v>75.912857814931428</v>
      </c>
    </row>
    <row r="54" spans="1:17" x14ac:dyDescent="0.25">
      <c r="A54" t="s">
        <v>1</v>
      </c>
      <c r="B54">
        <v>1997</v>
      </c>
      <c r="C54" s="3">
        <v>14.020270270270272</v>
      </c>
      <c r="D54" s="3">
        <v>36.267361111111114</v>
      </c>
      <c r="E54" s="3">
        <v>61.490163248221009</v>
      </c>
      <c r="F54" s="3">
        <v>72.430599703326976</v>
      </c>
      <c r="G54" s="3">
        <v>78.175182481751833</v>
      </c>
      <c r="H54" s="3">
        <v>81.946159545566815</v>
      </c>
      <c r="I54" s="3">
        <v>83.055290753098191</v>
      </c>
      <c r="J54" s="3">
        <v>82.46873552570635</v>
      </c>
      <c r="K54" s="3">
        <v>75.751503006012015</v>
      </c>
      <c r="L54" s="3">
        <v>43.290190735694821</v>
      </c>
      <c r="M54" s="3">
        <v>6.9841269841269842</v>
      </c>
      <c r="N54" s="3">
        <v>1.2312811980033278</v>
      </c>
      <c r="O54" s="3">
        <v>56.381602663330433</v>
      </c>
      <c r="P54" s="3">
        <v>67.621679397273127</v>
      </c>
      <c r="Q54" s="3">
        <v>75.166241328492873</v>
      </c>
    </row>
    <row r="55" spans="1:17" x14ac:dyDescent="0.25">
      <c r="A55" t="s">
        <v>1</v>
      </c>
      <c r="B55">
        <v>1998</v>
      </c>
      <c r="C55" s="3">
        <v>17.425539198904485</v>
      </c>
      <c r="D55" s="3">
        <v>43.016265912305521</v>
      </c>
      <c r="E55" s="3">
        <v>65.21100146966198</v>
      </c>
      <c r="F55" s="3">
        <v>74.202526225647617</v>
      </c>
      <c r="G55" s="3">
        <v>78.632270625456314</v>
      </c>
      <c r="H55" s="3">
        <v>81.802164611125093</v>
      </c>
      <c r="I55" s="3">
        <v>84.707574304889746</v>
      </c>
      <c r="J55" s="3">
        <v>83.559751323969607</v>
      </c>
      <c r="K55" s="3">
        <v>75.180055401662045</v>
      </c>
      <c r="L55" s="3">
        <v>43.54892205638474</v>
      </c>
      <c r="M55" s="3">
        <v>7.0584020064493016</v>
      </c>
      <c r="N55" s="3">
        <v>1.192504258943782</v>
      </c>
      <c r="O55" s="3">
        <v>58.384974126365549</v>
      </c>
      <c r="P55" s="3">
        <v>69.628314888285658</v>
      </c>
      <c r="Q55" s="3">
        <v>75.778869250349544</v>
      </c>
    </row>
    <row r="56" spans="1:17" x14ac:dyDescent="0.25">
      <c r="A56" t="s">
        <v>1</v>
      </c>
      <c r="B56">
        <v>1999</v>
      </c>
      <c r="C56" s="3">
        <v>19.119189094722124</v>
      </c>
      <c r="D56" s="3">
        <v>39.742903053026247</v>
      </c>
      <c r="E56" s="3">
        <v>67.783985102420857</v>
      </c>
      <c r="F56" s="3">
        <v>76.00612423447069</v>
      </c>
      <c r="G56" s="3">
        <v>79.533678756476689</v>
      </c>
      <c r="H56" s="3">
        <v>82.344213649851625</v>
      </c>
      <c r="I56" s="3">
        <v>84.066879763953779</v>
      </c>
      <c r="J56" s="3">
        <v>83.253039688001834</v>
      </c>
      <c r="K56" s="3">
        <v>75.718428684418669</v>
      </c>
      <c r="L56" s="3">
        <v>44.203367875647672</v>
      </c>
      <c r="M56" s="3">
        <v>6.4562930721799052</v>
      </c>
      <c r="N56" s="3">
        <v>0.87504375218760944</v>
      </c>
      <c r="O56" s="3">
        <v>58.878881855643826</v>
      </c>
      <c r="P56" s="3">
        <v>69.862445923891926</v>
      </c>
      <c r="Q56" s="3">
        <v>76.207888103944057</v>
      </c>
    </row>
    <row r="57" spans="1:17" x14ac:dyDescent="0.25">
      <c r="A57" t="s">
        <v>1</v>
      </c>
      <c r="B57">
        <v>2000</v>
      </c>
      <c r="C57" s="3">
        <v>22.056737588652485</v>
      </c>
      <c r="D57" s="3">
        <v>43.312331233123317</v>
      </c>
      <c r="E57" s="3">
        <v>67.357617226806198</v>
      </c>
      <c r="F57" s="3">
        <v>77.012005335704757</v>
      </c>
      <c r="G57" s="3">
        <v>80.369357045143644</v>
      </c>
      <c r="H57" s="3">
        <v>83.089873731121571</v>
      </c>
      <c r="I57" s="3">
        <v>84.729064039408868</v>
      </c>
      <c r="J57" s="3">
        <v>83.652498832321342</v>
      </c>
      <c r="K57" s="3">
        <v>76.769967246157719</v>
      </c>
      <c r="L57" s="3">
        <v>47.149758454106276</v>
      </c>
      <c r="M57" s="3">
        <v>6.7644953471725122</v>
      </c>
      <c r="N57" s="3">
        <v>1.2718023255813953</v>
      </c>
      <c r="O57" s="3">
        <v>60.295581104829665</v>
      </c>
      <c r="P57" s="3">
        <v>71.098474127061735</v>
      </c>
      <c r="Q57" s="3">
        <v>77.201030382158862</v>
      </c>
    </row>
    <row r="58" spans="1:17" x14ac:dyDescent="0.25">
      <c r="A58" t="s">
        <v>1</v>
      </c>
      <c r="B58">
        <v>2001</v>
      </c>
      <c r="C58" s="3">
        <v>20.744120744120746</v>
      </c>
      <c r="D58" s="3">
        <v>45.359174964438118</v>
      </c>
      <c r="E58" s="3">
        <v>69.822723609991939</v>
      </c>
      <c r="F58" s="3">
        <v>78.147321428571431</v>
      </c>
      <c r="G58" s="3">
        <v>81.288076588337688</v>
      </c>
      <c r="H58" s="3">
        <v>83.541513592946359</v>
      </c>
      <c r="I58" s="3">
        <v>84.649776453055139</v>
      </c>
      <c r="J58" s="3">
        <v>83.412660637791518</v>
      </c>
      <c r="K58" s="3">
        <v>76.896969696969691</v>
      </c>
      <c r="L58" s="3">
        <v>51.012145748987855</v>
      </c>
      <c r="M58" s="3">
        <v>6.4667630057803471</v>
      </c>
      <c r="N58" s="3">
        <v>0.95272993770611947</v>
      </c>
      <c r="O58" s="3">
        <v>61.23759363787061</v>
      </c>
      <c r="P58" s="3">
        <v>72.213884154562336</v>
      </c>
      <c r="Q58" s="3">
        <v>77.885318385962464</v>
      </c>
    </row>
    <row r="59" spans="1:17" x14ac:dyDescent="0.25">
      <c r="A59" t="s">
        <v>1</v>
      </c>
      <c r="B59">
        <v>2002</v>
      </c>
      <c r="C59" s="3">
        <v>22.509960159362549</v>
      </c>
      <c r="D59" s="3">
        <v>44.899412497774613</v>
      </c>
      <c r="E59" s="3">
        <v>68.264299802761343</v>
      </c>
      <c r="F59" s="3">
        <v>79.787479787479782</v>
      </c>
      <c r="G59" s="3">
        <v>81.563169164882225</v>
      </c>
      <c r="H59" s="3">
        <v>83.499878137947846</v>
      </c>
      <c r="I59" s="3">
        <v>84.033407025300903</v>
      </c>
      <c r="J59" s="3">
        <v>82.992542699061829</v>
      </c>
      <c r="K59" s="3">
        <v>77.261847774054573</v>
      </c>
      <c r="L59" s="3">
        <v>53.759621077560681</v>
      </c>
      <c r="M59" s="3">
        <v>8.7522603978300175</v>
      </c>
      <c r="N59" s="3">
        <v>1.2354923249719205</v>
      </c>
      <c r="O59" s="3">
        <v>61.514753961808374</v>
      </c>
      <c r="P59" s="3">
        <v>72.238647562732154</v>
      </c>
      <c r="Q59" s="3">
        <v>78.252440628678258</v>
      </c>
    </row>
    <row r="60" spans="1:17" x14ac:dyDescent="0.25">
      <c r="A60" t="s">
        <v>1</v>
      </c>
      <c r="B60">
        <v>2003</v>
      </c>
      <c r="C60" s="3">
        <v>19.228295819935692</v>
      </c>
      <c r="D60" s="3">
        <v>40.836236933797906</v>
      </c>
      <c r="E60" s="3">
        <v>65.987492434940492</v>
      </c>
      <c r="F60" s="3">
        <v>77.53009362460989</v>
      </c>
      <c r="G60" s="3">
        <v>80.605020381892302</v>
      </c>
      <c r="H60" s="3">
        <v>82.382793620106327</v>
      </c>
      <c r="I60" s="3">
        <v>82.916458229114554</v>
      </c>
      <c r="J60" s="3">
        <v>82.422062350119901</v>
      </c>
      <c r="K60" s="3">
        <v>77.50593824228028</v>
      </c>
      <c r="L60" s="3">
        <v>55.878166808995154</v>
      </c>
      <c r="M60" s="3">
        <v>7.5730891158858755</v>
      </c>
      <c r="N60" s="3">
        <v>0.56732223903177004</v>
      </c>
      <c r="O60" s="3">
        <v>59.969875789213056</v>
      </c>
      <c r="P60" s="3">
        <v>70.817345070599146</v>
      </c>
      <c r="Q60" s="3">
        <v>77.536331231148893</v>
      </c>
    </row>
    <row r="61" spans="1:17" x14ac:dyDescent="0.25">
      <c r="A61" t="s">
        <v>1</v>
      </c>
      <c r="B61">
        <v>2004</v>
      </c>
      <c r="C61" s="3">
        <v>16.053108026554014</v>
      </c>
      <c r="D61" s="3">
        <v>41.361806406441445</v>
      </c>
      <c r="E61" s="3">
        <v>64.924458962841982</v>
      </c>
      <c r="F61" s="3">
        <v>77.489649161037264</v>
      </c>
      <c r="G61" s="3">
        <v>80.453444860224522</v>
      </c>
      <c r="H61" s="3">
        <v>82.244517032197848</v>
      </c>
      <c r="I61" s="3">
        <v>82.562453623546872</v>
      </c>
      <c r="J61" s="3">
        <v>81.987577639751549</v>
      </c>
      <c r="K61" s="3">
        <v>77.827733080927587</v>
      </c>
      <c r="L61" s="3">
        <v>59.837177747625518</v>
      </c>
      <c r="M61" s="3">
        <v>9.5189355168884333</v>
      </c>
      <c r="N61" s="3">
        <v>1.7733230531996915</v>
      </c>
      <c r="O61" s="3">
        <v>59.917702213032534</v>
      </c>
      <c r="P61" s="3">
        <v>71.013297340531892</v>
      </c>
      <c r="Q61" s="3">
        <v>77.790250705854334</v>
      </c>
    </row>
    <row r="62" spans="1:17" x14ac:dyDescent="0.25">
      <c r="A62" t="s">
        <v>1</v>
      </c>
      <c r="B62">
        <v>2005</v>
      </c>
      <c r="C62" s="3">
        <v>15.59880239520958</v>
      </c>
      <c r="D62" s="3">
        <v>39.896729776247845</v>
      </c>
      <c r="E62" s="3">
        <v>64.170040485829958</v>
      </c>
      <c r="F62" s="3">
        <v>77.063614351749948</v>
      </c>
      <c r="G62" s="3">
        <v>81.42825061756119</v>
      </c>
      <c r="H62" s="3">
        <v>82.501124606387762</v>
      </c>
      <c r="I62" s="3">
        <v>83.034618217530081</v>
      </c>
      <c r="J62" s="3">
        <v>81.929517620594851</v>
      </c>
      <c r="K62" s="3">
        <v>76.904590242730109</v>
      </c>
      <c r="L62" s="3">
        <v>60.518053375196232</v>
      </c>
      <c r="M62" s="3">
        <v>9.9559769725702676</v>
      </c>
      <c r="N62" s="3">
        <v>1.7411052233156699</v>
      </c>
      <c r="O62" s="3">
        <v>59.606782693558877</v>
      </c>
      <c r="P62" s="3">
        <v>70.699893165047584</v>
      </c>
      <c r="Q62" s="3">
        <v>77.860266449710153</v>
      </c>
    </row>
    <row r="63" spans="1:17" x14ac:dyDescent="0.25">
      <c r="A63" t="s">
        <v>1</v>
      </c>
      <c r="B63">
        <v>2006</v>
      </c>
      <c r="C63" s="3">
        <v>15.485714285714286</v>
      </c>
      <c r="D63" s="3">
        <v>44.183638246461861</v>
      </c>
      <c r="E63" s="3">
        <v>65.68509615384616</v>
      </c>
      <c r="F63" s="3">
        <v>77.765486725663706</v>
      </c>
      <c r="G63" s="3">
        <v>81.235750113999089</v>
      </c>
      <c r="H63" s="3">
        <v>83.852140077821019</v>
      </c>
      <c r="I63" s="3">
        <v>82.671216183280521</v>
      </c>
      <c r="J63" s="3">
        <v>82.735257214554579</v>
      </c>
      <c r="K63" s="3">
        <v>78.599412340842306</v>
      </c>
      <c r="L63" s="3">
        <v>60.511004300531248</v>
      </c>
      <c r="M63" s="3">
        <v>10.779816513761469</v>
      </c>
      <c r="N63" s="3">
        <v>1.7214996174445294</v>
      </c>
      <c r="O63" s="3">
        <v>60.478945352657789</v>
      </c>
      <c r="P63" s="3">
        <v>71.920975199663729</v>
      </c>
      <c r="Q63" s="3">
        <v>78.389587618437474</v>
      </c>
    </row>
    <row r="64" spans="1:17" x14ac:dyDescent="0.25">
      <c r="A64" t="s">
        <v>1</v>
      </c>
      <c r="B64">
        <v>2007</v>
      </c>
      <c r="C64" s="3">
        <v>15.314100835804801</v>
      </c>
      <c r="D64" s="3">
        <v>45.751200927613048</v>
      </c>
      <c r="E64" s="3">
        <v>65.993602558976406</v>
      </c>
      <c r="F64" s="3">
        <v>78.243601059135031</v>
      </c>
      <c r="G64" s="3">
        <v>82.273249138920775</v>
      </c>
      <c r="H64" s="3">
        <v>84.052732298532845</v>
      </c>
      <c r="I64" s="3">
        <v>83.646888567293772</v>
      </c>
      <c r="J64" s="3">
        <v>82.961862308073307</v>
      </c>
      <c r="K64" s="3">
        <v>78.978534418948925</v>
      </c>
      <c r="L64" s="3">
        <v>62.518778167250879</v>
      </c>
      <c r="M64" s="3">
        <v>12.426402231174466</v>
      </c>
      <c r="N64" s="3">
        <v>2.3954372623574147</v>
      </c>
      <c r="O64" s="3">
        <v>60.867409669614879</v>
      </c>
      <c r="P64" s="3">
        <v>72.591776798825265</v>
      </c>
      <c r="Q64" s="3">
        <v>79.132155192649478</v>
      </c>
    </row>
    <row r="65" spans="1:17" x14ac:dyDescent="0.25">
      <c r="A65" t="s">
        <v>1</v>
      </c>
      <c r="B65">
        <v>2008</v>
      </c>
      <c r="C65" s="3">
        <v>13.580569339253067</v>
      </c>
      <c r="D65" s="3">
        <v>42.364853829821982</v>
      </c>
      <c r="E65" s="3">
        <v>64.621227263641813</v>
      </c>
      <c r="F65" s="3">
        <v>78.075814675238306</v>
      </c>
      <c r="G65" s="3">
        <v>82.670517662741617</v>
      </c>
      <c r="H65" s="3">
        <v>84.452523524379814</v>
      </c>
      <c r="I65" s="3">
        <v>83.997138087288334</v>
      </c>
      <c r="J65" s="3">
        <v>82.850723914128807</v>
      </c>
      <c r="K65" s="3">
        <v>79.230389738529851</v>
      </c>
      <c r="L65" s="3">
        <v>62.52455795677799</v>
      </c>
      <c r="M65" s="3">
        <v>13.558300692979813</v>
      </c>
      <c r="N65" s="3">
        <v>2.440828402366864</v>
      </c>
      <c r="O65" s="3">
        <v>60.116491145496262</v>
      </c>
      <c r="P65" s="3">
        <v>71.994943970441668</v>
      </c>
      <c r="Q65" s="3">
        <v>79.268983440509118</v>
      </c>
    </row>
    <row r="66" spans="1:17" x14ac:dyDescent="0.25">
      <c r="A66" t="s">
        <v>1</v>
      </c>
      <c r="B66">
        <v>2009</v>
      </c>
      <c r="C66" s="3">
        <v>13.514198782961461</v>
      </c>
      <c r="D66" s="3">
        <v>38.541828945318585</v>
      </c>
      <c r="E66" s="3">
        <v>59.94241842610365</v>
      </c>
      <c r="F66" s="3">
        <v>74.945295404814004</v>
      </c>
      <c r="G66" s="3">
        <v>79.796006944444443</v>
      </c>
      <c r="H66" s="3">
        <v>83.577586206896541</v>
      </c>
      <c r="I66" s="3">
        <v>82.999769956291686</v>
      </c>
      <c r="J66" s="3">
        <v>81.412457086807251</v>
      </c>
      <c r="K66" s="3">
        <v>77.732379979570993</v>
      </c>
      <c r="L66" s="3">
        <v>63.202519379844958</v>
      </c>
      <c r="M66" s="3">
        <v>15.082999427590154</v>
      </c>
      <c r="N66" s="3">
        <v>3.2628182144137687</v>
      </c>
      <c r="O66" s="3">
        <v>58.126690063862839</v>
      </c>
      <c r="P66" s="3">
        <v>69.562935394598725</v>
      </c>
      <c r="Q66" s="3">
        <v>77.792452207217622</v>
      </c>
    </row>
    <row r="67" spans="1:17" x14ac:dyDescent="0.25">
      <c r="A67" t="s">
        <v>1</v>
      </c>
      <c r="B67">
        <v>2010</v>
      </c>
      <c r="C67" s="3">
        <v>14.36251920122888</v>
      </c>
      <c r="D67" s="3">
        <v>41.585493780908138</v>
      </c>
      <c r="E67" s="3">
        <v>61.554307116104866</v>
      </c>
      <c r="F67" s="3">
        <v>75.813752964000855</v>
      </c>
      <c r="G67" s="3">
        <v>80.992631122670133</v>
      </c>
      <c r="H67" s="3">
        <v>83.701298701298697</v>
      </c>
      <c r="I67" s="3">
        <v>84.649511978704524</v>
      </c>
      <c r="J67" s="3">
        <v>82.2021484375</v>
      </c>
      <c r="K67" s="3">
        <v>79.356157383750642</v>
      </c>
      <c r="L67" s="3">
        <v>65.116279069767444</v>
      </c>
      <c r="M67" s="3">
        <v>15.53238199780461</v>
      </c>
      <c r="N67" s="3">
        <v>3.2395870416518333</v>
      </c>
      <c r="O67" s="3">
        <v>59.321071752951859</v>
      </c>
      <c r="P67" s="3">
        <v>70.917178563863587</v>
      </c>
      <c r="Q67" s="3">
        <v>78.980181126132038</v>
      </c>
    </row>
    <row r="68" spans="1:17" x14ac:dyDescent="0.25">
      <c r="A68" t="s">
        <v>1</v>
      </c>
      <c r="B68">
        <v>2011</v>
      </c>
      <c r="C68" s="3">
        <v>14.399363564041368</v>
      </c>
      <c r="D68" s="3">
        <v>40.052739525344272</v>
      </c>
      <c r="E68" s="3">
        <v>61.764705882352942</v>
      </c>
      <c r="F68" s="3">
        <v>75.791514107258237</v>
      </c>
      <c r="G68" s="3">
        <v>80.887445887445892</v>
      </c>
      <c r="H68" s="3">
        <v>84.51541850220265</v>
      </c>
      <c r="I68" s="3">
        <v>85.146000846381725</v>
      </c>
      <c r="J68" s="3">
        <v>82.807881773399018</v>
      </c>
      <c r="K68" s="3">
        <v>80.091533180778029</v>
      </c>
      <c r="L68" s="3">
        <v>65.733566608347914</v>
      </c>
      <c r="M68" s="3">
        <v>16.858638743455497</v>
      </c>
      <c r="N68" s="3">
        <v>5.4452054794520546</v>
      </c>
      <c r="O68" s="3">
        <v>59.468401067709308</v>
      </c>
      <c r="P68" s="3">
        <v>70.958371401129156</v>
      </c>
      <c r="Q68" s="3">
        <v>79.477770861317694</v>
      </c>
    </row>
    <row r="69" spans="1:17" x14ac:dyDescent="0.25">
      <c r="A69" t="s">
        <v>1</v>
      </c>
      <c r="B69">
        <v>2012</v>
      </c>
      <c r="C69" s="3">
        <v>16.447919575537558</v>
      </c>
      <c r="D69" s="3">
        <v>42.275723703066781</v>
      </c>
      <c r="E69" s="3">
        <v>62.127036426871683</v>
      </c>
      <c r="F69" s="3">
        <v>75.865800865800864</v>
      </c>
      <c r="G69" s="3">
        <v>81.557552417629438</v>
      </c>
      <c r="H69" s="3">
        <v>84.6875</v>
      </c>
      <c r="I69" s="3">
        <v>84.863731656184484</v>
      </c>
      <c r="J69" s="3">
        <v>83.001457017969898</v>
      </c>
      <c r="K69" s="3">
        <v>80.232264579651599</v>
      </c>
      <c r="L69" s="3">
        <v>66.506450796863135</v>
      </c>
      <c r="M69" s="3">
        <v>16.864057672502575</v>
      </c>
      <c r="N69" s="3">
        <v>6.8241469816272966</v>
      </c>
      <c r="O69" s="3">
        <v>60.115822903045022</v>
      </c>
      <c r="P69" s="3">
        <v>71.43222446939582</v>
      </c>
      <c r="Q69" s="3">
        <v>79.748822605965458</v>
      </c>
    </row>
    <row r="70" spans="1:17" x14ac:dyDescent="0.25">
      <c r="A70" t="s">
        <v>1</v>
      </c>
      <c r="B70">
        <v>2013</v>
      </c>
      <c r="C70" s="3">
        <v>18.123543123543122</v>
      </c>
      <c r="D70" s="3">
        <v>45.218732473359509</v>
      </c>
      <c r="E70" s="3">
        <v>62.394543169987436</v>
      </c>
      <c r="F70" s="3">
        <v>75.428934547765309</v>
      </c>
      <c r="G70" s="3">
        <v>81.518222989001515</v>
      </c>
      <c r="H70" s="3">
        <v>84.943429068755435</v>
      </c>
      <c r="I70" s="3">
        <v>84.912796806051688</v>
      </c>
      <c r="J70" s="3">
        <v>84.084372003835099</v>
      </c>
      <c r="K70" s="3">
        <v>80.886075949367083</v>
      </c>
      <c r="L70" s="3">
        <v>67.648552564753686</v>
      </c>
      <c r="M70" s="3">
        <v>19.229794780846213</v>
      </c>
      <c r="N70" s="3">
        <v>7.6410906785034873</v>
      </c>
      <c r="O70" s="3">
        <v>61.056490584902512</v>
      </c>
      <c r="P70" s="3">
        <v>72.117950133406936</v>
      </c>
      <c r="Q70" s="3">
        <v>80.112436226562238</v>
      </c>
    </row>
    <row r="71" spans="1:17" x14ac:dyDescent="0.25">
      <c r="A71" t="s">
        <v>1</v>
      </c>
      <c r="B71">
        <v>2014</v>
      </c>
      <c r="C71" s="3">
        <v>16.676885346413243</v>
      </c>
      <c r="D71" s="3">
        <v>44.228634850166479</v>
      </c>
      <c r="E71" s="3">
        <v>64.522249051397026</v>
      </c>
      <c r="F71" s="3">
        <v>74.227902023429181</v>
      </c>
      <c r="G71" s="3">
        <v>81.529209621993132</v>
      </c>
      <c r="H71" s="3">
        <v>84.900831733845166</v>
      </c>
      <c r="I71" s="3">
        <v>86.495108464483195</v>
      </c>
      <c r="J71" s="3">
        <v>84.556786703601105</v>
      </c>
      <c r="K71" s="3">
        <v>80.9084102820065</v>
      </c>
      <c r="L71" s="3">
        <v>69.249011857707515</v>
      </c>
      <c r="M71" s="3">
        <v>20.080726538849646</v>
      </c>
      <c r="N71" s="3">
        <v>7.7154007805463829</v>
      </c>
      <c r="O71" s="3">
        <v>61.331031062289895</v>
      </c>
      <c r="P71" s="3">
        <v>72.446561232395965</v>
      </c>
      <c r="Q71" s="3">
        <v>80.52208835341365</v>
      </c>
    </row>
    <row r="72" spans="1:17" x14ac:dyDescent="0.25">
      <c r="A72" t="s">
        <v>1</v>
      </c>
      <c r="B72">
        <v>2015</v>
      </c>
      <c r="C72" s="3">
        <v>19.23916432803243</v>
      </c>
      <c r="D72" s="3">
        <v>47.508445945945951</v>
      </c>
      <c r="E72" s="3">
        <v>67.319148936170208</v>
      </c>
      <c r="F72" s="3">
        <v>76.263048016701461</v>
      </c>
      <c r="G72" s="3">
        <v>81.528934443732652</v>
      </c>
      <c r="H72" s="3">
        <v>85.554840094440863</v>
      </c>
      <c r="I72" s="3">
        <v>86.234211089702413</v>
      </c>
      <c r="J72" s="3">
        <v>85.063067050232348</v>
      </c>
      <c r="K72" s="3">
        <v>82.007952286282304</v>
      </c>
      <c r="L72" s="3">
        <v>69.426077757207082</v>
      </c>
      <c r="M72" s="3">
        <v>21.011178861788618</v>
      </c>
      <c r="N72" s="3">
        <v>7.472087031205267</v>
      </c>
      <c r="O72" s="3">
        <v>62.637463008293452</v>
      </c>
      <c r="P72" s="3">
        <v>73.876570081168097</v>
      </c>
      <c r="Q72" s="3">
        <v>81.132136087640959</v>
      </c>
    </row>
    <row r="73" spans="1:17" x14ac:dyDescent="0.25">
      <c r="A73" t="s">
        <v>1</v>
      </c>
      <c r="B73">
        <v>2016</v>
      </c>
      <c r="C73" s="3">
        <v>22.807017543859647</v>
      </c>
      <c r="D73" s="3">
        <v>50.812197207181534</v>
      </c>
      <c r="E73" s="3">
        <v>68.891384566019582</v>
      </c>
      <c r="F73" s="3">
        <v>76.927747419550698</v>
      </c>
      <c r="G73" s="3">
        <v>81.9253859348199</v>
      </c>
      <c r="H73" s="3">
        <v>85.172704296545902</v>
      </c>
      <c r="I73" s="3">
        <v>87.071751777634134</v>
      </c>
      <c r="J73" s="3">
        <v>85.521601685985246</v>
      </c>
      <c r="K73" s="3">
        <v>82.355877214873971</v>
      </c>
      <c r="L73" s="3">
        <v>69.866596913418775</v>
      </c>
      <c r="M73" s="3">
        <v>21.241236042586344</v>
      </c>
      <c r="N73" s="3">
        <v>7.5914800655379571</v>
      </c>
      <c r="O73" s="3">
        <v>63.791085096803243</v>
      </c>
      <c r="P73" s="3">
        <v>74.957608210620265</v>
      </c>
      <c r="Q73" s="3">
        <v>81.523013082454312</v>
      </c>
    </row>
    <row r="74" spans="1:17" x14ac:dyDescent="0.25">
      <c r="A74" t="s">
        <v>1</v>
      </c>
      <c r="B74">
        <v>2017</v>
      </c>
      <c r="C74" s="3">
        <v>23.72933251684017</v>
      </c>
      <c r="D74" s="3">
        <v>51.502455937590298</v>
      </c>
      <c r="E74" s="3">
        <v>68.941395927250113</v>
      </c>
      <c r="F74" s="3">
        <v>76.462611390933745</v>
      </c>
      <c r="G74" s="3">
        <v>81.935894714497977</v>
      </c>
      <c r="H74" s="3">
        <v>84.928080050031269</v>
      </c>
      <c r="I74" s="3">
        <v>86.692759295499016</v>
      </c>
      <c r="J74" s="3">
        <v>86.17396719950176</v>
      </c>
      <c r="K74" s="3">
        <v>82.035635831095917</v>
      </c>
      <c r="L74" s="3">
        <v>69.924222628690885</v>
      </c>
      <c r="M74" s="3">
        <v>22.350472193074502</v>
      </c>
      <c r="N74" s="3">
        <v>9.2676431424766967</v>
      </c>
      <c r="O74" s="3">
        <v>64.114381294707997</v>
      </c>
      <c r="P74" s="3">
        <v>75.071090047393369</v>
      </c>
      <c r="Q74" s="3">
        <v>81.399562636676038</v>
      </c>
    </row>
    <row r="75" spans="1:17" x14ac:dyDescent="0.25">
      <c r="A75" t="s">
        <v>1</v>
      </c>
      <c r="B75">
        <v>2018</v>
      </c>
      <c r="C75" s="3">
        <v>23.763570566948129</v>
      </c>
      <c r="D75" s="3">
        <v>48.537409966191383</v>
      </c>
      <c r="E75" s="3">
        <v>69.762548842801323</v>
      </c>
      <c r="F75" s="3">
        <v>77.477477477477478</v>
      </c>
      <c r="G75" s="3">
        <v>81.135190918472659</v>
      </c>
      <c r="H75" s="3">
        <v>84.852267998335421</v>
      </c>
      <c r="I75" s="3">
        <v>86.484771573604064</v>
      </c>
      <c r="J75" s="3">
        <v>86.493720403541289</v>
      </c>
      <c r="K75" s="3">
        <v>82.752781809385581</v>
      </c>
      <c r="L75" s="3">
        <v>71.536262022355075</v>
      </c>
      <c r="M75" s="3">
        <v>24.51885051410493</v>
      </c>
      <c r="N75" s="3">
        <v>9.3340325117986378</v>
      </c>
      <c r="O75" s="3">
        <v>64.326745718050077</v>
      </c>
      <c r="P75" s="3">
        <v>75.09238728750924</v>
      </c>
      <c r="Q75" s="3">
        <v>81.732985097557233</v>
      </c>
    </row>
    <row r="76" spans="1:17" x14ac:dyDescent="0.25">
      <c r="A76" t="s">
        <v>1</v>
      </c>
      <c r="B76">
        <v>2019</v>
      </c>
      <c r="C76" s="3">
        <v>31.546929316338357</v>
      </c>
      <c r="D76" s="3">
        <v>50.170143512353896</v>
      </c>
      <c r="E76" s="3">
        <v>73.808104886769968</v>
      </c>
      <c r="F76" s="3">
        <v>77.827972533429715</v>
      </c>
      <c r="G76" s="3">
        <v>80.713396930734135</v>
      </c>
      <c r="H76" s="3">
        <v>85.396759451599507</v>
      </c>
      <c r="I76" s="3">
        <v>86.863880844021509</v>
      </c>
      <c r="J76" s="3">
        <v>86.510753810816453</v>
      </c>
      <c r="K76" s="3">
        <v>83.904585456229739</v>
      </c>
      <c r="L76" s="3">
        <v>71.465295629820048</v>
      </c>
      <c r="M76" s="3">
        <v>29.379760609357998</v>
      </c>
      <c r="N76" s="3">
        <v>12.18872870249017</v>
      </c>
      <c r="O76" s="3">
        <v>66.244012888617959</v>
      </c>
      <c r="P76" s="3">
        <v>76.174901015665341</v>
      </c>
      <c r="Q76" s="3">
        <v>81.982364170782702</v>
      </c>
    </row>
    <row r="77" spans="1:17" x14ac:dyDescent="0.25">
      <c r="A77" t="s">
        <v>1</v>
      </c>
      <c r="B77">
        <v>2020</v>
      </c>
      <c r="C77" s="3">
        <v>28.491149199213261</v>
      </c>
      <c r="D77" s="3">
        <v>46.783625730994146</v>
      </c>
      <c r="E77" s="3">
        <v>73.028728606356964</v>
      </c>
      <c r="F77" s="3">
        <v>77.962866562554225</v>
      </c>
      <c r="G77" s="3">
        <v>80.032599837000816</v>
      </c>
      <c r="H77" s="3">
        <v>84.746809386578832</v>
      </c>
      <c r="I77" s="3">
        <v>86.310760282509349</v>
      </c>
      <c r="J77" s="3">
        <v>86.107608238755788</v>
      </c>
      <c r="K77" s="3">
        <v>83.070778788551152</v>
      </c>
      <c r="L77" s="3">
        <v>71.421267893660527</v>
      </c>
      <c r="M77" s="3">
        <v>26.69956140350877</v>
      </c>
      <c r="N77" s="3">
        <v>10.172185430463577</v>
      </c>
      <c r="O77" s="3">
        <v>65.091732025014679</v>
      </c>
      <c r="P77" s="3">
        <v>75.275029848200575</v>
      </c>
      <c r="Q77" s="3">
        <v>81.527446300715994</v>
      </c>
    </row>
    <row r="78" spans="1:17" x14ac:dyDescent="0.25">
      <c r="A78" t="s">
        <v>1</v>
      </c>
      <c r="B78">
        <v>2021</v>
      </c>
      <c r="C78" s="3">
        <v>30.273019271948609</v>
      </c>
      <c r="D78" s="3">
        <v>48.319327731092436</v>
      </c>
      <c r="E78" s="3">
        <v>74.573817947893218</v>
      </c>
      <c r="F78" s="3">
        <v>78.606795287689948</v>
      </c>
      <c r="G78" s="3">
        <v>80.127821050529263</v>
      </c>
      <c r="H78" s="3">
        <v>84.890166290289471</v>
      </c>
      <c r="I78" s="3">
        <v>86.477599671187832</v>
      </c>
      <c r="J78" s="3">
        <v>86.772823779193203</v>
      </c>
      <c r="K78" s="3">
        <v>84.269662921348313</v>
      </c>
      <c r="L78" s="3">
        <v>71.738575440388047</v>
      </c>
      <c r="M78" s="3">
        <v>28.313746925389449</v>
      </c>
      <c r="N78" s="3">
        <v>12.221618685497013</v>
      </c>
      <c r="O78" s="3">
        <v>66.079598225035269</v>
      </c>
      <c r="P78" s="3">
        <v>76.071390629979817</v>
      </c>
      <c r="Q78" s="3">
        <v>81.988510826336721</v>
      </c>
    </row>
    <row r="79" spans="1:17" x14ac:dyDescent="0.25">
      <c r="A79" t="s">
        <v>1</v>
      </c>
      <c r="B79">
        <v>2022</v>
      </c>
      <c r="C79" s="3">
        <v>33.617791569692265</v>
      </c>
      <c r="D79" s="3">
        <v>49.859035804905552</v>
      </c>
      <c r="E79" s="3">
        <v>75.334896182183513</v>
      </c>
      <c r="F79" s="3">
        <v>81.224627875507437</v>
      </c>
      <c r="G79" s="3">
        <v>81.555641124374276</v>
      </c>
      <c r="H79" s="3">
        <v>84.936892199462037</v>
      </c>
      <c r="I79" s="3">
        <v>87.377850162866451</v>
      </c>
      <c r="J79" s="3">
        <v>86.70360110803324</v>
      </c>
      <c r="K79" s="3">
        <v>85.092127303182579</v>
      </c>
      <c r="L79" s="3">
        <v>73.083645443196005</v>
      </c>
      <c r="M79" s="3">
        <v>30.197885605855245</v>
      </c>
      <c r="N79" s="3">
        <v>12.766539092400219</v>
      </c>
      <c r="O79" s="3">
        <v>67.250234621619313</v>
      </c>
      <c r="P79" s="3">
        <v>77.084256504399576</v>
      </c>
      <c r="Q79" s="3">
        <v>83.015294974508379</v>
      </c>
    </row>
    <row r="80" spans="1:17" x14ac:dyDescent="0.25">
      <c r="A80" t="s">
        <v>1</v>
      </c>
      <c r="B80">
        <v>2023</v>
      </c>
      <c r="C80" s="3">
        <v>34.150702426564493</v>
      </c>
      <c r="D80" s="3">
        <v>49.748743718592962</v>
      </c>
      <c r="E80" s="3">
        <v>75.361321403991738</v>
      </c>
      <c r="F80" s="3">
        <v>82.256444593237362</v>
      </c>
      <c r="G80" s="3">
        <v>82.825009531071288</v>
      </c>
      <c r="H80" s="3">
        <v>85.351483136936196</v>
      </c>
      <c r="I80" s="3">
        <v>86.739533924520515</v>
      </c>
      <c r="J80" s="3">
        <v>86.885928393005827</v>
      </c>
      <c r="K80" s="3">
        <v>85.485214493960854</v>
      </c>
      <c r="L80" s="3">
        <v>74.292803970223318</v>
      </c>
      <c r="M80" s="3">
        <v>33.279483037156702</v>
      </c>
      <c r="N80" s="3">
        <v>13.322323148912742</v>
      </c>
      <c r="O80" s="3">
        <v>67.789177840986042</v>
      </c>
      <c r="P80" s="3">
        <v>77.364963809045648</v>
      </c>
      <c r="Q80" s="3">
        <v>83.573511999306902</v>
      </c>
    </row>
    <row r="81" spans="1:17" x14ac:dyDescent="0.25">
      <c r="A81" t="s">
        <v>1</v>
      </c>
      <c r="B81">
        <v>2024</v>
      </c>
      <c r="C81" s="3">
        <v>33.341752967921188</v>
      </c>
      <c r="D81" s="3">
        <v>46.915218256600774</v>
      </c>
      <c r="E81" s="3">
        <v>72.792824481181853</v>
      </c>
      <c r="F81" s="3">
        <v>82.256427604871448</v>
      </c>
      <c r="G81" s="3">
        <v>82.978329320244498</v>
      </c>
      <c r="H81" s="3">
        <v>85.347307850390465</v>
      </c>
      <c r="I81" s="3">
        <v>86.977127549969097</v>
      </c>
      <c r="J81" s="3">
        <v>86.070261437908499</v>
      </c>
      <c r="K81" s="3">
        <v>85.377159713442893</v>
      </c>
      <c r="L81" s="3">
        <v>75.112692763938313</v>
      </c>
      <c r="M81" s="3">
        <v>33.93187219434909</v>
      </c>
      <c r="N81" s="3">
        <v>13.871517907902216</v>
      </c>
      <c r="O81" s="3">
        <v>67.229763869707284</v>
      </c>
      <c r="P81" s="3">
        <v>76.541259613385989</v>
      </c>
      <c r="Q81" s="3">
        <v>83.552612721070886</v>
      </c>
    </row>
    <row r="82" spans="1:17" x14ac:dyDescent="0.25">
      <c r="A82" t="s">
        <v>2</v>
      </c>
      <c r="B82">
        <v>1985</v>
      </c>
      <c r="C82" s="3">
        <v>44.003792068257233</v>
      </c>
      <c r="D82" s="3">
        <v>73.804052642573637</v>
      </c>
      <c r="E82" s="3">
        <v>84.104852203011717</v>
      </c>
      <c r="F82" s="3">
        <v>88.480921526277896</v>
      </c>
      <c r="G82" s="3">
        <v>91.247755834829448</v>
      </c>
      <c r="H82" s="3">
        <v>92.529567945932897</v>
      </c>
      <c r="I82" s="3">
        <v>92.416413373860181</v>
      </c>
      <c r="J82" s="3">
        <v>89.334900906953308</v>
      </c>
      <c r="K82" s="3">
        <v>83.421400264200798</v>
      </c>
      <c r="L82" s="3">
        <v>59.399877526025726</v>
      </c>
      <c r="M82" s="3">
        <v>12.765246449456976</v>
      </c>
      <c r="N82" s="3">
        <v>4.5179507866075035</v>
      </c>
      <c r="O82" s="3">
        <v>71.571155959058572</v>
      </c>
      <c r="P82" s="3">
        <v>83.983929010159983</v>
      </c>
      <c r="Q82" s="3">
        <v>85.886603229754812</v>
      </c>
    </row>
    <row r="83" spans="1:17" x14ac:dyDescent="0.25">
      <c r="A83" t="s">
        <v>2</v>
      </c>
      <c r="B83">
        <v>1986</v>
      </c>
      <c r="C83" s="3">
        <v>41.971383147853736</v>
      </c>
      <c r="D83" s="3">
        <v>73.301943498296936</v>
      </c>
      <c r="E83" s="3">
        <v>83.989326217478322</v>
      </c>
      <c r="F83" s="3">
        <v>88.783382789317514</v>
      </c>
      <c r="G83" s="3">
        <v>91.395483497394324</v>
      </c>
      <c r="H83" s="3">
        <v>92.661903141658158</v>
      </c>
      <c r="I83" s="3">
        <v>92.362661902635097</v>
      </c>
      <c r="J83" s="3">
        <v>89.250542480387253</v>
      </c>
      <c r="K83" s="3">
        <v>84.487072560467055</v>
      </c>
      <c r="L83" s="3">
        <v>62.018779342723008</v>
      </c>
      <c r="M83" s="3">
        <v>10.581319399085565</v>
      </c>
      <c r="N83" s="3">
        <v>3.7044453344012815</v>
      </c>
      <c r="O83" s="3">
        <v>71.50788744648213</v>
      </c>
      <c r="P83" s="3">
        <v>84.339347496640258</v>
      </c>
      <c r="Q83" s="3">
        <v>86.56268393172455</v>
      </c>
    </row>
    <row r="84" spans="1:17" x14ac:dyDescent="0.25">
      <c r="A84" t="s">
        <v>2</v>
      </c>
      <c r="B84">
        <v>1987</v>
      </c>
      <c r="C84" s="3">
        <v>40.047808764940243</v>
      </c>
      <c r="D84" s="3">
        <v>73.329419821935232</v>
      </c>
      <c r="E84" s="3">
        <v>83.769401330376937</v>
      </c>
      <c r="F84" s="3">
        <v>88.702779757662157</v>
      </c>
      <c r="G84" s="3">
        <v>90.778471322576848</v>
      </c>
      <c r="H84" s="3">
        <v>92.44884341637011</v>
      </c>
      <c r="I84" s="3">
        <v>92.412917783105343</v>
      </c>
      <c r="J84" s="3">
        <v>90.311361377939718</v>
      </c>
      <c r="K84" s="3">
        <v>84.410711239979534</v>
      </c>
      <c r="L84" s="3">
        <v>62.624980161879066</v>
      </c>
      <c r="M84" s="3">
        <v>10.453017448375219</v>
      </c>
      <c r="N84" s="3">
        <v>4.039389067524116</v>
      </c>
      <c r="O84" s="3">
        <v>71.425972046899346</v>
      </c>
      <c r="P84" s="3">
        <v>84.389862994250024</v>
      </c>
      <c r="Q84" s="3">
        <v>86.707426651560723</v>
      </c>
    </row>
    <row r="85" spans="1:17" x14ac:dyDescent="0.25">
      <c r="A85" t="s">
        <v>2</v>
      </c>
      <c r="B85">
        <v>1988</v>
      </c>
      <c r="C85" s="3">
        <v>42.926983125689958</v>
      </c>
      <c r="D85" s="3">
        <v>75.224735750271648</v>
      </c>
      <c r="E85" s="3">
        <v>84.654927266761462</v>
      </c>
      <c r="F85" s="3">
        <v>88.774779078098874</v>
      </c>
      <c r="G85" s="3">
        <v>91.312649164677808</v>
      </c>
      <c r="H85" s="3">
        <v>92.407448459321657</v>
      </c>
      <c r="I85" s="3">
        <v>92.308730265821083</v>
      </c>
      <c r="J85" s="3">
        <v>90.258481421647815</v>
      </c>
      <c r="K85" s="3">
        <v>84.429184549356222</v>
      </c>
      <c r="L85" s="3">
        <v>63.451528952504873</v>
      </c>
      <c r="M85" s="3">
        <v>11.201143946615824</v>
      </c>
      <c r="N85" s="3">
        <v>4.9235656144530475</v>
      </c>
      <c r="O85" s="3">
        <v>72.150235592606009</v>
      </c>
      <c r="P85" s="3">
        <v>85.001982553528947</v>
      </c>
      <c r="Q85" s="3">
        <v>86.991236611489768</v>
      </c>
    </row>
    <row r="86" spans="1:17" x14ac:dyDescent="0.25">
      <c r="A86" t="s">
        <v>2</v>
      </c>
      <c r="B86">
        <v>1989</v>
      </c>
      <c r="C86" s="3">
        <v>43.792464484249535</v>
      </c>
      <c r="D86" s="3">
        <v>74.660857510644618</v>
      </c>
      <c r="E86" s="3">
        <v>84.607395097631908</v>
      </c>
      <c r="F86" s="3">
        <v>88.939660222612773</v>
      </c>
      <c r="G86" s="3">
        <v>90.919131181740084</v>
      </c>
      <c r="H86" s="3">
        <v>92.188544684644526</v>
      </c>
      <c r="I86" s="3">
        <v>92.066939192641797</v>
      </c>
      <c r="J86" s="3">
        <v>89.917277977212422</v>
      </c>
      <c r="K86" s="3">
        <v>84.087390332014451</v>
      </c>
      <c r="L86" s="3">
        <v>64.601473543201607</v>
      </c>
      <c r="M86" s="3">
        <v>10.902196239532312</v>
      </c>
      <c r="N86" s="3">
        <v>4.5078740157480315</v>
      </c>
      <c r="O86" s="3">
        <v>72.155896516967189</v>
      </c>
      <c r="P86" s="3">
        <v>84.970240179259164</v>
      </c>
      <c r="Q86" s="3">
        <v>87.052517512287636</v>
      </c>
    </row>
    <row r="87" spans="1:17" x14ac:dyDescent="0.25">
      <c r="A87" t="s">
        <v>2</v>
      </c>
      <c r="B87">
        <v>1990</v>
      </c>
      <c r="C87" s="3">
        <v>41.380372823910029</v>
      </c>
      <c r="D87" s="3">
        <v>72.791690933799259</v>
      </c>
      <c r="E87" s="3">
        <v>83.744714327859185</v>
      </c>
      <c r="F87" s="3">
        <v>88.44092286180377</v>
      </c>
      <c r="G87" s="3">
        <v>90.772243299473757</v>
      </c>
      <c r="H87" s="3">
        <v>92.117500283543151</v>
      </c>
      <c r="I87" s="3">
        <v>92.073318766690946</v>
      </c>
      <c r="J87" s="3">
        <v>89.84973934375958</v>
      </c>
      <c r="K87" s="3">
        <v>84.788924970090591</v>
      </c>
      <c r="L87" s="3">
        <v>65.775401069518708</v>
      </c>
      <c r="M87" s="3">
        <v>12.571428571428573</v>
      </c>
      <c r="N87" s="3">
        <v>4.4196843082636956</v>
      </c>
      <c r="O87" s="3">
        <v>71.925925925925924</v>
      </c>
      <c r="P87" s="3">
        <v>84.698201493464367</v>
      </c>
      <c r="Q87" s="3">
        <v>87.24460348609027</v>
      </c>
    </row>
    <row r="88" spans="1:17" x14ac:dyDescent="0.25">
      <c r="A88" t="s">
        <v>2</v>
      </c>
      <c r="B88">
        <v>1991</v>
      </c>
      <c r="C88" s="3">
        <v>32.256030269588521</v>
      </c>
      <c r="D88" s="3">
        <v>64.508573034760602</v>
      </c>
      <c r="E88" s="3">
        <v>79.407393646665426</v>
      </c>
      <c r="F88" s="3">
        <v>86.277656769460037</v>
      </c>
      <c r="G88" s="3">
        <v>88.504356243949672</v>
      </c>
      <c r="H88" s="3">
        <v>90.937645416472776</v>
      </c>
      <c r="I88" s="3">
        <v>91.410831321145224</v>
      </c>
      <c r="J88" s="3">
        <v>89.770669885334939</v>
      </c>
      <c r="K88" s="3">
        <v>83.799931717309661</v>
      </c>
      <c r="L88" s="3">
        <v>66.289001220149899</v>
      </c>
      <c r="M88" s="3">
        <v>12.109570736595957</v>
      </c>
      <c r="N88" s="3">
        <v>3.4841954022988508</v>
      </c>
      <c r="O88" s="3">
        <v>69.324912891986074</v>
      </c>
      <c r="P88" s="3">
        <v>82.095426144816201</v>
      </c>
      <c r="Q88" s="3">
        <v>86.221739710111805</v>
      </c>
    </row>
    <row r="89" spans="1:17" x14ac:dyDescent="0.25">
      <c r="A89" t="s">
        <v>2</v>
      </c>
      <c r="B89">
        <v>1992</v>
      </c>
      <c r="C89" s="3">
        <v>20.064724919093852</v>
      </c>
      <c r="D89" s="3">
        <v>53.103888990323171</v>
      </c>
      <c r="E89" s="3">
        <v>74.274627392186261</v>
      </c>
      <c r="F89" s="3">
        <v>82.670744138634049</v>
      </c>
      <c r="G89" s="3">
        <v>85.865053954701764</v>
      </c>
      <c r="H89" s="3">
        <v>88.932384341637004</v>
      </c>
      <c r="I89" s="3">
        <v>90.256294456362198</v>
      </c>
      <c r="J89" s="3">
        <v>88.609233424421106</v>
      </c>
      <c r="K89" s="3">
        <v>82.722513089005233</v>
      </c>
      <c r="L89" s="3">
        <v>60.77239406400858</v>
      </c>
      <c r="M89" s="3">
        <v>9.1170500676589974</v>
      </c>
      <c r="N89" s="3">
        <v>2.5267590805404456</v>
      </c>
      <c r="O89" s="3">
        <v>65.146079484425343</v>
      </c>
      <c r="P89" s="3">
        <v>77.982711229733496</v>
      </c>
      <c r="Q89" s="3">
        <v>83.916176248679648</v>
      </c>
    </row>
    <row r="90" spans="1:17" x14ac:dyDescent="0.25">
      <c r="A90" t="s">
        <v>2</v>
      </c>
      <c r="B90">
        <v>1993</v>
      </c>
      <c r="C90" s="3">
        <v>13.355780022446689</v>
      </c>
      <c r="D90" s="3">
        <v>39.449621179134368</v>
      </c>
      <c r="E90" s="3">
        <v>66.130014794186749</v>
      </c>
      <c r="F90" s="3">
        <v>76.716120460584591</v>
      </c>
      <c r="G90" s="3">
        <v>81.355134690036465</v>
      </c>
      <c r="H90" s="3">
        <v>85.399122286798729</v>
      </c>
      <c r="I90" s="3">
        <v>87.267845155515772</v>
      </c>
      <c r="J90" s="3">
        <v>85.317950830929817</v>
      </c>
      <c r="K90" s="3">
        <v>80.454845088991433</v>
      </c>
      <c r="L90" s="3">
        <v>49.035862317534686</v>
      </c>
      <c r="M90" s="3">
        <v>9.6314325452016689</v>
      </c>
      <c r="N90" s="3">
        <v>5.0617498695425294</v>
      </c>
      <c r="O90" s="3">
        <v>59.745852378533947</v>
      </c>
      <c r="P90" s="3">
        <v>71.364003438664142</v>
      </c>
      <c r="Q90" s="3">
        <v>79.293680297397771</v>
      </c>
    </row>
    <row r="91" spans="1:17" x14ac:dyDescent="0.25">
      <c r="A91" t="s">
        <v>2</v>
      </c>
      <c r="B91">
        <v>1994</v>
      </c>
      <c r="C91" s="3">
        <v>13.767044521110563</v>
      </c>
      <c r="D91" s="3">
        <v>40.08901343443501</v>
      </c>
      <c r="E91" s="3">
        <v>66.173967571441366</v>
      </c>
      <c r="F91" s="3">
        <v>76.622691292875984</v>
      </c>
      <c r="G91" s="3">
        <v>81.181923522595596</v>
      </c>
      <c r="H91" s="3">
        <v>85.146113738329092</v>
      </c>
      <c r="I91" s="3">
        <v>86.841811067635561</v>
      </c>
      <c r="J91" s="3">
        <v>85.490753911806536</v>
      </c>
      <c r="K91" s="3">
        <v>77.531140210795272</v>
      </c>
      <c r="L91" s="3">
        <v>49.610718812239725</v>
      </c>
      <c r="M91" s="3">
        <v>9.2091200570003551</v>
      </c>
      <c r="N91" s="3">
        <v>4.5265348595213322</v>
      </c>
      <c r="O91" s="3">
        <v>59.772123291970956</v>
      </c>
      <c r="P91" s="3">
        <v>71.069375632113278</v>
      </c>
      <c r="Q91" s="3">
        <v>78.923652284958507</v>
      </c>
    </row>
    <row r="92" spans="1:17" x14ac:dyDescent="0.25">
      <c r="A92" t="s">
        <v>2</v>
      </c>
      <c r="B92">
        <v>1995</v>
      </c>
      <c r="C92" s="3">
        <v>14.677232953607398</v>
      </c>
      <c r="D92" s="3">
        <v>37.663174858984689</v>
      </c>
      <c r="E92" s="3">
        <v>66.619545754405806</v>
      </c>
      <c r="F92" s="3">
        <v>75.940846506884242</v>
      </c>
      <c r="G92" s="3">
        <v>80.272737778805038</v>
      </c>
      <c r="H92" s="3">
        <v>84.093935358915388</v>
      </c>
      <c r="I92" s="3">
        <v>86.059986366734833</v>
      </c>
      <c r="J92" s="3">
        <v>85.568656349791212</v>
      </c>
      <c r="K92" s="3">
        <v>77.45991826469664</v>
      </c>
      <c r="L92" s="3">
        <v>50.392857142857139</v>
      </c>
      <c r="M92" s="3">
        <v>11.883899233296823</v>
      </c>
      <c r="N92" s="3">
        <v>4.3930428545813163</v>
      </c>
      <c r="O92" s="3">
        <v>59.691096305269532</v>
      </c>
      <c r="P92" s="3">
        <v>70.409175291813952</v>
      </c>
      <c r="Q92" s="3">
        <v>78.437752808988762</v>
      </c>
    </row>
    <row r="93" spans="1:17" x14ac:dyDescent="0.25">
      <c r="A93" t="s">
        <v>2</v>
      </c>
      <c r="B93">
        <v>1996</v>
      </c>
      <c r="C93" s="3">
        <v>13.346580559695315</v>
      </c>
      <c r="D93" s="3">
        <v>36.065573770491802</v>
      </c>
      <c r="E93" s="3">
        <v>66.663525864505786</v>
      </c>
      <c r="F93" s="3">
        <v>76.155791603439553</v>
      </c>
      <c r="G93" s="3">
        <v>79.689850711723182</v>
      </c>
      <c r="H93" s="3">
        <v>83.347391251958072</v>
      </c>
      <c r="I93" s="3">
        <v>84.789455266534461</v>
      </c>
      <c r="J93" s="3">
        <v>84.857343311506085</v>
      </c>
      <c r="K93" s="3">
        <v>77.77262897744825</v>
      </c>
      <c r="L93" s="3">
        <v>50.481970724741167</v>
      </c>
      <c r="M93" s="3">
        <v>11.889281070035295</v>
      </c>
      <c r="N93" s="3">
        <v>3.2658274037584381</v>
      </c>
      <c r="O93" s="3">
        <v>59.273064228971229</v>
      </c>
      <c r="P93" s="3">
        <v>69.878954816536947</v>
      </c>
      <c r="Q93" s="3">
        <v>78.035197943811809</v>
      </c>
    </row>
    <row r="94" spans="1:17" x14ac:dyDescent="0.25">
      <c r="A94" t="s">
        <v>2</v>
      </c>
      <c r="B94">
        <v>1997</v>
      </c>
      <c r="C94" s="3">
        <v>11.922304085733423</v>
      </c>
      <c r="D94" s="3">
        <v>36.292722155207073</v>
      </c>
      <c r="E94" s="3">
        <v>65.175263607865489</v>
      </c>
      <c r="F94" s="3">
        <v>76.263779918561923</v>
      </c>
      <c r="G94" s="3">
        <v>79.477655252466633</v>
      </c>
      <c r="H94" s="3">
        <v>82.864019253910953</v>
      </c>
      <c r="I94" s="3">
        <v>84.010936757013781</v>
      </c>
      <c r="J94" s="3">
        <v>83.759899001492016</v>
      </c>
      <c r="K94" s="3">
        <v>78.276877761413843</v>
      </c>
      <c r="L94" s="3">
        <v>49.466689980765864</v>
      </c>
      <c r="M94" s="3">
        <v>12.285387256772225</v>
      </c>
      <c r="N94" s="3">
        <v>3.6906528189910977</v>
      </c>
      <c r="O94" s="3">
        <v>59.098091396731675</v>
      </c>
      <c r="P94" s="3">
        <v>69.4748083930142</v>
      </c>
      <c r="Q94" s="3">
        <v>77.560570742388919</v>
      </c>
    </row>
    <row r="95" spans="1:17" x14ac:dyDescent="0.25">
      <c r="A95" t="s">
        <v>2</v>
      </c>
      <c r="B95">
        <v>1998</v>
      </c>
      <c r="C95" s="3">
        <v>15.100671140939598</v>
      </c>
      <c r="D95" s="3">
        <v>41.809672386895471</v>
      </c>
      <c r="E95" s="3">
        <v>68.230256898192195</v>
      </c>
      <c r="F95" s="3">
        <v>78.360688752391511</v>
      </c>
      <c r="G95" s="3">
        <v>80.796008354606641</v>
      </c>
      <c r="H95" s="3">
        <v>83.143893591293832</v>
      </c>
      <c r="I95" s="3">
        <v>85.163382988947617</v>
      </c>
      <c r="J95" s="3">
        <v>84.382842801733972</v>
      </c>
      <c r="K95" s="3">
        <v>78.32602855931006</v>
      </c>
      <c r="L95" s="3">
        <v>50.051457975986281</v>
      </c>
      <c r="M95" s="3">
        <v>13.565817206361372</v>
      </c>
      <c r="N95" s="3">
        <v>4.425113464447807</v>
      </c>
      <c r="O95" s="3">
        <v>61.134961653884623</v>
      </c>
      <c r="P95" s="3">
        <v>71.480861875951234</v>
      </c>
      <c r="Q95" s="3">
        <v>78.442934591283532</v>
      </c>
    </row>
    <row r="96" spans="1:17" x14ac:dyDescent="0.25">
      <c r="A96" t="s">
        <v>2</v>
      </c>
      <c r="B96">
        <v>1999</v>
      </c>
      <c r="C96" s="3">
        <v>16.762032985526758</v>
      </c>
      <c r="D96" s="3">
        <v>40.362754931461048</v>
      </c>
      <c r="E96" s="3">
        <v>70.853567426223378</v>
      </c>
      <c r="F96" s="3">
        <v>80.188679245283026</v>
      </c>
      <c r="G96" s="3">
        <v>81.926492075980676</v>
      </c>
      <c r="H96" s="3">
        <v>83.931338657766119</v>
      </c>
      <c r="I96" s="3">
        <v>85.110565110565105</v>
      </c>
      <c r="J96" s="3">
        <v>84.513476473275475</v>
      </c>
      <c r="K96" s="3">
        <v>78.413802327136551</v>
      </c>
      <c r="L96" s="3">
        <v>50.675337668834416</v>
      </c>
      <c r="M96" s="3">
        <v>10.664605873261205</v>
      </c>
      <c r="N96" s="3">
        <v>2.2183641975308643</v>
      </c>
      <c r="O96" s="3">
        <v>61.690979643501898</v>
      </c>
      <c r="P96" s="3">
        <v>72.172827172827169</v>
      </c>
      <c r="Q96" s="3">
        <v>79.048216276477149</v>
      </c>
    </row>
    <row r="97" spans="1:17" x14ac:dyDescent="0.25">
      <c r="A97" t="s">
        <v>2</v>
      </c>
      <c r="B97">
        <v>2000</v>
      </c>
      <c r="C97" s="3">
        <v>18.913377754997438</v>
      </c>
      <c r="D97" s="3">
        <v>44.09595659913537</v>
      </c>
      <c r="E97" s="3">
        <v>72.462044997256271</v>
      </c>
      <c r="F97" s="3">
        <v>81.292410481261086</v>
      </c>
      <c r="G97" s="3">
        <v>83.00497943277766</v>
      </c>
      <c r="H97" s="3">
        <v>84.867712199209862</v>
      </c>
      <c r="I97" s="3">
        <v>85.602158449840573</v>
      </c>
      <c r="J97" s="3">
        <v>85.073238781678683</v>
      </c>
      <c r="K97" s="3">
        <v>79.248407643312106</v>
      </c>
      <c r="L97" s="3">
        <v>51.703142998189897</v>
      </c>
      <c r="M97" s="3">
        <v>10.740175505532241</v>
      </c>
      <c r="N97" s="3">
        <v>2.6253454401894984</v>
      </c>
      <c r="O97" s="3">
        <v>63.189828931727746</v>
      </c>
      <c r="P97" s="3">
        <v>73.625037228233893</v>
      </c>
      <c r="Q97" s="3">
        <v>79.866212642386742</v>
      </c>
    </row>
    <row r="98" spans="1:17" x14ac:dyDescent="0.25">
      <c r="A98" t="s">
        <v>2</v>
      </c>
      <c r="B98">
        <v>2001</v>
      </c>
      <c r="C98" s="3">
        <v>16.24176937362823</v>
      </c>
      <c r="D98" s="3">
        <v>43.5128053418984</v>
      </c>
      <c r="E98" s="3">
        <v>72.685651497115643</v>
      </c>
      <c r="F98" s="3">
        <v>81.886555938577246</v>
      </c>
      <c r="G98" s="3">
        <v>83.902387934646001</v>
      </c>
      <c r="H98" s="3">
        <v>84.900521080056848</v>
      </c>
      <c r="I98" s="3">
        <v>85.573050164774813</v>
      </c>
      <c r="J98" s="3">
        <v>84.586959113124323</v>
      </c>
      <c r="K98" s="3">
        <v>79.327446473932511</v>
      </c>
      <c r="L98" s="3">
        <v>53.183279742765279</v>
      </c>
      <c r="M98" s="3">
        <v>9.9961919268849968</v>
      </c>
      <c r="N98" s="3">
        <v>2.3636363636363638</v>
      </c>
      <c r="O98" s="3">
        <v>63.256453118109754</v>
      </c>
      <c r="P98" s="3">
        <v>73.818592878382034</v>
      </c>
      <c r="Q98" s="3">
        <v>80.144625984923422</v>
      </c>
    </row>
    <row r="99" spans="1:17" x14ac:dyDescent="0.25">
      <c r="A99" t="s">
        <v>2</v>
      </c>
      <c r="B99">
        <v>2002</v>
      </c>
      <c r="C99" s="3">
        <v>18.800386971944533</v>
      </c>
      <c r="D99" s="3">
        <v>42.675641564997896</v>
      </c>
      <c r="E99" s="3">
        <v>70.009099181073708</v>
      </c>
      <c r="F99" s="3">
        <v>82.525619128949614</v>
      </c>
      <c r="G99" s="3">
        <v>84.5746306673459</v>
      </c>
      <c r="H99" s="3">
        <v>85.091038070465828</v>
      </c>
      <c r="I99" s="3">
        <v>85.381818181818176</v>
      </c>
      <c r="J99" s="3">
        <v>84.747194400868835</v>
      </c>
      <c r="K99" s="3">
        <v>79.830932253839748</v>
      </c>
      <c r="L99" s="3">
        <v>57.000460052139246</v>
      </c>
      <c r="M99" s="3">
        <v>12.949775112443779</v>
      </c>
      <c r="N99" s="3">
        <v>2.7589046736668723</v>
      </c>
      <c r="O99" s="3">
        <v>63.511507807417047</v>
      </c>
      <c r="P99" s="3">
        <v>73.785270759884341</v>
      </c>
      <c r="Q99" s="3">
        <v>80.743849199634511</v>
      </c>
    </row>
    <row r="100" spans="1:17" x14ac:dyDescent="0.25">
      <c r="A100" t="s">
        <v>2</v>
      </c>
      <c r="B100">
        <v>2003</v>
      </c>
      <c r="C100" s="3">
        <v>15.625484421019998</v>
      </c>
      <c r="D100" s="3">
        <v>39.031993437243642</v>
      </c>
      <c r="E100" s="3">
        <v>66.911491260691704</v>
      </c>
      <c r="F100" s="3">
        <v>79.956336417507018</v>
      </c>
      <c r="G100" s="3">
        <v>83.53253652058433</v>
      </c>
      <c r="H100" s="3">
        <v>84.159570745363354</v>
      </c>
      <c r="I100" s="3">
        <v>84.807972775887222</v>
      </c>
      <c r="J100" s="3">
        <v>84.235322541676737</v>
      </c>
      <c r="K100" s="3">
        <v>79.566196515349048</v>
      </c>
      <c r="L100" s="3">
        <v>58.941659337437699</v>
      </c>
      <c r="M100" s="3">
        <v>10.535976505139502</v>
      </c>
      <c r="N100" s="3">
        <v>1.645075056549455</v>
      </c>
      <c r="O100" s="3">
        <v>61.722002131638746</v>
      </c>
      <c r="P100" s="3">
        <v>72.223431529047559</v>
      </c>
      <c r="Q100" s="3">
        <v>79.951795936129614</v>
      </c>
    </row>
    <row r="101" spans="1:17" x14ac:dyDescent="0.25">
      <c r="A101" t="s">
        <v>2</v>
      </c>
      <c r="B101">
        <v>2004</v>
      </c>
      <c r="C101" s="3">
        <v>13.725490196078432</v>
      </c>
      <c r="D101" s="3">
        <v>39.929646596858639</v>
      </c>
      <c r="E101" s="3">
        <v>65.797183631036759</v>
      </c>
      <c r="F101" s="3">
        <v>80.175851139965232</v>
      </c>
      <c r="G101" s="3">
        <v>83.305421812853254</v>
      </c>
      <c r="H101" s="3">
        <v>83.991006183249013</v>
      </c>
      <c r="I101" s="3">
        <v>84.449244060475166</v>
      </c>
      <c r="J101" s="3">
        <v>83.771328932619255</v>
      </c>
      <c r="K101" s="3">
        <v>80.436329143941194</v>
      </c>
      <c r="L101" s="3">
        <v>62.775453277545324</v>
      </c>
      <c r="M101" s="3">
        <v>13.635555555555555</v>
      </c>
      <c r="N101" s="3">
        <v>3.6131996658312446</v>
      </c>
      <c r="O101" s="3">
        <v>61.863409770687937</v>
      </c>
      <c r="P101" s="3">
        <v>72.485000361437073</v>
      </c>
      <c r="Q101" s="3">
        <v>80.271442098443444</v>
      </c>
    </row>
    <row r="102" spans="1:17" x14ac:dyDescent="0.25">
      <c r="A102" t="s">
        <v>2</v>
      </c>
      <c r="B102">
        <v>2005</v>
      </c>
      <c r="C102" s="3">
        <v>13.785714285714285</v>
      </c>
      <c r="D102" s="3">
        <v>38.30010493179433</v>
      </c>
      <c r="E102" s="3">
        <v>64.989121180588398</v>
      </c>
      <c r="F102" s="3">
        <v>79.909660199158196</v>
      </c>
      <c r="G102" s="3">
        <v>83.547971667739859</v>
      </c>
      <c r="H102" s="3">
        <v>84.107181601215004</v>
      </c>
      <c r="I102" s="3">
        <v>84.396654719235357</v>
      </c>
      <c r="J102" s="3">
        <v>83.711932101847225</v>
      </c>
      <c r="K102" s="3">
        <v>79.468046696353355</v>
      </c>
      <c r="L102" s="3">
        <v>64.262820512820511</v>
      </c>
      <c r="M102" s="3">
        <v>13.805247402711746</v>
      </c>
      <c r="N102" s="3">
        <v>3.2450195111932638</v>
      </c>
      <c r="O102" s="3">
        <v>61.43774018462026</v>
      </c>
      <c r="P102" s="3">
        <v>72.076100508295767</v>
      </c>
      <c r="Q102" s="3">
        <v>80.236866481407958</v>
      </c>
    </row>
    <row r="103" spans="1:17" x14ac:dyDescent="0.25">
      <c r="A103" t="s">
        <v>2</v>
      </c>
      <c r="B103">
        <v>2006</v>
      </c>
      <c r="C103" s="3">
        <v>13.939144736842104</v>
      </c>
      <c r="D103" s="3">
        <v>42.327231674864926</v>
      </c>
      <c r="E103" s="3">
        <v>65.959435461258067</v>
      </c>
      <c r="F103" s="3">
        <v>80.253660548566714</v>
      </c>
      <c r="G103" s="3">
        <v>84.00646203554119</v>
      </c>
      <c r="H103" s="3">
        <v>85.267620561738212</v>
      </c>
      <c r="I103" s="3">
        <v>84.50285442435775</v>
      </c>
      <c r="J103" s="3">
        <v>84.369184964644589</v>
      </c>
      <c r="K103" s="3">
        <v>80.524436784439246</v>
      </c>
      <c r="L103" s="3">
        <v>64.996164663768852</v>
      </c>
      <c r="M103" s="3">
        <v>14.676702018474169</v>
      </c>
      <c r="N103" s="3">
        <v>3.4426229508196724</v>
      </c>
      <c r="O103" s="3">
        <v>62.290837044157165</v>
      </c>
      <c r="P103" s="3">
        <v>73.231902015917655</v>
      </c>
      <c r="Q103" s="3">
        <v>80.81108627038401</v>
      </c>
    </row>
    <row r="104" spans="1:17" x14ac:dyDescent="0.25">
      <c r="A104" t="s">
        <v>2</v>
      </c>
      <c r="B104">
        <v>2007</v>
      </c>
      <c r="C104" s="3">
        <v>13.620533986843803</v>
      </c>
      <c r="D104" s="3">
        <v>44.504042288557216</v>
      </c>
      <c r="E104" s="3">
        <v>66.799223157310649</v>
      </c>
      <c r="F104" s="3">
        <v>81.452779499896678</v>
      </c>
      <c r="G104" s="3">
        <v>84.90074845427921</v>
      </c>
      <c r="H104" s="3">
        <v>85.755395683453244</v>
      </c>
      <c r="I104" s="3">
        <v>85.432977461447209</v>
      </c>
      <c r="J104" s="3">
        <v>84.430550447468434</v>
      </c>
      <c r="K104" s="3">
        <v>81.510416666666657</v>
      </c>
      <c r="L104" s="3">
        <v>67.356927710843379</v>
      </c>
      <c r="M104" s="3">
        <v>17.262678803641094</v>
      </c>
      <c r="N104" s="3">
        <v>4.4997991161108875</v>
      </c>
      <c r="O104" s="3">
        <v>62.976128547482801</v>
      </c>
      <c r="P104" s="3">
        <v>74.221353461370882</v>
      </c>
      <c r="Q104" s="3">
        <v>81.773503575743717</v>
      </c>
    </row>
    <row r="105" spans="1:17" x14ac:dyDescent="0.25">
      <c r="A105" t="s">
        <v>2</v>
      </c>
      <c r="B105">
        <v>2008</v>
      </c>
      <c r="C105" s="3">
        <v>12.911742519487051</v>
      </c>
      <c r="D105" s="3">
        <v>43.117316740021252</v>
      </c>
      <c r="E105" s="3">
        <v>65.725511695906434</v>
      </c>
      <c r="F105" s="3">
        <v>81.127914303717702</v>
      </c>
      <c r="G105" s="3">
        <v>84.673844205193163</v>
      </c>
      <c r="H105" s="3">
        <v>86.155266126551126</v>
      </c>
      <c r="I105" s="3">
        <v>85.444586877986254</v>
      </c>
      <c r="J105" s="3">
        <v>84.766674810652333</v>
      </c>
      <c r="K105" s="3">
        <v>81.123147802266217</v>
      </c>
      <c r="L105" s="3">
        <v>67.066386450735564</v>
      </c>
      <c r="M105" s="3">
        <v>19.107282693813627</v>
      </c>
      <c r="N105" s="3">
        <v>4.0188198392472065</v>
      </c>
      <c r="O105" s="3">
        <v>62.441537701053271</v>
      </c>
      <c r="P105" s="3">
        <v>73.737114604225937</v>
      </c>
      <c r="Q105" s="3">
        <v>81.706525618976542</v>
      </c>
    </row>
    <row r="106" spans="1:17" x14ac:dyDescent="0.25">
      <c r="A106" t="s">
        <v>2</v>
      </c>
      <c r="B106">
        <v>2009</v>
      </c>
      <c r="C106" s="3">
        <v>11.636452719255267</v>
      </c>
      <c r="D106" s="3">
        <v>36.703422597737365</v>
      </c>
      <c r="E106" s="3">
        <v>60.347246580147321</v>
      </c>
      <c r="F106" s="3">
        <v>77.844935389745729</v>
      </c>
      <c r="G106" s="3">
        <v>82.201892088574695</v>
      </c>
      <c r="H106" s="3">
        <v>84.794478211599881</v>
      </c>
      <c r="I106" s="3">
        <v>83.836351441985244</v>
      </c>
      <c r="J106" s="3">
        <v>83.087264434041529</v>
      </c>
      <c r="K106" s="3">
        <v>79.694072657743789</v>
      </c>
      <c r="L106" s="3">
        <v>67.154991998030283</v>
      </c>
      <c r="M106" s="3">
        <v>20.940234317069553</v>
      </c>
      <c r="N106" s="3">
        <v>5.2571428571428571</v>
      </c>
      <c r="O106" s="3">
        <v>59.783274834252609</v>
      </c>
      <c r="P106" s="3">
        <v>70.535887681780281</v>
      </c>
      <c r="Q106" s="3">
        <v>80.005469139575652</v>
      </c>
    </row>
    <row r="107" spans="1:17" x14ac:dyDescent="0.25">
      <c r="A107" t="s">
        <v>2</v>
      </c>
      <c r="B107">
        <v>2010</v>
      </c>
      <c r="C107" s="3">
        <v>13.302245674315866</v>
      </c>
      <c r="D107" s="3">
        <v>39.801343033016231</v>
      </c>
      <c r="E107" s="3">
        <v>61.866872005475706</v>
      </c>
      <c r="F107" s="3">
        <v>78.273381294964025</v>
      </c>
      <c r="G107" s="3">
        <v>83.355844155844167</v>
      </c>
      <c r="H107" s="3">
        <v>84.949484428705347</v>
      </c>
      <c r="I107" s="3">
        <v>84.996773499677346</v>
      </c>
      <c r="J107" s="3">
        <v>83.460347701833768</v>
      </c>
      <c r="K107" s="3">
        <v>80.880855397148679</v>
      </c>
      <c r="L107" s="3">
        <v>68.441961514587206</v>
      </c>
      <c r="M107" s="3">
        <v>20.44809982983551</v>
      </c>
      <c r="N107" s="3">
        <v>5.4302893649004131</v>
      </c>
      <c r="O107" s="3">
        <v>60.795819198679744</v>
      </c>
      <c r="P107" s="3">
        <v>71.707680666764546</v>
      </c>
      <c r="Q107" s="3">
        <v>80.836916388280613</v>
      </c>
    </row>
    <row r="108" spans="1:17" x14ac:dyDescent="0.25">
      <c r="A108" t="s">
        <v>2</v>
      </c>
      <c r="B108">
        <v>2011</v>
      </c>
      <c r="C108" s="3">
        <v>13.785641547861507</v>
      </c>
      <c r="D108" s="3">
        <v>40.689466109245423</v>
      </c>
      <c r="E108" s="3">
        <v>62.847636922026965</v>
      </c>
      <c r="F108" s="3">
        <v>78.483480402216301</v>
      </c>
      <c r="G108" s="3">
        <v>84.089490114464098</v>
      </c>
      <c r="H108" s="3">
        <v>86.025465642428713</v>
      </c>
      <c r="I108" s="3">
        <v>85.912553480121048</v>
      </c>
      <c r="J108" s="3">
        <v>84.308542592815101</v>
      </c>
      <c r="K108" s="3">
        <v>81.611804767309877</v>
      </c>
      <c r="L108" s="3">
        <v>68.719776024433699</v>
      </c>
      <c r="M108" s="3">
        <v>23.936098805208754</v>
      </c>
      <c r="N108" s="3">
        <v>8.9071038251366108</v>
      </c>
      <c r="O108" s="3">
        <v>61.722597118365861</v>
      </c>
      <c r="P108" s="3">
        <v>72.39070500196928</v>
      </c>
      <c r="Q108" s="3">
        <v>81.573730656094128</v>
      </c>
    </row>
    <row r="109" spans="1:17" x14ac:dyDescent="0.25">
      <c r="A109" t="s">
        <v>2</v>
      </c>
      <c r="B109">
        <v>2012</v>
      </c>
      <c r="C109" s="3">
        <v>14.952521064598102</v>
      </c>
      <c r="D109" s="3">
        <v>41.587172721737367</v>
      </c>
      <c r="E109" s="3">
        <v>63.555630026809652</v>
      </c>
      <c r="F109" s="3">
        <v>78.587512794268164</v>
      </c>
      <c r="G109" s="3">
        <v>84.369173399627101</v>
      </c>
      <c r="H109" s="3">
        <v>85.96360540598063</v>
      </c>
      <c r="I109" s="3">
        <v>86.096419853539459</v>
      </c>
      <c r="J109" s="3">
        <v>84.285884739291248</v>
      </c>
      <c r="K109" s="3">
        <v>81.535373808329155</v>
      </c>
      <c r="L109" s="3">
        <v>69.751026694045166</v>
      </c>
      <c r="M109" s="3">
        <v>23.776315789473685</v>
      </c>
      <c r="N109" s="3">
        <v>11.02005231037489</v>
      </c>
      <c r="O109" s="3">
        <v>62.228647565872365</v>
      </c>
      <c r="P109" s="3">
        <v>72.723007317209408</v>
      </c>
      <c r="Q109" s="3">
        <v>81.794006178540712</v>
      </c>
    </row>
    <row r="110" spans="1:17" x14ac:dyDescent="0.25">
      <c r="A110" t="s">
        <v>2</v>
      </c>
      <c r="B110">
        <v>2013</v>
      </c>
      <c r="C110" s="3">
        <v>15.893760539629003</v>
      </c>
      <c r="D110" s="3">
        <v>43.528860945756136</v>
      </c>
      <c r="E110" s="3">
        <v>64.095222513088999</v>
      </c>
      <c r="F110" s="3">
        <v>78.163326353574632</v>
      </c>
      <c r="G110" s="3">
        <v>84.082864876119089</v>
      </c>
      <c r="H110" s="3">
        <v>86.125956198260496</v>
      </c>
      <c r="I110" s="3">
        <v>86.227240362119829</v>
      </c>
      <c r="J110" s="3">
        <v>85.046290870737138</v>
      </c>
      <c r="K110" s="3">
        <v>81.980742778541952</v>
      </c>
      <c r="L110" s="3">
        <v>70.180180180180187</v>
      </c>
      <c r="M110" s="3">
        <v>25.395795484038413</v>
      </c>
      <c r="N110" s="3">
        <v>12.10649698593436</v>
      </c>
      <c r="O110" s="3">
        <v>62.934272722370999</v>
      </c>
      <c r="P110" s="3">
        <v>73.185314530745771</v>
      </c>
      <c r="Q110" s="3">
        <v>81.944115370642407</v>
      </c>
    </row>
    <row r="111" spans="1:17" x14ac:dyDescent="0.25">
      <c r="A111" t="s">
        <v>2</v>
      </c>
      <c r="B111">
        <v>2014</v>
      </c>
      <c r="C111" s="3">
        <v>15.1532932374945</v>
      </c>
      <c r="D111" s="3">
        <v>43.797317040775667</v>
      </c>
      <c r="E111" s="3">
        <v>65.846080305927345</v>
      </c>
      <c r="F111" s="3">
        <v>77.32989997028821</v>
      </c>
      <c r="G111" s="3">
        <v>83.89114795120426</v>
      </c>
      <c r="H111" s="3">
        <v>86.449752883031309</v>
      </c>
      <c r="I111" s="3">
        <v>87.188977997121114</v>
      </c>
      <c r="J111" s="3">
        <v>85.176444144751628</v>
      </c>
      <c r="K111" s="3">
        <v>82.323294406883846</v>
      </c>
      <c r="L111" s="3">
        <v>71.10346652553585</v>
      </c>
      <c r="M111" s="3">
        <v>25.944682508765094</v>
      </c>
      <c r="N111" s="3">
        <v>12.452651515151516</v>
      </c>
      <c r="O111" s="3">
        <v>63.344060045818807</v>
      </c>
      <c r="P111" s="3">
        <v>73.625543377095497</v>
      </c>
      <c r="Q111" s="3">
        <v>82.207260228824325</v>
      </c>
    </row>
    <row r="112" spans="1:17" x14ac:dyDescent="0.25">
      <c r="A112" t="s">
        <v>2</v>
      </c>
      <c r="B112">
        <v>2015</v>
      </c>
      <c r="C112" s="3">
        <v>16.746770802042654</v>
      </c>
      <c r="D112" s="3">
        <v>45.375100833557411</v>
      </c>
      <c r="E112" s="3">
        <v>68.237250554323722</v>
      </c>
      <c r="F112" s="3">
        <v>79.078468051590036</v>
      </c>
      <c r="G112" s="3">
        <v>84.075839204309986</v>
      </c>
      <c r="H112" s="3">
        <v>87.210379981464314</v>
      </c>
      <c r="I112" s="3">
        <v>87.407715503795359</v>
      </c>
      <c r="J112" s="3">
        <v>85.935302390998586</v>
      </c>
      <c r="K112" s="3">
        <v>83.1989247311828</v>
      </c>
      <c r="L112" s="3">
        <v>71.537953795379536</v>
      </c>
      <c r="M112" s="3">
        <v>26.437532671197072</v>
      </c>
      <c r="N112" s="3">
        <v>12.50188281367676</v>
      </c>
      <c r="O112" s="3">
        <v>64.416654824499076</v>
      </c>
      <c r="P112" s="3">
        <v>74.812042381851313</v>
      </c>
      <c r="Q112" s="3">
        <v>82.933940348306024</v>
      </c>
    </row>
    <row r="113" spans="1:17" x14ac:dyDescent="0.25">
      <c r="A113" t="s">
        <v>2</v>
      </c>
      <c r="B113">
        <v>2016</v>
      </c>
      <c r="C113" s="3">
        <v>20.03003003003003</v>
      </c>
      <c r="D113" s="3">
        <v>48.913633894622485</v>
      </c>
      <c r="E113" s="3">
        <v>69.363860093966736</v>
      </c>
      <c r="F113" s="3">
        <v>79.430469862363552</v>
      </c>
      <c r="G113" s="3">
        <v>84.259067357512947</v>
      </c>
      <c r="H113" s="3">
        <v>87.118437118437114</v>
      </c>
      <c r="I113" s="3">
        <v>87.8282360210071</v>
      </c>
      <c r="J113" s="3">
        <v>86.284523189161021</v>
      </c>
      <c r="K113" s="3">
        <v>83.418866080156405</v>
      </c>
      <c r="L113" s="3">
        <v>72.714267134867995</v>
      </c>
      <c r="M113" s="3">
        <v>26.299612454897769</v>
      </c>
      <c r="N113" s="3">
        <v>12.58551881413911</v>
      </c>
      <c r="O113" s="3">
        <v>65.488959541611351</v>
      </c>
      <c r="P113" s="3">
        <v>75.852093132895462</v>
      </c>
      <c r="Q113" s="3">
        <v>83.272487421769554</v>
      </c>
    </row>
    <row r="114" spans="1:17" x14ac:dyDescent="0.25">
      <c r="A114" t="s">
        <v>2</v>
      </c>
      <c r="B114">
        <v>2017</v>
      </c>
      <c r="C114" s="3">
        <v>21.010366476857936</v>
      </c>
      <c r="D114" s="3">
        <v>50.169813883983153</v>
      </c>
      <c r="E114" s="3">
        <v>69.631174059961182</v>
      </c>
      <c r="F114" s="3">
        <v>79.114963503649633</v>
      </c>
      <c r="G114" s="3">
        <v>84.096016343207353</v>
      </c>
      <c r="H114" s="3">
        <v>86.746256576284907</v>
      </c>
      <c r="I114" s="3">
        <v>87.913115776345876</v>
      </c>
      <c r="J114" s="3">
        <v>87.043390514631682</v>
      </c>
      <c r="K114" s="3">
        <v>83.236994219653184</v>
      </c>
      <c r="L114" s="3">
        <v>72.619820755942328</v>
      </c>
      <c r="M114" s="3">
        <v>27.923917442331042</v>
      </c>
      <c r="N114" s="3">
        <v>13.83052734103242</v>
      </c>
      <c r="O114" s="3">
        <v>65.927448838269569</v>
      </c>
      <c r="P114" s="3">
        <v>76.093881856540079</v>
      </c>
      <c r="Q114" s="3">
        <v>83.220239084767783</v>
      </c>
    </row>
    <row r="115" spans="1:17" x14ac:dyDescent="0.25">
      <c r="A115" t="s">
        <v>2</v>
      </c>
      <c r="B115">
        <v>2018</v>
      </c>
      <c r="C115" s="3">
        <v>21.068291300651744</v>
      </c>
      <c r="D115" s="3">
        <v>48.31591971405004</v>
      </c>
      <c r="E115" s="3">
        <v>70.389810343620965</v>
      </c>
      <c r="F115" s="3">
        <v>79.789678331565923</v>
      </c>
      <c r="G115" s="3">
        <v>83.508946322067587</v>
      </c>
      <c r="H115" s="3">
        <v>86.345746291250379</v>
      </c>
      <c r="I115" s="3">
        <v>87.619726920725498</v>
      </c>
      <c r="J115" s="3">
        <v>87.272181053474867</v>
      </c>
      <c r="K115" s="3">
        <v>83.850785031283209</v>
      </c>
      <c r="L115" s="3">
        <v>73.38574558577136</v>
      </c>
      <c r="M115" s="3">
        <v>29.72753151687678</v>
      </c>
      <c r="N115" s="3">
        <v>13.870215393058032</v>
      </c>
      <c r="O115" s="3">
        <v>66.065187145814235</v>
      </c>
      <c r="P115" s="3">
        <v>76.112821366170238</v>
      </c>
      <c r="Q115" s="3">
        <v>83.335066478496628</v>
      </c>
    </row>
    <row r="116" spans="1:17" x14ac:dyDescent="0.25">
      <c r="A116" t="s">
        <v>2</v>
      </c>
      <c r="B116">
        <v>2019</v>
      </c>
      <c r="C116" s="3">
        <v>26.337676739672862</v>
      </c>
      <c r="D116" s="3">
        <v>48.078121753584043</v>
      </c>
      <c r="E116" s="3">
        <v>73.345663789560206</v>
      </c>
      <c r="F116" s="3">
        <v>80.367734282325031</v>
      </c>
      <c r="G116" s="3">
        <v>82.873801759067106</v>
      </c>
      <c r="H116" s="3">
        <v>86.435331230283907</v>
      </c>
      <c r="I116" s="3">
        <v>87.663700889733079</v>
      </c>
      <c r="J116" s="3">
        <v>87.001926391564439</v>
      </c>
      <c r="K116" s="3">
        <v>84.370755998189225</v>
      </c>
      <c r="L116" s="3">
        <v>73.501777552056879</v>
      </c>
      <c r="M116" s="3">
        <v>32.226236798221237</v>
      </c>
      <c r="N116" s="3">
        <v>16.451701427003293</v>
      </c>
      <c r="O116" s="3">
        <v>67.214285114353146</v>
      </c>
      <c r="P116" s="3">
        <v>76.628698787013548</v>
      </c>
      <c r="Q116" s="3">
        <v>83.363580481807816</v>
      </c>
    </row>
    <row r="117" spans="1:17" x14ac:dyDescent="0.25">
      <c r="A117" t="s">
        <v>2</v>
      </c>
      <c r="B117">
        <v>2020</v>
      </c>
      <c r="C117" s="3">
        <v>23.57123691977462</v>
      </c>
      <c r="D117" s="3">
        <v>45.030674846625764</v>
      </c>
      <c r="E117" s="3">
        <v>71.668750868417391</v>
      </c>
      <c r="F117" s="3">
        <v>80.221322982905278</v>
      </c>
      <c r="G117" s="3">
        <v>82.055259331071255</v>
      </c>
      <c r="H117" s="3">
        <v>85.528831639327763</v>
      </c>
      <c r="I117" s="3">
        <v>87.03666599879783</v>
      </c>
      <c r="J117" s="3">
        <v>86.875511875511876</v>
      </c>
      <c r="K117" s="3">
        <v>83.806725432582439</v>
      </c>
      <c r="L117" s="3">
        <v>73.053136438217848</v>
      </c>
      <c r="M117" s="3">
        <v>30.872109222624687</v>
      </c>
      <c r="N117" s="3">
        <v>14.639576955190648</v>
      </c>
      <c r="O117" s="3">
        <v>66.014737105033092</v>
      </c>
      <c r="P117" s="3">
        <v>75.556279060302984</v>
      </c>
      <c r="Q117" s="3">
        <v>82.833740230848136</v>
      </c>
    </row>
    <row r="118" spans="1:17" x14ac:dyDescent="0.25">
      <c r="A118" t="s">
        <v>2</v>
      </c>
      <c r="B118">
        <v>2021</v>
      </c>
      <c r="C118" s="3">
        <v>26.3335935467083</v>
      </c>
      <c r="D118" s="3">
        <v>47.431099013269815</v>
      </c>
      <c r="E118" s="3">
        <v>72.902338376891322</v>
      </c>
      <c r="F118" s="3">
        <v>80.926165803108802</v>
      </c>
      <c r="G118" s="3">
        <v>82.790078874845577</v>
      </c>
      <c r="H118" s="3">
        <v>85.931174089068833</v>
      </c>
      <c r="I118" s="3">
        <v>87.286112216474336</v>
      </c>
      <c r="J118" s="3">
        <v>87.340218836281821</v>
      </c>
      <c r="K118" s="3">
        <v>84.788108791903866</v>
      </c>
      <c r="L118" s="3">
        <v>73.678912934071462</v>
      </c>
      <c r="M118" s="3">
        <v>32</v>
      </c>
      <c r="N118" s="3">
        <v>16.24517788255465</v>
      </c>
      <c r="O118" s="3">
        <v>67.184944754820989</v>
      </c>
      <c r="P118" s="3">
        <v>76.579246508606687</v>
      </c>
      <c r="Q118" s="3">
        <v>83.421879463010569</v>
      </c>
    </row>
    <row r="119" spans="1:17" x14ac:dyDescent="0.25">
      <c r="A119" t="s">
        <v>2</v>
      </c>
      <c r="B119">
        <v>2022</v>
      </c>
      <c r="C119" s="3">
        <v>29.461577350859454</v>
      </c>
      <c r="D119" s="3">
        <v>49.065606361829026</v>
      </c>
      <c r="E119" s="3">
        <v>74.094285281188419</v>
      </c>
      <c r="F119" s="3">
        <v>82.482331453982368</v>
      </c>
      <c r="G119" s="3">
        <v>83.471837488457993</v>
      </c>
      <c r="H119" s="3">
        <v>86.006273398765558</v>
      </c>
      <c r="I119" s="3">
        <v>88.483761705519029</v>
      </c>
      <c r="J119" s="3">
        <v>87.928908978837057</v>
      </c>
      <c r="K119" s="3">
        <v>86.361780318497352</v>
      </c>
      <c r="L119" s="3">
        <v>75.049504950495049</v>
      </c>
      <c r="M119" s="3">
        <v>34.240766073871413</v>
      </c>
      <c r="N119" s="3">
        <v>16.453880361497632</v>
      </c>
      <c r="O119" s="3">
        <v>68.395220330887497</v>
      </c>
      <c r="P119" s="3">
        <v>77.663798141840829</v>
      </c>
      <c r="Q119" s="3">
        <v>84.409617498661106</v>
      </c>
    </row>
    <row r="120" spans="1:17" x14ac:dyDescent="0.25">
      <c r="A120" t="s">
        <v>2</v>
      </c>
      <c r="B120">
        <v>2023</v>
      </c>
      <c r="C120" s="3">
        <v>29.334500875656744</v>
      </c>
      <c r="D120" s="3">
        <v>49.18691286038225</v>
      </c>
      <c r="E120" s="3">
        <v>75.007756748371079</v>
      </c>
      <c r="F120" s="3">
        <v>83.823179909688662</v>
      </c>
      <c r="G120" s="3">
        <v>84.285194616224075</v>
      </c>
      <c r="H120" s="3">
        <v>86.325211337642955</v>
      </c>
      <c r="I120" s="3">
        <v>87.944264943457185</v>
      </c>
      <c r="J120" s="3">
        <v>87.95424638121267</v>
      </c>
      <c r="K120" s="3">
        <v>86.522004889975548</v>
      </c>
      <c r="L120" s="3">
        <v>76.688161576834162</v>
      </c>
      <c r="M120" s="3">
        <v>36.551444774507161</v>
      </c>
      <c r="N120" s="3">
        <v>17.077744122313572</v>
      </c>
      <c r="O120" s="3">
        <v>68.9485231514834</v>
      </c>
      <c r="P120" s="3">
        <v>78.127410613209918</v>
      </c>
      <c r="Q120" s="3">
        <v>84.938174900688196</v>
      </c>
    </row>
    <row r="121" spans="1:17" x14ac:dyDescent="0.25">
      <c r="A121" t="s">
        <v>2</v>
      </c>
      <c r="B121">
        <v>2024</v>
      </c>
      <c r="C121" s="3">
        <v>28.518103770063458</v>
      </c>
      <c r="D121" s="3">
        <v>47.079803834150688</v>
      </c>
      <c r="E121" s="3">
        <v>73.041637261820753</v>
      </c>
      <c r="F121" s="3">
        <v>83.612810935389021</v>
      </c>
      <c r="G121" s="3">
        <v>84.241991612385121</v>
      </c>
      <c r="H121" s="3">
        <v>86.714613924682851</v>
      </c>
      <c r="I121" s="3">
        <v>87.847222222222214</v>
      </c>
      <c r="J121" s="3">
        <v>87.117969138875068</v>
      </c>
      <c r="K121" s="3">
        <v>86.593157460840885</v>
      </c>
      <c r="L121" s="3">
        <v>77.380258711105938</v>
      </c>
      <c r="M121" s="3">
        <v>37.90771678599841</v>
      </c>
      <c r="N121" s="3">
        <v>18.185847244792434</v>
      </c>
      <c r="O121" s="3">
        <v>68.550010185373793</v>
      </c>
      <c r="P121" s="3">
        <v>77.453998425934216</v>
      </c>
      <c r="Q121" s="3">
        <v>84.867149590534325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BBEE-F30F-4DED-9209-DAC1219C7136}">
  <dimension ref="A1:Q81"/>
  <sheetViews>
    <sheetView workbookViewId="0"/>
  </sheetViews>
  <sheetFormatPr defaultRowHeight="15" x14ac:dyDescent="0.25"/>
  <cols>
    <col min="3" max="14" width="8.85546875" customWidth="1"/>
    <col min="15" max="15" width="13.7109375" bestFit="1" customWidth="1"/>
    <col min="16" max="16" width="13.7109375" style="2" bestFit="1" customWidth="1"/>
    <col min="17" max="17" width="13.7109375" bestFit="1" customWidth="1"/>
  </cols>
  <sheetData>
    <row r="1" spans="1:17" x14ac:dyDescent="0.25">
      <c r="A1" s="4" t="s">
        <v>22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</row>
    <row r="2" spans="1:17" x14ac:dyDescent="0.25">
      <c r="A2" t="s">
        <v>0</v>
      </c>
      <c r="B2">
        <v>1985</v>
      </c>
      <c r="C2">
        <v>1265</v>
      </c>
      <c r="D2">
        <v>3484</v>
      </c>
      <c r="E2">
        <v>4016</v>
      </c>
      <c r="F2">
        <v>3872</v>
      </c>
      <c r="G2">
        <v>4262</v>
      </c>
      <c r="H2">
        <v>3877</v>
      </c>
      <c r="I2">
        <v>3116</v>
      </c>
      <c r="J2">
        <v>2693</v>
      </c>
      <c r="K2">
        <v>2642</v>
      </c>
      <c r="L2">
        <v>2204</v>
      </c>
      <c r="M2">
        <v>561</v>
      </c>
      <c r="N2">
        <v>170</v>
      </c>
      <c r="O2">
        <v>32162</v>
      </c>
      <c r="P2" s="2">
        <f>SUM(D2:L2)</f>
        <v>30166</v>
      </c>
      <c r="Q2">
        <f>SUM(F2:L2)</f>
        <v>22666</v>
      </c>
    </row>
    <row r="3" spans="1:17" x14ac:dyDescent="0.25">
      <c r="A3" t="s">
        <v>0</v>
      </c>
      <c r="B3">
        <v>1986</v>
      </c>
      <c r="C3">
        <v>1276</v>
      </c>
      <c r="D3">
        <v>3635</v>
      </c>
      <c r="E3">
        <v>4004</v>
      </c>
      <c r="F3">
        <v>3974</v>
      </c>
      <c r="G3">
        <v>4102</v>
      </c>
      <c r="H3">
        <v>4181</v>
      </c>
      <c r="I3">
        <v>3142</v>
      </c>
      <c r="J3">
        <v>2723</v>
      </c>
      <c r="K3">
        <v>2596</v>
      </c>
      <c r="L3">
        <v>2235</v>
      </c>
      <c r="M3">
        <v>456</v>
      </c>
      <c r="N3">
        <v>142</v>
      </c>
      <c r="O3">
        <v>32466</v>
      </c>
      <c r="P3" s="2">
        <f t="shared" ref="P3:P41" si="0">SUM(D3:L3)</f>
        <v>30592</v>
      </c>
      <c r="Q3">
        <f t="shared" ref="Q3:Q41" si="1">SUM(F3:L3)</f>
        <v>22953</v>
      </c>
    </row>
    <row r="4" spans="1:17" x14ac:dyDescent="0.25">
      <c r="A4" t="s">
        <v>0</v>
      </c>
      <c r="B4">
        <v>1987</v>
      </c>
      <c r="C4">
        <v>1183</v>
      </c>
      <c r="D4">
        <v>3698</v>
      </c>
      <c r="E4">
        <v>3958</v>
      </c>
      <c r="F4">
        <v>3928</v>
      </c>
      <c r="G4">
        <v>4011</v>
      </c>
      <c r="H4">
        <v>4283</v>
      </c>
      <c r="I4">
        <v>3276</v>
      </c>
      <c r="J4">
        <v>2799</v>
      </c>
      <c r="K4">
        <v>2539</v>
      </c>
      <c r="L4">
        <v>2205</v>
      </c>
      <c r="M4">
        <v>446</v>
      </c>
      <c r="N4">
        <v>150</v>
      </c>
      <c r="O4">
        <v>32476</v>
      </c>
      <c r="P4" s="2">
        <f t="shared" si="0"/>
        <v>30697</v>
      </c>
      <c r="Q4">
        <f t="shared" si="1"/>
        <v>23041</v>
      </c>
    </row>
    <row r="5" spans="1:17" x14ac:dyDescent="0.25">
      <c r="A5" t="s">
        <v>0</v>
      </c>
      <c r="B5">
        <v>1988</v>
      </c>
      <c r="C5">
        <v>1296</v>
      </c>
      <c r="D5">
        <v>3753</v>
      </c>
      <c r="E5">
        <v>4091</v>
      </c>
      <c r="F5">
        <v>3939</v>
      </c>
      <c r="G5">
        <v>3923</v>
      </c>
      <c r="H5">
        <v>4238</v>
      </c>
      <c r="I5">
        <v>3420</v>
      </c>
      <c r="J5">
        <v>2827</v>
      </c>
      <c r="K5">
        <v>2522</v>
      </c>
      <c r="L5">
        <v>2112</v>
      </c>
      <c r="M5">
        <v>505</v>
      </c>
      <c r="N5">
        <v>181</v>
      </c>
      <c r="O5">
        <v>32807</v>
      </c>
      <c r="P5" s="2">
        <f t="shared" si="0"/>
        <v>30825</v>
      </c>
      <c r="Q5">
        <f t="shared" si="1"/>
        <v>22981</v>
      </c>
    </row>
    <row r="6" spans="1:17" x14ac:dyDescent="0.25">
      <c r="A6" t="s">
        <v>0</v>
      </c>
      <c r="B6">
        <v>1989</v>
      </c>
      <c r="C6">
        <v>1311</v>
      </c>
      <c r="D6">
        <v>3802</v>
      </c>
      <c r="E6">
        <v>4341</v>
      </c>
      <c r="F6">
        <v>4030</v>
      </c>
      <c r="G6">
        <v>3813</v>
      </c>
      <c r="H6">
        <v>4215</v>
      </c>
      <c r="I6">
        <v>3610</v>
      </c>
      <c r="J6">
        <v>2905</v>
      </c>
      <c r="K6">
        <v>2510</v>
      </c>
      <c r="L6">
        <v>2073</v>
      </c>
      <c r="M6">
        <v>467</v>
      </c>
      <c r="N6">
        <v>169</v>
      </c>
      <c r="O6">
        <v>33246</v>
      </c>
      <c r="P6" s="2">
        <f t="shared" si="0"/>
        <v>31299</v>
      </c>
      <c r="Q6">
        <f t="shared" si="1"/>
        <v>23156</v>
      </c>
    </row>
    <row r="7" spans="1:17" x14ac:dyDescent="0.25">
      <c r="A7" t="s">
        <v>0</v>
      </c>
      <c r="B7">
        <v>1990</v>
      </c>
      <c r="C7">
        <v>1267</v>
      </c>
      <c r="D7">
        <v>3777</v>
      </c>
      <c r="E7">
        <v>4496</v>
      </c>
      <c r="F7">
        <v>4024</v>
      </c>
      <c r="G7">
        <v>3816</v>
      </c>
      <c r="H7">
        <v>4126</v>
      </c>
      <c r="I7">
        <v>3770</v>
      </c>
      <c r="J7">
        <v>2979</v>
      </c>
      <c r="K7">
        <v>2501</v>
      </c>
      <c r="L7">
        <v>2045</v>
      </c>
      <c r="M7">
        <v>517</v>
      </c>
      <c r="N7">
        <v>179</v>
      </c>
      <c r="O7">
        <v>33497</v>
      </c>
      <c r="P7" s="2">
        <f t="shared" si="0"/>
        <v>31534</v>
      </c>
      <c r="Q7">
        <f t="shared" si="1"/>
        <v>23261</v>
      </c>
    </row>
    <row r="8" spans="1:17" x14ac:dyDescent="0.25">
      <c r="A8" t="s">
        <v>0</v>
      </c>
      <c r="B8">
        <v>1991</v>
      </c>
      <c r="C8">
        <v>969</v>
      </c>
      <c r="D8">
        <v>3530</v>
      </c>
      <c r="E8">
        <v>4539</v>
      </c>
      <c r="F8">
        <v>3984</v>
      </c>
      <c r="G8">
        <v>3816</v>
      </c>
      <c r="H8">
        <v>3977</v>
      </c>
      <c r="I8">
        <v>4015</v>
      </c>
      <c r="J8">
        <v>2981</v>
      </c>
      <c r="K8">
        <v>2522</v>
      </c>
      <c r="L8">
        <v>1974</v>
      </c>
      <c r="M8">
        <v>488</v>
      </c>
      <c r="N8">
        <v>145</v>
      </c>
      <c r="O8">
        <v>32940</v>
      </c>
      <c r="P8" s="2">
        <f t="shared" si="0"/>
        <v>31338</v>
      </c>
      <c r="Q8">
        <f t="shared" si="1"/>
        <v>23269</v>
      </c>
    </row>
    <row r="9" spans="1:17" x14ac:dyDescent="0.25">
      <c r="A9" t="s">
        <v>0</v>
      </c>
      <c r="B9">
        <v>1992</v>
      </c>
      <c r="C9">
        <v>536</v>
      </c>
      <c r="D9">
        <v>2937</v>
      </c>
      <c r="E9">
        <v>4518</v>
      </c>
      <c r="F9">
        <v>3820</v>
      </c>
      <c r="G9">
        <v>3747</v>
      </c>
      <c r="H9">
        <v>3801</v>
      </c>
      <c r="I9">
        <v>4047</v>
      </c>
      <c r="J9">
        <v>3069</v>
      </c>
      <c r="K9">
        <v>2515</v>
      </c>
      <c r="L9">
        <v>1733</v>
      </c>
      <c r="M9">
        <v>360</v>
      </c>
      <c r="N9">
        <v>112</v>
      </c>
      <c r="O9">
        <v>31195</v>
      </c>
      <c r="P9" s="2">
        <f t="shared" si="0"/>
        <v>30187</v>
      </c>
      <c r="Q9">
        <f t="shared" si="1"/>
        <v>22732</v>
      </c>
    </row>
    <row r="10" spans="1:17" x14ac:dyDescent="0.25">
      <c r="A10" t="s">
        <v>0</v>
      </c>
      <c r="B10">
        <v>1993</v>
      </c>
      <c r="C10">
        <v>346</v>
      </c>
      <c r="D10">
        <v>2281</v>
      </c>
      <c r="E10">
        <v>3977</v>
      </c>
      <c r="F10">
        <v>3630</v>
      </c>
      <c r="G10">
        <v>3565</v>
      </c>
      <c r="H10">
        <v>3562</v>
      </c>
      <c r="I10">
        <v>3898</v>
      </c>
      <c r="J10">
        <v>3056</v>
      </c>
      <c r="K10">
        <v>2441</v>
      </c>
      <c r="L10">
        <v>1395</v>
      </c>
      <c r="M10">
        <v>410</v>
      </c>
      <c r="N10">
        <v>246</v>
      </c>
      <c r="O10">
        <v>28807</v>
      </c>
      <c r="P10" s="2">
        <f t="shared" si="0"/>
        <v>27805</v>
      </c>
      <c r="Q10">
        <f t="shared" si="1"/>
        <v>21547</v>
      </c>
    </row>
    <row r="11" spans="1:17" x14ac:dyDescent="0.25">
      <c r="A11" t="s">
        <v>0</v>
      </c>
      <c r="B11">
        <v>1994</v>
      </c>
      <c r="C11">
        <v>381</v>
      </c>
      <c r="D11">
        <v>2496</v>
      </c>
      <c r="E11">
        <v>4048</v>
      </c>
      <c r="F11">
        <v>3904</v>
      </c>
      <c r="G11">
        <v>3652</v>
      </c>
      <c r="H11">
        <v>3539</v>
      </c>
      <c r="I11">
        <v>3892</v>
      </c>
      <c r="J11">
        <v>3313</v>
      </c>
      <c r="K11">
        <v>2444</v>
      </c>
      <c r="L11">
        <v>1446</v>
      </c>
      <c r="M11">
        <v>387</v>
      </c>
      <c r="N11">
        <v>223</v>
      </c>
      <c r="O11">
        <v>29725</v>
      </c>
      <c r="P11" s="2">
        <f t="shared" si="0"/>
        <v>28734</v>
      </c>
      <c r="Q11">
        <f t="shared" si="1"/>
        <v>22190</v>
      </c>
    </row>
    <row r="12" spans="1:17" x14ac:dyDescent="0.25">
      <c r="A12" t="s">
        <v>0</v>
      </c>
      <c r="B12">
        <v>1995</v>
      </c>
      <c r="C12">
        <v>393</v>
      </c>
      <c r="D12">
        <v>2445</v>
      </c>
      <c r="E12">
        <v>3945</v>
      </c>
      <c r="F12">
        <v>4097</v>
      </c>
      <c r="G12">
        <v>3666</v>
      </c>
      <c r="H12">
        <v>3538</v>
      </c>
      <c r="I12">
        <v>3818</v>
      </c>
      <c r="J12">
        <v>3481</v>
      </c>
      <c r="K12">
        <v>2501</v>
      </c>
      <c r="L12">
        <v>1443</v>
      </c>
      <c r="M12">
        <v>468</v>
      </c>
      <c r="N12">
        <v>207</v>
      </c>
      <c r="O12">
        <v>30002</v>
      </c>
      <c r="P12" s="2">
        <f t="shared" si="0"/>
        <v>28934</v>
      </c>
      <c r="Q12">
        <f t="shared" si="1"/>
        <v>22544</v>
      </c>
    </row>
    <row r="13" spans="1:17" x14ac:dyDescent="0.25">
      <c r="A13" t="s">
        <v>0</v>
      </c>
      <c r="B13">
        <v>1996</v>
      </c>
      <c r="C13">
        <v>329</v>
      </c>
      <c r="D13">
        <v>2349</v>
      </c>
      <c r="E13">
        <v>3981</v>
      </c>
      <c r="F13">
        <v>4116</v>
      </c>
      <c r="G13">
        <v>3635</v>
      </c>
      <c r="H13">
        <v>3576</v>
      </c>
      <c r="I13">
        <v>3668</v>
      </c>
      <c r="J13">
        <v>3686</v>
      </c>
      <c r="K13">
        <v>2531</v>
      </c>
      <c r="L13">
        <v>1531</v>
      </c>
      <c r="M13">
        <v>442</v>
      </c>
      <c r="N13">
        <v>152</v>
      </c>
      <c r="O13">
        <v>29996</v>
      </c>
      <c r="P13" s="2">
        <f t="shared" si="0"/>
        <v>29073</v>
      </c>
      <c r="Q13">
        <f t="shared" si="1"/>
        <v>22743</v>
      </c>
    </row>
    <row r="14" spans="1:17" x14ac:dyDescent="0.25">
      <c r="A14" t="s">
        <v>0</v>
      </c>
      <c r="B14">
        <v>1997</v>
      </c>
      <c r="C14">
        <v>297</v>
      </c>
      <c r="D14">
        <v>2424</v>
      </c>
      <c r="E14">
        <v>3923</v>
      </c>
      <c r="F14">
        <v>4261</v>
      </c>
      <c r="G14">
        <v>3634</v>
      </c>
      <c r="H14">
        <v>3568</v>
      </c>
      <c r="I14">
        <v>3582</v>
      </c>
      <c r="J14">
        <v>3737</v>
      </c>
      <c r="K14">
        <v>2669</v>
      </c>
      <c r="L14">
        <v>1558</v>
      </c>
      <c r="M14">
        <v>446</v>
      </c>
      <c r="N14">
        <v>162</v>
      </c>
      <c r="O14">
        <v>30261</v>
      </c>
      <c r="P14" s="2">
        <f t="shared" si="0"/>
        <v>29356</v>
      </c>
      <c r="Q14">
        <f t="shared" si="1"/>
        <v>23009</v>
      </c>
    </row>
    <row r="15" spans="1:17" x14ac:dyDescent="0.25">
      <c r="A15" t="s">
        <v>0</v>
      </c>
      <c r="B15">
        <v>1998</v>
      </c>
      <c r="C15">
        <v>391</v>
      </c>
      <c r="D15">
        <v>2659</v>
      </c>
      <c r="E15">
        <v>4065</v>
      </c>
      <c r="F15">
        <v>4316</v>
      </c>
      <c r="G15">
        <v>3732</v>
      </c>
      <c r="H15">
        <v>3626</v>
      </c>
      <c r="I15">
        <v>3555</v>
      </c>
      <c r="J15">
        <v>3768</v>
      </c>
      <c r="K15">
        <v>2826</v>
      </c>
      <c r="L15">
        <v>1605</v>
      </c>
      <c r="M15">
        <v>511</v>
      </c>
      <c r="N15">
        <v>199</v>
      </c>
      <c r="O15">
        <v>31253</v>
      </c>
      <c r="P15" s="2">
        <f t="shared" si="0"/>
        <v>30152</v>
      </c>
      <c r="Q15">
        <f t="shared" si="1"/>
        <v>23428</v>
      </c>
    </row>
    <row r="16" spans="1:17" x14ac:dyDescent="0.25">
      <c r="A16" t="s">
        <v>0</v>
      </c>
      <c r="B16">
        <v>1999</v>
      </c>
      <c r="C16">
        <v>449</v>
      </c>
      <c r="D16">
        <v>2603</v>
      </c>
      <c r="E16">
        <v>4311</v>
      </c>
      <c r="F16">
        <v>4345</v>
      </c>
      <c r="G16">
        <v>3912</v>
      </c>
      <c r="H16">
        <v>3711</v>
      </c>
      <c r="I16">
        <v>3509</v>
      </c>
      <c r="J16">
        <v>3771</v>
      </c>
      <c r="K16">
        <v>2991</v>
      </c>
      <c r="L16">
        <v>1674</v>
      </c>
      <c r="M16">
        <v>374</v>
      </c>
      <c r="N16">
        <v>90</v>
      </c>
      <c r="O16">
        <v>31740</v>
      </c>
      <c r="P16" s="2">
        <f t="shared" si="0"/>
        <v>30827</v>
      </c>
      <c r="Q16">
        <f t="shared" si="1"/>
        <v>23913</v>
      </c>
    </row>
    <row r="17" spans="1:17" x14ac:dyDescent="0.25">
      <c r="A17" t="s">
        <v>0</v>
      </c>
      <c r="B17">
        <v>2000</v>
      </c>
      <c r="C17">
        <v>485</v>
      </c>
      <c r="D17">
        <v>2796</v>
      </c>
      <c r="E17">
        <v>4576</v>
      </c>
      <c r="F17">
        <v>4323</v>
      </c>
      <c r="G17">
        <v>4143</v>
      </c>
      <c r="H17">
        <v>3733</v>
      </c>
      <c r="I17">
        <v>3540</v>
      </c>
      <c r="J17">
        <v>3736</v>
      </c>
      <c r="K17">
        <v>3174</v>
      </c>
      <c r="L17">
        <v>1678</v>
      </c>
      <c r="M17">
        <v>374</v>
      </c>
      <c r="N17">
        <v>98</v>
      </c>
      <c r="O17">
        <v>32656</v>
      </c>
      <c r="P17" s="2">
        <f t="shared" si="0"/>
        <v>31699</v>
      </c>
      <c r="Q17">
        <f t="shared" si="1"/>
        <v>24327</v>
      </c>
    </row>
    <row r="18" spans="1:17" x14ac:dyDescent="0.25">
      <c r="A18" t="s">
        <v>0</v>
      </c>
      <c r="B18">
        <v>2001</v>
      </c>
      <c r="C18">
        <v>371</v>
      </c>
      <c r="D18">
        <v>2597</v>
      </c>
      <c r="E18">
        <v>4472</v>
      </c>
      <c r="F18">
        <v>4338</v>
      </c>
      <c r="G18">
        <v>4275</v>
      </c>
      <c r="H18">
        <v>3758</v>
      </c>
      <c r="I18">
        <v>3603</v>
      </c>
      <c r="J18">
        <v>3591</v>
      </c>
      <c r="K18">
        <v>3386</v>
      </c>
      <c r="L18">
        <v>1670</v>
      </c>
      <c r="M18">
        <v>346</v>
      </c>
      <c r="N18">
        <v>91</v>
      </c>
      <c r="O18">
        <v>32498</v>
      </c>
      <c r="P18" s="2">
        <f t="shared" si="0"/>
        <v>31690</v>
      </c>
      <c r="Q18">
        <f t="shared" si="1"/>
        <v>24621</v>
      </c>
    </row>
    <row r="19" spans="1:17" x14ac:dyDescent="0.25">
      <c r="A19" t="s">
        <v>0</v>
      </c>
      <c r="B19">
        <v>2002</v>
      </c>
      <c r="C19">
        <v>488</v>
      </c>
      <c r="D19">
        <v>2550</v>
      </c>
      <c r="E19">
        <v>4233</v>
      </c>
      <c r="F19">
        <v>4277</v>
      </c>
      <c r="G19">
        <v>4492</v>
      </c>
      <c r="H19">
        <v>3771</v>
      </c>
      <c r="I19">
        <v>3623</v>
      </c>
      <c r="J19">
        <v>3573</v>
      </c>
      <c r="K19">
        <v>3477</v>
      </c>
      <c r="L19">
        <v>1901</v>
      </c>
      <c r="M19">
        <v>449</v>
      </c>
      <c r="N19">
        <v>101</v>
      </c>
      <c r="O19">
        <v>32935</v>
      </c>
      <c r="P19" s="2">
        <f t="shared" si="0"/>
        <v>31897</v>
      </c>
      <c r="Q19">
        <f t="shared" si="1"/>
        <v>25114</v>
      </c>
    </row>
    <row r="20" spans="1:17" x14ac:dyDescent="0.25">
      <c r="A20" t="s">
        <v>0</v>
      </c>
      <c r="B20">
        <v>2003</v>
      </c>
      <c r="C20">
        <v>410</v>
      </c>
      <c r="D20">
        <v>2414</v>
      </c>
      <c r="E20">
        <v>3926</v>
      </c>
      <c r="F20">
        <v>4213</v>
      </c>
      <c r="G20">
        <v>4420</v>
      </c>
      <c r="H20">
        <v>3806</v>
      </c>
      <c r="I20">
        <v>3663</v>
      </c>
      <c r="J20">
        <v>3536</v>
      </c>
      <c r="K20">
        <v>3450</v>
      </c>
      <c r="L20">
        <v>2058</v>
      </c>
      <c r="M20">
        <v>359</v>
      </c>
      <c r="N20">
        <v>65</v>
      </c>
      <c r="O20">
        <v>32320</v>
      </c>
      <c r="P20" s="2">
        <f t="shared" si="0"/>
        <v>31486</v>
      </c>
      <c r="Q20">
        <f t="shared" si="1"/>
        <v>25146</v>
      </c>
    </row>
    <row r="21" spans="1:17" x14ac:dyDescent="0.25">
      <c r="A21" t="s">
        <v>0</v>
      </c>
      <c r="B21">
        <v>2004</v>
      </c>
      <c r="C21">
        <v>413</v>
      </c>
      <c r="D21">
        <v>2518</v>
      </c>
      <c r="E21">
        <v>3782</v>
      </c>
      <c r="F21">
        <v>4286</v>
      </c>
      <c r="G21">
        <v>4304</v>
      </c>
      <c r="H21">
        <v>3946</v>
      </c>
      <c r="I21">
        <v>3700</v>
      </c>
      <c r="J21">
        <v>3426</v>
      </c>
      <c r="K21">
        <v>3495</v>
      </c>
      <c r="L21">
        <v>2296</v>
      </c>
      <c r="M21">
        <v>488</v>
      </c>
      <c r="N21">
        <v>127</v>
      </c>
      <c r="O21">
        <v>32781</v>
      </c>
      <c r="P21" s="2">
        <f t="shared" si="0"/>
        <v>31753</v>
      </c>
      <c r="Q21">
        <f t="shared" si="1"/>
        <v>25453</v>
      </c>
    </row>
    <row r="22" spans="1:17" x14ac:dyDescent="0.25">
      <c r="A22" t="s">
        <v>0</v>
      </c>
      <c r="B22">
        <v>2005</v>
      </c>
      <c r="C22">
        <v>444</v>
      </c>
      <c r="D22">
        <v>2427</v>
      </c>
      <c r="E22">
        <v>3700</v>
      </c>
      <c r="F22">
        <v>4283</v>
      </c>
      <c r="G22">
        <v>4159</v>
      </c>
      <c r="H22">
        <v>4085</v>
      </c>
      <c r="I22">
        <v>3682</v>
      </c>
      <c r="J22">
        <v>3429</v>
      </c>
      <c r="K22">
        <v>3403</v>
      </c>
      <c r="L22">
        <v>2499</v>
      </c>
      <c r="M22">
        <v>490</v>
      </c>
      <c r="N22">
        <v>112</v>
      </c>
      <c r="O22">
        <v>32713</v>
      </c>
      <c r="P22" s="2">
        <f t="shared" si="0"/>
        <v>31667</v>
      </c>
      <c r="Q22">
        <f t="shared" si="1"/>
        <v>25540</v>
      </c>
    </row>
    <row r="23" spans="1:17" x14ac:dyDescent="0.25">
      <c r="A23" t="s">
        <v>0</v>
      </c>
      <c r="B23">
        <v>2006</v>
      </c>
      <c r="C23">
        <v>475</v>
      </c>
      <c r="D23">
        <v>2689</v>
      </c>
      <c r="E23">
        <v>3778</v>
      </c>
      <c r="F23">
        <v>4268</v>
      </c>
      <c r="G23">
        <v>4237</v>
      </c>
      <c r="H23">
        <v>4166</v>
      </c>
      <c r="I23">
        <v>3713</v>
      </c>
      <c r="J23">
        <v>3504</v>
      </c>
      <c r="K23">
        <v>3331</v>
      </c>
      <c r="L23">
        <v>2692</v>
      </c>
      <c r="M23">
        <v>529</v>
      </c>
      <c r="N23">
        <v>123</v>
      </c>
      <c r="O23">
        <v>33505</v>
      </c>
      <c r="P23" s="2">
        <f t="shared" si="0"/>
        <v>32378</v>
      </c>
      <c r="Q23">
        <f t="shared" si="1"/>
        <v>25911</v>
      </c>
    </row>
    <row r="24" spans="1:17" x14ac:dyDescent="0.25">
      <c r="A24" t="s">
        <v>0</v>
      </c>
      <c r="B24">
        <v>2007</v>
      </c>
      <c r="C24">
        <v>488</v>
      </c>
      <c r="D24">
        <v>2963</v>
      </c>
      <c r="E24">
        <v>3922</v>
      </c>
      <c r="F24">
        <v>4337</v>
      </c>
      <c r="G24">
        <v>4244</v>
      </c>
      <c r="H24">
        <v>4391</v>
      </c>
      <c r="I24">
        <v>3734</v>
      </c>
      <c r="J24">
        <v>3537</v>
      </c>
      <c r="K24">
        <v>3372</v>
      </c>
      <c r="L24">
        <v>2870</v>
      </c>
      <c r="M24">
        <v>661</v>
      </c>
      <c r="N24">
        <v>161</v>
      </c>
      <c r="O24">
        <v>34680</v>
      </c>
      <c r="P24" s="2">
        <f t="shared" si="0"/>
        <v>33370</v>
      </c>
      <c r="Q24">
        <f t="shared" si="1"/>
        <v>26485</v>
      </c>
    </row>
    <row r="25" spans="1:17" x14ac:dyDescent="0.25">
      <c r="A25" t="s">
        <v>0</v>
      </c>
      <c r="B25">
        <v>2008</v>
      </c>
      <c r="C25">
        <v>507</v>
      </c>
      <c r="D25">
        <v>3088</v>
      </c>
      <c r="E25">
        <v>3960</v>
      </c>
      <c r="F25">
        <v>4203</v>
      </c>
      <c r="G25">
        <v>4301</v>
      </c>
      <c r="H25">
        <v>4452</v>
      </c>
      <c r="I25">
        <v>3810</v>
      </c>
      <c r="J25">
        <v>3620</v>
      </c>
      <c r="K25">
        <v>3303</v>
      </c>
      <c r="L25">
        <v>2879</v>
      </c>
      <c r="M25">
        <v>770</v>
      </c>
      <c r="N25">
        <v>139</v>
      </c>
      <c r="O25">
        <v>35032</v>
      </c>
      <c r="P25" s="2">
        <f t="shared" si="0"/>
        <v>33616</v>
      </c>
      <c r="Q25">
        <f t="shared" si="1"/>
        <v>26568</v>
      </c>
    </row>
    <row r="26" spans="1:17" x14ac:dyDescent="0.25">
      <c r="A26" t="s">
        <v>0</v>
      </c>
      <c r="B26">
        <v>2009</v>
      </c>
      <c r="C26">
        <v>417</v>
      </c>
      <c r="D26">
        <v>2652</v>
      </c>
      <c r="E26">
        <v>3759</v>
      </c>
      <c r="F26">
        <v>4045</v>
      </c>
      <c r="G26">
        <v>4230</v>
      </c>
      <c r="H26">
        <v>4353</v>
      </c>
      <c r="I26">
        <v>3892</v>
      </c>
      <c r="J26">
        <v>3602</v>
      </c>
      <c r="K26">
        <v>3208</v>
      </c>
      <c r="L26">
        <v>2846</v>
      </c>
      <c r="M26">
        <v>885</v>
      </c>
      <c r="N26">
        <v>185</v>
      </c>
      <c r="O26">
        <v>34074</v>
      </c>
      <c r="P26" s="2">
        <f t="shared" si="0"/>
        <v>32587</v>
      </c>
      <c r="Q26">
        <f t="shared" si="1"/>
        <v>26176</v>
      </c>
    </row>
    <row r="27" spans="1:17" x14ac:dyDescent="0.25">
      <c r="A27" t="s">
        <v>0</v>
      </c>
      <c r="B27">
        <v>2010</v>
      </c>
      <c r="C27">
        <v>523</v>
      </c>
      <c r="D27">
        <v>2915</v>
      </c>
      <c r="E27">
        <v>3944</v>
      </c>
      <c r="F27">
        <v>4099</v>
      </c>
      <c r="G27">
        <v>4286</v>
      </c>
      <c r="H27">
        <v>4289</v>
      </c>
      <c r="I27">
        <v>4087</v>
      </c>
      <c r="J27">
        <v>3642</v>
      </c>
      <c r="K27">
        <v>3248</v>
      </c>
      <c r="L27">
        <v>2853</v>
      </c>
      <c r="M27">
        <v>876</v>
      </c>
      <c r="N27">
        <v>198</v>
      </c>
      <c r="O27">
        <v>34960</v>
      </c>
      <c r="P27" s="2">
        <f t="shared" si="0"/>
        <v>33363</v>
      </c>
      <c r="Q27">
        <f t="shared" si="1"/>
        <v>26504</v>
      </c>
    </row>
    <row r="28" spans="1:17" x14ac:dyDescent="0.25">
      <c r="A28" t="s">
        <v>0</v>
      </c>
      <c r="B28">
        <v>2011</v>
      </c>
      <c r="C28">
        <v>540</v>
      </c>
      <c r="D28">
        <v>3203</v>
      </c>
      <c r="E28">
        <v>4070</v>
      </c>
      <c r="F28">
        <v>4130</v>
      </c>
      <c r="G28">
        <v>4344</v>
      </c>
      <c r="H28">
        <v>4338</v>
      </c>
      <c r="I28">
        <v>4209</v>
      </c>
      <c r="J28">
        <v>3655</v>
      </c>
      <c r="K28">
        <v>3321</v>
      </c>
      <c r="L28">
        <v>2770</v>
      </c>
      <c r="M28">
        <v>1139</v>
      </c>
      <c r="N28">
        <v>330</v>
      </c>
      <c r="O28">
        <v>36049</v>
      </c>
      <c r="P28" s="2">
        <f t="shared" si="0"/>
        <v>34040</v>
      </c>
      <c r="Q28">
        <f t="shared" si="1"/>
        <v>26767</v>
      </c>
    </row>
    <row r="29" spans="1:17" x14ac:dyDescent="0.25">
      <c r="A29" t="s">
        <v>0</v>
      </c>
      <c r="B29">
        <v>2012</v>
      </c>
      <c r="C29">
        <v>529</v>
      </c>
      <c r="D29">
        <v>3197</v>
      </c>
      <c r="E29">
        <v>4192</v>
      </c>
      <c r="F29">
        <v>4173</v>
      </c>
      <c r="G29">
        <v>4333</v>
      </c>
      <c r="H29">
        <v>4284</v>
      </c>
      <c r="I29">
        <v>4417</v>
      </c>
      <c r="J29">
        <v>3646</v>
      </c>
      <c r="K29">
        <v>3322</v>
      </c>
      <c r="L29">
        <v>2806</v>
      </c>
      <c r="M29">
        <v>1152</v>
      </c>
      <c r="N29">
        <v>424</v>
      </c>
      <c r="O29">
        <v>36475</v>
      </c>
      <c r="P29" s="2">
        <f t="shared" si="0"/>
        <v>34370</v>
      </c>
      <c r="Q29">
        <f t="shared" si="1"/>
        <v>26981</v>
      </c>
    </row>
    <row r="30" spans="1:17" x14ac:dyDescent="0.25">
      <c r="A30" t="s">
        <v>0</v>
      </c>
      <c r="B30">
        <v>2013</v>
      </c>
      <c r="C30">
        <v>509</v>
      </c>
      <c r="D30">
        <v>3283</v>
      </c>
      <c r="E30">
        <v>4359</v>
      </c>
      <c r="F30">
        <v>4278</v>
      </c>
      <c r="G30">
        <v>4297</v>
      </c>
      <c r="H30">
        <v>4315</v>
      </c>
      <c r="I30">
        <v>4436</v>
      </c>
      <c r="J30">
        <v>3749</v>
      </c>
      <c r="K30">
        <v>3361</v>
      </c>
      <c r="L30">
        <v>2789</v>
      </c>
      <c r="M30">
        <v>1198</v>
      </c>
      <c r="N30">
        <v>482</v>
      </c>
      <c r="O30">
        <v>37056</v>
      </c>
      <c r="P30" s="2">
        <f t="shared" si="0"/>
        <v>34867</v>
      </c>
      <c r="Q30">
        <f t="shared" si="1"/>
        <v>27225</v>
      </c>
    </row>
    <row r="31" spans="1:17" x14ac:dyDescent="0.25">
      <c r="A31" t="s">
        <v>0</v>
      </c>
      <c r="B31">
        <v>2014</v>
      </c>
      <c r="C31">
        <v>489</v>
      </c>
      <c r="D31">
        <v>3407</v>
      </c>
      <c r="E31">
        <v>4524</v>
      </c>
      <c r="F31">
        <v>4323</v>
      </c>
      <c r="G31">
        <v>4250</v>
      </c>
      <c r="H31">
        <v>4415</v>
      </c>
      <c r="I31">
        <v>4413</v>
      </c>
      <c r="J31">
        <v>3916</v>
      </c>
      <c r="K31">
        <v>3455</v>
      </c>
      <c r="L31">
        <v>2746</v>
      </c>
      <c r="M31">
        <v>1202</v>
      </c>
      <c r="N31">
        <v>532</v>
      </c>
      <c r="O31">
        <v>37672</v>
      </c>
      <c r="P31" s="2">
        <f t="shared" si="0"/>
        <v>35449</v>
      </c>
      <c r="Q31">
        <f t="shared" si="1"/>
        <v>27518</v>
      </c>
    </row>
    <row r="32" spans="1:17" x14ac:dyDescent="0.25">
      <c r="A32" t="s">
        <v>0</v>
      </c>
      <c r="B32">
        <v>2015</v>
      </c>
      <c r="C32">
        <v>498</v>
      </c>
      <c r="D32">
        <v>3375</v>
      </c>
      <c r="E32">
        <v>4662</v>
      </c>
      <c r="F32">
        <v>4379</v>
      </c>
      <c r="G32">
        <v>4297</v>
      </c>
      <c r="H32">
        <v>4483</v>
      </c>
      <c r="I32">
        <v>4378</v>
      </c>
      <c r="J32">
        <v>4099</v>
      </c>
      <c r="K32">
        <v>3509</v>
      </c>
      <c r="L32">
        <v>2794</v>
      </c>
      <c r="M32">
        <v>1196</v>
      </c>
      <c r="N32">
        <v>569</v>
      </c>
      <c r="O32">
        <v>38239</v>
      </c>
      <c r="P32" s="2">
        <f t="shared" si="0"/>
        <v>35976</v>
      </c>
      <c r="Q32">
        <f t="shared" si="1"/>
        <v>27939</v>
      </c>
    </row>
    <row r="33" spans="1:17" x14ac:dyDescent="0.25">
      <c r="A33" t="s">
        <v>0</v>
      </c>
      <c r="B33">
        <v>2016</v>
      </c>
      <c r="C33">
        <v>606</v>
      </c>
      <c r="D33">
        <v>3638</v>
      </c>
      <c r="E33">
        <v>5007</v>
      </c>
      <c r="F33">
        <v>4567</v>
      </c>
      <c r="G33">
        <v>4310</v>
      </c>
      <c r="H33">
        <v>4518</v>
      </c>
      <c r="I33">
        <v>4488</v>
      </c>
      <c r="J33">
        <v>4221</v>
      </c>
      <c r="K33">
        <v>3527</v>
      </c>
      <c r="L33">
        <v>2920</v>
      </c>
      <c r="M33">
        <v>1150</v>
      </c>
      <c r="N33">
        <v>605</v>
      </c>
      <c r="O33">
        <v>39557</v>
      </c>
      <c r="P33" s="2">
        <f t="shared" si="0"/>
        <v>37196</v>
      </c>
      <c r="Q33">
        <f t="shared" si="1"/>
        <v>28551</v>
      </c>
    </row>
    <row r="34" spans="1:17" x14ac:dyDescent="0.25">
      <c r="A34" t="s">
        <v>0</v>
      </c>
      <c r="B34">
        <v>2017</v>
      </c>
      <c r="C34">
        <v>664</v>
      </c>
      <c r="D34">
        <v>3821</v>
      </c>
      <c r="E34">
        <v>5250</v>
      </c>
      <c r="F34">
        <v>4724</v>
      </c>
      <c r="G34">
        <v>4373</v>
      </c>
      <c r="H34">
        <v>4500</v>
      </c>
      <c r="I34">
        <v>4472</v>
      </c>
      <c r="J34">
        <v>4475</v>
      </c>
      <c r="K34">
        <v>3551</v>
      </c>
      <c r="L34">
        <v>2915</v>
      </c>
      <c r="M34">
        <v>1218</v>
      </c>
      <c r="N34">
        <v>646</v>
      </c>
      <c r="O34">
        <v>40609</v>
      </c>
      <c r="P34" s="2">
        <f t="shared" si="0"/>
        <v>38081</v>
      </c>
      <c r="Q34">
        <f t="shared" si="1"/>
        <v>29010</v>
      </c>
    </row>
    <row r="35" spans="1:17" x14ac:dyDescent="0.25">
      <c r="A35" t="s">
        <v>0</v>
      </c>
      <c r="B35">
        <v>2018</v>
      </c>
      <c r="C35">
        <v>699</v>
      </c>
      <c r="D35">
        <v>3727</v>
      </c>
      <c r="E35">
        <v>5416</v>
      </c>
      <c r="F35">
        <v>4901</v>
      </c>
      <c r="G35">
        <v>4470</v>
      </c>
      <c r="H35">
        <v>4478</v>
      </c>
      <c r="I35">
        <v>4510</v>
      </c>
      <c r="J35">
        <v>4514</v>
      </c>
      <c r="K35">
        <v>3682</v>
      </c>
      <c r="L35">
        <v>2942</v>
      </c>
      <c r="M35">
        <v>1263</v>
      </c>
      <c r="N35">
        <v>655</v>
      </c>
      <c r="O35">
        <v>41257</v>
      </c>
      <c r="P35" s="2">
        <f t="shared" si="0"/>
        <v>38640</v>
      </c>
      <c r="Q35">
        <f t="shared" si="1"/>
        <v>29497</v>
      </c>
    </row>
    <row r="36" spans="1:17" x14ac:dyDescent="0.25">
      <c r="A36" t="s">
        <v>0</v>
      </c>
      <c r="B36">
        <v>2019</v>
      </c>
      <c r="C36">
        <v>811</v>
      </c>
      <c r="D36">
        <v>3551</v>
      </c>
      <c r="E36">
        <v>5753</v>
      </c>
      <c r="F36">
        <v>5178</v>
      </c>
      <c r="G36">
        <v>4494</v>
      </c>
      <c r="H36">
        <v>4383</v>
      </c>
      <c r="I36">
        <v>4570</v>
      </c>
      <c r="J36">
        <v>4438</v>
      </c>
      <c r="K36">
        <v>3832</v>
      </c>
      <c r="L36">
        <v>3009</v>
      </c>
      <c r="M36">
        <v>1239</v>
      </c>
      <c r="N36">
        <v>734</v>
      </c>
      <c r="O36">
        <v>41992</v>
      </c>
      <c r="P36" s="2">
        <f t="shared" si="0"/>
        <v>39208</v>
      </c>
      <c r="Q36">
        <f t="shared" si="1"/>
        <v>29904</v>
      </c>
    </row>
    <row r="37" spans="1:17" x14ac:dyDescent="0.25">
      <c r="A37" t="s">
        <v>0</v>
      </c>
      <c r="B37">
        <v>2020</v>
      </c>
      <c r="C37">
        <v>743</v>
      </c>
      <c r="D37">
        <v>3406</v>
      </c>
      <c r="E37">
        <v>5537</v>
      </c>
      <c r="F37">
        <v>5221</v>
      </c>
      <c r="G37">
        <v>4536</v>
      </c>
      <c r="H37">
        <v>4382</v>
      </c>
      <c r="I37">
        <v>4533</v>
      </c>
      <c r="J37">
        <v>4389</v>
      </c>
      <c r="K37">
        <v>3957</v>
      </c>
      <c r="L37">
        <v>2994</v>
      </c>
      <c r="M37">
        <v>1242</v>
      </c>
      <c r="N37">
        <v>668</v>
      </c>
      <c r="O37">
        <v>41608</v>
      </c>
      <c r="P37" s="2">
        <f t="shared" si="0"/>
        <v>38955</v>
      </c>
      <c r="Q37">
        <f t="shared" si="1"/>
        <v>30012</v>
      </c>
    </row>
    <row r="38" spans="1:17" x14ac:dyDescent="0.25">
      <c r="A38" t="s">
        <v>0</v>
      </c>
      <c r="B38">
        <v>2021</v>
      </c>
      <c r="C38">
        <v>893</v>
      </c>
      <c r="D38">
        <v>3635</v>
      </c>
      <c r="E38">
        <v>5433</v>
      </c>
      <c r="F38">
        <v>5392</v>
      </c>
      <c r="G38">
        <v>4700</v>
      </c>
      <c r="H38">
        <v>4355</v>
      </c>
      <c r="I38">
        <v>4566</v>
      </c>
      <c r="J38">
        <v>4454</v>
      </c>
      <c r="K38">
        <v>4068</v>
      </c>
      <c r="L38">
        <v>3046</v>
      </c>
      <c r="M38">
        <v>1284</v>
      </c>
      <c r="N38">
        <v>687</v>
      </c>
      <c r="O38">
        <v>42513</v>
      </c>
      <c r="P38" s="2">
        <f t="shared" si="0"/>
        <v>39649</v>
      </c>
      <c r="Q38">
        <f t="shared" si="1"/>
        <v>30581</v>
      </c>
    </row>
    <row r="39" spans="1:17" x14ac:dyDescent="0.25">
      <c r="A39" t="s">
        <v>0</v>
      </c>
      <c r="B39">
        <v>2022</v>
      </c>
      <c r="C39">
        <v>1031</v>
      </c>
      <c r="D39">
        <v>3867</v>
      </c>
      <c r="E39">
        <v>5277</v>
      </c>
      <c r="F39">
        <v>5585</v>
      </c>
      <c r="G39">
        <v>4804</v>
      </c>
      <c r="H39">
        <v>4395</v>
      </c>
      <c r="I39">
        <v>4590</v>
      </c>
      <c r="J39">
        <v>4490</v>
      </c>
      <c r="K39">
        <v>4396</v>
      </c>
      <c r="L39">
        <v>3137</v>
      </c>
      <c r="M39">
        <v>1389</v>
      </c>
      <c r="N39">
        <v>680</v>
      </c>
      <c r="O39">
        <v>43641</v>
      </c>
      <c r="P39" s="2">
        <f t="shared" si="0"/>
        <v>40541</v>
      </c>
      <c r="Q39">
        <f t="shared" si="1"/>
        <v>31397</v>
      </c>
    </row>
    <row r="40" spans="1:17" x14ac:dyDescent="0.25">
      <c r="A40" t="s">
        <v>0</v>
      </c>
      <c r="B40">
        <v>2023</v>
      </c>
      <c r="C40">
        <v>1008</v>
      </c>
      <c r="D40">
        <v>3929</v>
      </c>
      <c r="E40">
        <v>5290</v>
      </c>
      <c r="F40">
        <v>5667</v>
      </c>
      <c r="G40">
        <v>4923</v>
      </c>
      <c r="H40">
        <v>4479</v>
      </c>
      <c r="I40">
        <v>4504</v>
      </c>
      <c r="J40">
        <v>4515</v>
      </c>
      <c r="K40">
        <v>4388</v>
      </c>
      <c r="L40">
        <v>3309</v>
      </c>
      <c r="M40">
        <v>1471</v>
      </c>
      <c r="N40">
        <v>700</v>
      </c>
      <c r="O40">
        <v>44183</v>
      </c>
      <c r="P40" s="2">
        <f t="shared" si="0"/>
        <v>41004</v>
      </c>
      <c r="Q40">
        <f t="shared" si="1"/>
        <v>31785</v>
      </c>
    </row>
    <row r="41" spans="1:17" x14ac:dyDescent="0.25">
      <c r="A41" t="s">
        <v>0</v>
      </c>
      <c r="B41">
        <v>2024</v>
      </c>
      <c r="C41">
        <v>972</v>
      </c>
      <c r="D41">
        <v>3856</v>
      </c>
      <c r="E41">
        <v>5176</v>
      </c>
      <c r="F41">
        <v>5658</v>
      </c>
      <c r="G41">
        <v>4961</v>
      </c>
      <c r="H41">
        <v>4528</v>
      </c>
      <c r="I41">
        <v>4381</v>
      </c>
      <c r="J41">
        <v>4537</v>
      </c>
      <c r="K41">
        <v>4351</v>
      </c>
      <c r="L41">
        <v>3474</v>
      </c>
      <c r="M41">
        <v>1574</v>
      </c>
      <c r="N41">
        <v>743</v>
      </c>
      <c r="O41">
        <v>44211</v>
      </c>
      <c r="P41" s="2">
        <f t="shared" si="0"/>
        <v>40922</v>
      </c>
      <c r="Q41">
        <f t="shared" si="1"/>
        <v>31890</v>
      </c>
    </row>
    <row r="42" spans="1:17" x14ac:dyDescent="0.25">
      <c r="A42" t="s">
        <v>1</v>
      </c>
      <c r="B42">
        <v>1985</v>
      </c>
      <c r="C42">
        <v>1520</v>
      </c>
      <c r="D42">
        <v>3582</v>
      </c>
      <c r="E42">
        <v>3524</v>
      </c>
      <c r="F42">
        <v>3502</v>
      </c>
      <c r="G42">
        <v>3870</v>
      </c>
      <c r="H42">
        <v>3790</v>
      </c>
      <c r="I42">
        <v>2965</v>
      </c>
      <c r="J42">
        <v>2626</v>
      </c>
      <c r="K42">
        <v>2410</v>
      </c>
      <c r="L42">
        <v>1676</v>
      </c>
      <c r="M42">
        <v>203</v>
      </c>
      <c r="N42">
        <v>54</v>
      </c>
      <c r="O42">
        <v>29722</v>
      </c>
      <c r="P42" s="2">
        <f>SUM(D42:L42)</f>
        <v>27945</v>
      </c>
      <c r="Q42">
        <f>SUM(F42:L42)</f>
        <v>20839</v>
      </c>
    </row>
    <row r="43" spans="1:17" x14ac:dyDescent="0.25">
      <c r="A43" t="s">
        <v>1</v>
      </c>
      <c r="B43">
        <v>1986</v>
      </c>
      <c r="C43">
        <v>1364</v>
      </c>
      <c r="D43">
        <v>3682</v>
      </c>
      <c r="E43">
        <v>3550</v>
      </c>
      <c r="F43">
        <v>3506</v>
      </c>
      <c r="G43">
        <v>3790</v>
      </c>
      <c r="H43">
        <v>3989</v>
      </c>
      <c r="I43">
        <v>3062</v>
      </c>
      <c r="J43">
        <v>2624</v>
      </c>
      <c r="K43">
        <v>2469</v>
      </c>
      <c r="L43">
        <v>1728</v>
      </c>
      <c r="M43">
        <v>192</v>
      </c>
      <c r="N43">
        <v>43</v>
      </c>
      <c r="O43">
        <v>29999</v>
      </c>
      <c r="P43" s="2">
        <f t="shared" ref="P43:P81" si="2">SUM(D43:L43)</f>
        <v>28400</v>
      </c>
      <c r="Q43">
        <f t="shared" ref="Q43:Q81" si="3">SUM(F43:L43)</f>
        <v>21168</v>
      </c>
    </row>
    <row r="44" spans="1:17" x14ac:dyDescent="0.25">
      <c r="A44" t="s">
        <v>1</v>
      </c>
      <c r="B44">
        <v>1987</v>
      </c>
      <c r="C44">
        <v>1330</v>
      </c>
      <c r="D44">
        <v>3797</v>
      </c>
      <c r="E44">
        <v>3598</v>
      </c>
      <c r="F44">
        <v>3539</v>
      </c>
      <c r="G44">
        <v>3697</v>
      </c>
      <c r="H44">
        <v>4030</v>
      </c>
      <c r="I44">
        <v>3277</v>
      </c>
      <c r="J44">
        <v>2654</v>
      </c>
      <c r="K44">
        <v>2410</v>
      </c>
      <c r="L44">
        <v>1741</v>
      </c>
      <c r="M44">
        <v>207</v>
      </c>
      <c r="N44">
        <v>51</v>
      </c>
      <c r="O44">
        <v>30331</v>
      </c>
      <c r="P44" s="2">
        <f t="shared" si="2"/>
        <v>28743</v>
      </c>
      <c r="Q44">
        <f t="shared" si="3"/>
        <v>21348</v>
      </c>
    </row>
    <row r="45" spans="1:17" x14ac:dyDescent="0.25">
      <c r="A45" t="s">
        <v>1</v>
      </c>
      <c r="B45">
        <v>1988</v>
      </c>
      <c r="C45">
        <v>1426</v>
      </c>
      <c r="D45">
        <v>3862</v>
      </c>
      <c r="E45">
        <v>3649</v>
      </c>
      <c r="F45">
        <v>3495</v>
      </c>
      <c r="G45">
        <v>3729</v>
      </c>
      <c r="H45">
        <v>4099</v>
      </c>
      <c r="I45">
        <v>3421</v>
      </c>
      <c r="J45">
        <v>2760</v>
      </c>
      <c r="K45">
        <v>2396</v>
      </c>
      <c r="L45">
        <v>1789</v>
      </c>
      <c r="M45">
        <v>200</v>
      </c>
      <c r="N45">
        <v>67</v>
      </c>
      <c r="O45">
        <v>30893</v>
      </c>
      <c r="P45" s="2">
        <f t="shared" si="2"/>
        <v>29200</v>
      </c>
      <c r="Q45">
        <f t="shared" si="3"/>
        <v>21689</v>
      </c>
    </row>
    <row r="46" spans="1:17" x14ac:dyDescent="0.25">
      <c r="A46" t="s">
        <v>1</v>
      </c>
      <c r="B46">
        <v>1989</v>
      </c>
      <c r="C46">
        <v>1525</v>
      </c>
      <c r="D46">
        <v>3738</v>
      </c>
      <c r="E46">
        <v>3805</v>
      </c>
      <c r="F46">
        <v>3561</v>
      </c>
      <c r="G46">
        <v>3596</v>
      </c>
      <c r="H46">
        <v>4058</v>
      </c>
      <c r="I46">
        <v>3597</v>
      </c>
      <c r="J46">
        <v>2856</v>
      </c>
      <c r="K46">
        <v>2378</v>
      </c>
      <c r="L46">
        <v>1785</v>
      </c>
      <c r="M46">
        <v>223</v>
      </c>
      <c r="N46">
        <v>60</v>
      </c>
      <c r="O46">
        <v>31182</v>
      </c>
      <c r="P46" s="2">
        <f t="shared" si="2"/>
        <v>29374</v>
      </c>
      <c r="Q46">
        <f t="shared" si="3"/>
        <v>21831</v>
      </c>
    </row>
    <row r="47" spans="1:17" x14ac:dyDescent="0.25">
      <c r="A47" t="s">
        <v>1</v>
      </c>
      <c r="B47">
        <v>1990</v>
      </c>
      <c r="C47">
        <v>1419</v>
      </c>
      <c r="D47">
        <v>3722</v>
      </c>
      <c r="E47">
        <v>4020</v>
      </c>
      <c r="F47">
        <v>3566</v>
      </c>
      <c r="G47">
        <v>3601</v>
      </c>
      <c r="H47">
        <v>3996</v>
      </c>
      <c r="I47">
        <v>3815</v>
      </c>
      <c r="J47">
        <v>2881</v>
      </c>
      <c r="K47">
        <v>2460</v>
      </c>
      <c r="L47">
        <v>1768</v>
      </c>
      <c r="M47">
        <v>253</v>
      </c>
      <c r="N47">
        <v>59</v>
      </c>
      <c r="O47">
        <v>31560</v>
      </c>
      <c r="P47" s="2">
        <f t="shared" si="2"/>
        <v>29829</v>
      </c>
      <c r="Q47">
        <f t="shared" si="3"/>
        <v>22087</v>
      </c>
    </row>
    <row r="48" spans="1:17" x14ac:dyDescent="0.25">
      <c r="A48" t="s">
        <v>1</v>
      </c>
      <c r="B48">
        <v>1991</v>
      </c>
      <c r="C48">
        <v>1077</v>
      </c>
      <c r="D48">
        <v>3355</v>
      </c>
      <c r="E48">
        <v>4010</v>
      </c>
      <c r="F48">
        <v>3542</v>
      </c>
      <c r="G48">
        <v>3498</v>
      </c>
      <c r="H48">
        <v>3840</v>
      </c>
      <c r="I48">
        <v>3935</v>
      </c>
      <c r="J48">
        <v>2969</v>
      </c>
      <c r="K48">
        <v>2387</v>
      </c>
      <c r="L48">
        <v>1829</v>
      </c>
      <c r="M48">
        <v>237</v>
      </c>
      <c r="N48">
        <v>49</v>
      </c>
      <c r="O48">
        <v>30728</v>
      </c>
      <c r="P48" s="2">
        <f t="shared" si="2"/>
        <v>29365</v>
      </c>
      <c r="Q48">
        <f t="shared" si="3"/>
        <v>22000</v>
      </c>
    </row>
    <row r="49" spans="1:17" x14ac:dyDescent="0.25">
      <c r="A49" t="s">
        <v>1</v>
      </c>
      <c r="B49">
        <v>1992</v>
      </c>
      <c r="C49">
        <v>704</v>
      </c>
      <c r="D49">
        <v>2880</v>
      </c>
      <c r="E49">
        <v>3904</v>
      </c>
      <c r="F49">
        <v>3479</v>
      </c>
      <c r="G49">
        <v>3494</v>
      </c>
      <c r="H49">
        <v>3696</v>
      </c>
      <c r="I49">
        <v>3947</v>
      </c>
      <c r="J49">
        <v>3092</v>
      </c>
      <c r="K49">
        <v>2383</v>
      </c>
      <c r="L49">
        <v>1666</v>
      </c>
      <c r="M49">
        <v>179</v>
      </c>
      <c r="N49">
        <v>32</v>
      </c>
      <c r="O49">
        <v>29456</v>
      </c>
      <c r="P49" s="2">
        <f t="shared" si="2"/>
        <v>28541</v>
      </c>
      <c r="Q49">
        <f t="shared" si="3"/>
        <v>21757</v>
      </c>
    </row>
    <row r="50" spans="1:17" x14ac:dyDescent="0.25">
      <c r="A50" t="s">
        <v>1</v>
      </c>
      <c r="B50">
        <v>1993</v>
      </c>
      <c r="C50">
        <v>487</v>
      </c>
      <c r="D50">
        <v>2249</v>
      </c>
      <c r="E50">
        <v>3622</v>
      </c>
      <c r="F50">
        <v>3299</v>
      </c>
      <c r="G50">
        <v>3351</v>
      </c>
      <c r="H50">
        <v>3638</v>
      </c>
      <c r="I50">
        <v>3902</v>
      </c>
      <c r="J50">
        <v>3156</v>
      </c>
      <c r="K50">
        <v>2441</v>
      </c>
      <c r="L50">
        <v>1326</v>
      </c>
      <c r="M50">
        <v>144</v>
      </c>
      <c r="N50">
        <v>45</v>
      </c>
      <c r="O50">
        <v>27660</v>
      </c>
      <c r="P50" s="2">
        <f t="shared" si="2"/>
        <v>26984</v>
      </c>
      <c r="Q50">
        <f t="shared" si="3"/>
        <v>21113</v>
      </c>
    </row>
    <row r="51" spans="1:17" x14ac:dyDescent="0.25">
      <c r="A51" t="s">
        <v>1</v>
      </c>
      <c r="B51">
        <v>1994</v>
      </c>
      <c r="C51">
        <v>457</v>
      </c>
      <c r="D51">
        <v>2368</v>
      </c>
      <c r="E51">
        <v>3339</v>
      </c>
      <c r="F51">
        <v>3356</v>
      </c>
      <c r="G51">
        <v>3354</v>
      </c>
      <c r="H51">
        <v>3483</v>
      </c>
      <c r="I51">
        <v>3876</v>
      </c>
      <c r="J51">
        <v>3298</v>
      </c>
      <c r="K51">
        <v>2411</v>
      </c>
      <c r="L51">
        <v>1294</v>
      </c>
      <c r="M51">
        <v>130</v>
      </c>
      <c r="N51">
        <v>38</v>
      </c>
      <c r="O51">
        <v>27404</v>
      </c>
      <c r="P51" s="2">
        <f t="shared" si="2"/>
        <v>26779</v>
      </c>
      <c r="Q51">
        <f t="shared" si="3"/>
        <v>21072</v>
      </c>
    </row>
    <row r="52" spans="1:17" x14ac:dyDescent="0.25">
      <c r="A52" t="s">
        <v>1</v>
      </c>
      <c r="B52">
        <v>1995</v>
      </c>
      <c r="C52">
        <v>496</v>
      </c>
      <c r="D52">
        <v>2229</v>
      </c>
      <c r="E52">
        <v>3124</v>
      </c>
      <c r="F52">
        <v>3349</v>
      </c>
      <c r="G52">
        <v>3280</v>
      </c>
      <c r="H52">
        <v>3409</v>
      </c>
      <c r="I52">
        <v>3757</v>
      </c>
      <c r="J52">
        <v>3486</v>
      </c>
      <c r="K52">
        <v>2427</v>
      </c>
      <c r="L52">
        <v>1379</v>
      </c>
      <c r="M52">
        <v>183</v>
      </c>
      <c r="N52">
        <v>38</v>
      </c>
      <c r="O52">
        <v>27157</v>
      </c>
      <c r="P52" s="2">
        <f t="shared" si="2"/>
        <v>26440</v>
      </c>
      <c r="Q52">
        <f t="shared" si="3"/>
        <v>21087</v>
      </c>
    </row>
    <row r="53" spans="1:17" x14ac:dyDescent="0.25">
      <c r="A53" t="s">
        <v>1</v>
      </c>
      <c r="B53">
        <v>1996</v>
      </c>
      <c r="C53">
        <v>477</v>
      </c>
      <c r="D53">
        <v>2161</v>
      </c>
      <c r="E53">
        <v>3094</v>
      </c>
      <c r="F53">
        <v>3412</v>
      </c>
      <c r="G53">
        <v>3251</v>
      </c>
      <c r="H53">
        <v>3341</v>
      </c>
      <c r="I53">
        <v>3601</v>
      </c>
      <c r="J53">
        <v>3571</v>
      </c>
      <c r="K53">
        <v>2504</v>
      </c>
      <c r="L53">
        <v>1297</v>
      </c>
      <c r="M53">
        <v>198</v>
      </c>
      <c r="N53">
        <v>27</v>
      </c>
      <c r="O53">
        <v>26934</v>
      </c>
      <c r="P53" s="2">
        <f t="shared" si="2"/>
        <v>26232</v>
      </c>
      <c r="Q53">
        <f t="shared" si="3"/>
        <v>20977</v>
      </c>
    </row>
    <row r="54" spans="1:17" x14ac:dyDescent="0.25">
      <c r="A54" t="s">
        <v>1</v>
      </c>
      <c r="B54">
        <v>1997</v>
      </c>
      <c r="C54">
        <v>415</v>
      </c>
      <c r="D54">
        <v>2089</v>
      </c>
      <c r="E54">
        <v>2938</v>
      </c>
      <c r="F54">
        <v>3418</v>
      </c>
      <c r="G54">
        <v>3213</v>
      </c>
      <c r="H54">
        <v>3318</v>
      </c>
      <c r="I54">
        <v>3485</v>
      </c>
      <c r="J54">
        <v>3561</v>
      </c>
      <c r="K54">
        <v>2646</v>
      </c>
      <c r="L54">
        <v>1271</v>
      </c>
      <c r="M54">
        <v>198</v>
      </c>
      <c r="N54">
        <v>37</v>
      </c>
      <c r="O54">
        <v>26589</v>
      </c>
      <c r="P54" s="2">
        <f t="shared" si="2"/>
        <v>25939</v>
      </c>
      <c r="Q54">
        <f t="shared" si="3"/>
        <v>20912</v>
      </c>
    </row>
    <row r="55" spans="1:17" x14ac:dyDescent="0.25">
      <c r="A55" t="s">
        <v>1</v>
      </c>
      <c r="B55">
        <v>1998</v>
      </c>
      <c r="C55">
        <v>509</v>
      </c>
      <c r="D55">
        <v>2433</v>
      </c>
      <c r="E55">
        <v>3106</v>
      </c>
      <c r="F55">
        <v>3466</v>
      </c>
      <c r="G55">
        <v>3231</v>
      </c>
      <c r="H55">
        <v>3250</v>
      </c>
      <c r="I55">
        <v>3534</v>
      </c>
      <c r="J55">
        <v>3629</v>
      </c>
      <c r="K55">
        <v>2714</v>
      </c>
      <c r="L55">
        <v>1313</v>
      </c>
      <c r="M55">
        <v>197</v>
      </c>
      <c r="N55">
        <v>35</v>
      </c>
      <c r="O55">
        <v>27417</v>
      </c>
      <c r="P55" s="2">
        <f t="shared" si="2"/>
        <v>26676</v>
      </c>
      <c r="Q55">
        <f t="shared" si="3"/>
        <v>21137</v>
      </c>
    </row>
    <row r="56" spans="1:17" x14ac:dyDescent="0.25">
      <c r="A56" t="s">
        <v>1</v>
      </c>
      <c r="B56">
        <v>1999</v>
      </c>
      <c r="C56">
        <v>547</v>
      </c>
      <c r="D56">
        <v>2226</v>
      </c>
      <c r="E56">
        <v>3276</v>
      </c>
      <c r="F56">
        <v>3475</v>
      </c>
      <c r="G56">
        <v>3377</v>
      </c>
      <c r="H56">
        <v>3330</v>
      </c>
      <c r="I56">
        <v>3419</v>
      </c>
      <c r="J56">
        <v>3629</v>
      </c>
      <c r="K56">
        <v>2872</v>
      </c>
      <c r="L56">
        <v>1365</v>
      </c>
      <c r="M56">
        <v>178</v>
      </c>
      <c r="N56">
        <v>25</v>
      </c>
      <c r="O56">
        <v>27719</v>
      </c>
      <c r="P56" s="2">
        <f t="shared" si="2"/>
        <v>26969</v>
      </c>
      <c r="Q56">
        <f t="shared" si="3"/>
        <v>21467</v>
      </c>
    </row>
    <row r="57" spans="1:17" x14ac:dyDescent="0.25">
      <c r="A57" t="s">
        <v>1</v>
      </c>
      <c r="B57">
        <v>2000</v>
      </c>
      <c r="C57">
        <v>622</v>
      </c>
      <c r="D57">
        <v>2406</v>
      </c>
      <c r="E57">
        <v>3347</v>
      </c>
      <c r="F57">
        <v>3464</v>
      </c>
      <c r="G57">
        <v>3525</v>
      </c>
      <c r="H57">
        <v>3356</v>
      </c>
      <c r="I57">
        <v>3440</v>
      </c>
      <c r="J57">
        <v>3582</v>
      </c>
      <c r="K57">
        <v>3047</v>
      </c>
      <c r="L57">
        <v>1464</v>
      </c>
      <c r="M57">
        <v>189</v>
      </c>
      <c r="N57">
        <v>35</v>
      </c>
      <c r="O57">
        <v>28477</v>
      </c>
      <c r="P57" s="2">
        <f t="shared" si="2"/>
        <v>27631</v>
      </c>
      <c r="Q57">
        <f t="shared" si="3"/>
        <v>21878</v>
      </c>
    </row>
    <row r="58" spans="1:17" x14ac:dyDescent="0.25">
      <c r="A58" t="s">
        <v>1</v>
      </c>
      <c r="B58">
        <v>2001</v>
      </c>
      <c r="C58">
        <v>591</v>
      </c>
      <c r="D58">
        <v>2551</v>
      </c>
      <c r="E58">
        <v>3466</v>
      </c>
      <c r="F58">
        <v>3501</v>
      </c>
      <c r="G58">
        <v>3736</v>
      </c>
      <c r="H58">
        <v>3411</v>
      </c>
      <c r="I58">
        <v>3408</v>
      </c>
      <c r="J58">
        <v>3505</v>
      </c>
      <c r="K58">
        <v>3172</v>
      </c>
      <c r="L58">
        <v>1638</v>
      </c>
      <c r="M58">
        <v>179</v>
      </c>
      <c r="N58">
        <v>26</v>
      </c>
      <c r="O58">
        <v>29184</v>
      </c>
      <c r="P58" s="2">
        <f t="shared" si="2"/>
        <v>28388</v>
      </c>
      <c r="Q58">
        <f t="shared" si="3"/>
        <v>22371</v>
      </c>
    </row>
    <row r="59" spans="1:17" x14ac:dyDescent="0.25">
      <c r="A59" t="s">
        <v>1</v>
      </c>
      <c r="B59">
        <v>2002</v>
      </c>
      <c r="C59">
        <v>678</v>
      </c>
      <c r="D59">
        <v>2522</v>
      </c>
      <c r="E59">
        <v>3461</v>
      </c>
      <c r="F59">
        <v>3454</v>
      </c>
      <c r="G59">
        <v>3809</v>
      </c>
      <c r="H59">
        <v>3426</v>
      </c>
      <c r="I59">
        <v>3421</v>
      </c>
      <c r="J59">
        <v>3450</v>
      </c>
      <c r="K59">
        <v>3228</v>
      </c>
      <c r="L59">
        <v>1816</v>
      </c>
      <c r="M59">
        <v>242</v>
      </c>
      <c r="N59">
        <v>33</v>
      </c>
      <c r="O59">
        <v>29540</v>
      </c>
      <c r="P59" s="2">
        <f t="shared" si="2"/>
        <v>28587</v>
      </c>
      <c r="Q59">
        <f t="shared" si="3"/>
        <v>22604</v>
      </c>
    </row>
    <row r="60" spans="1:17" x14ac:dyDescent="0.25">
      <c r="A60" t="s">
        <v>1</v>
      </c>
      <c r="B60">
        <v>2003</v>
      </c>
      <c r="C60">
        <v>598</v>
      </c>
      <c r="D60">
        <v>2344</v>
      </c>
      <c r="E60">
        <v>3271</v>
      </c>
      <c r="F60">
        <v>3478</v>
      </c>
      <c r="G60">
        <v>3757</v>
      </c>
      <c r="H60">
        <v>3409</v>
      </c>
      <c r="I60">
        <v>3315</v>
      </c>
      <c r="J60">
        <v>3437</v>
      </c>
      <c r="K60">
        <v>3263</v>
      </c>
      <c r="L60">
        <v>1963</v>
      </c>
      <c r="M60">
        <v>215</v>
      </c>
      <c r="N60">
        <v>15</v>
      </c>
      <c r="O60">
        <v>29065</v>
      </c>
      <c r="P60" s="2">
        <f t="shared" si="2"/>
        <v>28237</v>
      </c>
      <c r="Q60">
        <f t="shared" si="3"/>
        <v>22622</v>
      </c>
    </row>
    <row r="61" spans="1:17" x14ac:dyDescent="0.25">
      <c r="A61" t="s">
        <v>1</v>
      </c>
      <c r="B61">
        <v>2004</v>
      </c>
      <c r="C61">
        <v>532</v>
      </c>
      <c r="D61">
        <v>2363</v>
      </c>
      <c r="E61">
        <v>3180</v>
      </c>
      <c r="F61">
        <v>3556</v>
      </c>
      <c r="G61">
        <v>3655</v>
      </c>
      <c r="H61">
        <v>3525</v>
      </c>
      <c r="I61">
        <v>3338</v>
      </c>
      <c r="J61">
        <v>3300</v>
      </c>
      <c r="K61">
        <v>3289</v>
      </c>
      <c r="L61">
        <v>2205</v>
      </c>
      <c r="M61">
        <v>279</v>
      </c>
      <c r="N61">
        <v>46</v>
      </c>
      <c r="O61">
        <v>29268</v>
      </c>
      <c r="P61" s="2">
        <f t="shared" si="2"/>
        <v>28411</v>
      </c>
      <c r="Q61">
        <f t="shared" si="3"/>
        <v>22868</v>
      </c>
    </row>
    <row r="62" spans="1:17" x14ac:dyDescent="0.25">
      <c r="A62" t="s">
        <v>1</v>
      </c>
      <c r="B62">
        <v>2005</v>
      </c>
      <c r="C62">
        <v>521</v>
      </c>
      <c r="D62">
        <v>2318</v>
      </c>
      <c r="E62">
        <v>3170</v>
      </c>
      <c r="F62">
        <v>3501</v>
      </c>
      <c r="G62">
        <v>3626</v>
      </c>
      <c r="H62">
        <v>3668</v>
      </c>
      <c r="I62">
        <v>3382</v>
      </c>
      <c r="J62">
        <v>3278</v>
      </c>
      <c r="K62">
        <v>3200</v>
      </c>
      <c r="L62">
        <v>2313</v>
      </c>
      <c r="M62">
        <v>294</v>
      </c>
      <c r="N62">
        <v>46</v>
      </c>
      <c r="O62">
        <v>29317</v>
      </c>
      <c r="P62" s="2">
        <f t="shared" si="2"/>
        <v>28456</v>
      </c>
      <c r="Q62">
        <f t="shared" si="3"/>
        <v>22968</v>
      </c>
    </row>
    <row r="63" spans="1:17" x14ac:dyDescent="0.25">
      <c r="A63" t="s">
        <v>1</v>
      </c>
      <c r="B63">
        <v>2006</v>
      </c>
      <c r="C63">
        <v>542</v>
      </c>
      <c r="D63">
        <v>2560</v>
      </c>
      <c r="E63">
        <v>3279</v>
      </c>
      <c r="F63">
        <v>3515</v>
      </c>
      <c r="G63">
        <v>3563</v>
      </c>
      <c r="H63">
        <v>3879</v>
      </c>
      <c r="I63">
        <v>3392</v>
      </c>
      <c r="J63">
        <v>3297</v>
      </c>
      <c r="K63">
        <v>3210</v>
      </c>
      <c r="L63">
        <v>2392</v>
      </c>
      <c r="M63">
        <v>329</v>
      </c>
      <c r="N63">
        <v>45</v>
      </c>
      <c r="O63">
        <v>30003</v>
      </c>
      <c r="P63" s="2">
        <f t="shared" si="2"/>
        <v>29087</v>
      </c>
      <c r="Q63">
        <f t="shared" si="3"/>
        <v>23248</v>
      </c>
    </row>
    <row r="64" spans="1:17" x14ac:dyDescent="0.25">
      <c r="A64" t="s">
        <v>1</v>
      </c>
      <c r="B64">
        <v>2007</v>
      </c>
      <c r="C64">
        <v>568</v>
      </c>
      <c r="D64">
        <v>2762</v>
      </c>
      <c r="E64">
        <v>3301</v>
      </c>
      <c r="F64">
        <v>3546</v>
      </c>
      <c r="G64">
        <v>3583</v>
      </c>
      <c r="H64">
        <v>3953</v>
      </c>
      <c r="I64">
        <v>3468</v>
      </c>
      <c r="J64">
        <v>3350</v>
      </c>
      <c r="K64">
        <v>3201</v>
      </c>
      <c r="L64">
        <v>2497</v>
      </c>
      <c r="M64">
        <v>401</v>
      </c>
      <c r="N64">
        <v>63</v>
      </c>
      <c r="O64">
        <v>30693</v>
      </c>
      <c r="P64" s="2">
        <f t="shared" si="2"/>
        <v>29661</v>
      </c>
      <c r="Q64">
        <f t="shared" si="3"/>
        <v>23598</v>
      </c>
    </row>
    <row r="65" spans="1:17" x14ac:dyDescent="0.25">
      <c r="A65" t="s">
        <v>1</v>
      </c>
      <c r="B65">
        <v>2008</v>
      </c>
      <c r="C65">
        <v>520</v>
      </c>
      <c r="D65">
        <v>2594</v>
      </c>
      <c r="E65">
        <v>3233</v>
      </c>
      <c r="F65">
        <v>3522</v>
      </c>
      <c r="G65">
        <v>3721</v>
      </c>
      <c r="H65">
        <v>3949</v>
      </c>
      <c r="I65">
        <v>3522</v>
      </c>
      <c r="J65">
        <v>3319</v>
      </c>
      <c r="K65">
        <v>3212</v>
      </c>
      <c r="L65">
        <v>2546</v>
      </c>
      <c r="M65">
        <v>450</v>
      </c>
      <c r="N65">
        <v>66</v>
      </c>
      <c r="O65">
        <v>30654</v>
      </c>
      <c r="P65" s="2">
        <f t="shared" si="2"/>
        <v>29618</v>
      </c>
      <c r="Q65">
        <f t="shared" si="3"/>
        <v>23791</v>
      </c>
    </row>
    <row r="66" spans="1:17" x14ac:dyDescent="0.25">
      <c r="A66" t="s">
        <v>1</v>
      </c>
      <c r="B66">
        <v>2009</v>
      </c>
      <c r="C66">
        <v>533</v>
      </c>
      <c r="D66">
        <v>2474</v>
      </c>
      <c r="E66">
        <v>3123</v>
      </c>
      <c r="F66">
        <v>3425</v>
      </c>
      <c r="G66">
        <v>3677</v>
      </c>
      <c r="H66">
        <v>3878</v>
      </c>
      <c r="I66">
        <v>3608</v>
      </c>
      <c r="J66">
        <v>3320</v>
      </c>
      <c r="K66">
        <v>3044</v>
      </c>
      <c r="L66">
        <v>2609</v>
      </c>
      <c r="M66">
        <v>527</v>
      </c>
      <c r="N66">
        <v>91</v>
      </c>
      <c r="O66">
        <v>30309</v>
      </c>
      <c r="P66" s="2">
        <f t="shared" si="2"/>
        <v>29158</v>
      </c>
      <c r="Q66">
        <f t="shared" si="3"/>
        <v>23561</v>
      </c>
    </row>
    <row r="67" spans="1:17" x14ac:dyDescent="0.25">
      <c r="A67" t="s">
        <v>1</v>
      </c>
      <c r="B67">
        <v>2010</v>
      </c>
      <c r="C67">
        <v>561</v>
      </c>
      <c r="D67">
        <v>2775</v>
      </c>
      <c r="E67">
        <v>3287</v>
      </c>
      <c r="F67">
        <v>3517</v>
      </c>
      <c r="G67">
        <v>3737</v>
      </c>
      <c r="H67">
        <v>3867</v>
      </c>
      <c r="I67">
        <v>3816</v>
      </c>
      <c r="J67">
        <v>3367</v>
      </c>
      <c r="K67">
        <v>3106</v>
      </c>
      <c r="L67">
        <v>2660</v>
      </c>
      <c r="M67">
        <v>566</v>
      </c>
      <c r="N67">
        <v>91</v>
      </c>
      <c r="O67">
        <v>31350</v>
      </c>
      <c r="P67" s="2">
        <f t="shared" si="2"/>
        <v>30132</v>
      </c>
      <c r="Q67">
        <f t="shared" si="3"/>
        <v>24070</v>
      </c>
    </row>
    <row r="68" spans="1:17" x14ac:dyDescent="0.25">
      <c r="A68" t="s">
        <v>1</v>
      </c>
      <c r="B68">
        <v>2011</v>
      </c>
      <c r="C68">
        <v>543</v>
      </c>
      <c r="D68">
        <v>2734</v>
      </c>
      <c r="E68">
        <v>3297</v>
      </c>
      <c r="F68">
        <v>3519</v>
      </c>
      <c r="G68">
        <v>3737</v>
      </c>
      <c r="H68">
        <v>3837</v>
      </c>
      <c r="I68">
        <v>4024</v>
      </c>
      <c r="J68">
        <v>3362</v>
      </c>
      <c r="K68">
        <v>3150</v>
      </c>
      <c r="L68">
        <v>2630</v>
      </c>
      <c r="M68">
        <v>644</v>
      </c>
      <c r="N68">
        <v>159</v>
      </c>
      <c r="O68">
        <v>31636</v>
      </c>
      <c r="P68" s="2">
        <f t="shared" si="2"/>
        <v>30290</v>
      </c>
      <c r="Q68">
        <f t="shared" si="3"/>
        <v>24259</v>
      </c>
    </row>
    <row r="69" spans="1:17" x14ac:dyDescent="0.25">
      <c r="A69" t="s">
        <v>1</v>
      </c>
      <c r="B69">
        <v>2012</v>
      </c>
      <c r="C69">
        <v>589</v>
      </c>
      <c r="D69">
        <v>2950</v>
      </c>
      <c r="E69">
        <v>3394</v>
      </c>
      <c r="F69">
        <v>3505</v>
      </c>
      <c r="G69">
        <v>3812</v>
      </c>
      <c r="H69">
        <v>3794</v>
      </c>
      <c r="I69">
        <v>4048</v>
      </c>
      <c r="J69">
        <v>3418</v>
      </c>
      <c r="K69">
        <v>3178</v>
      </c>
      <c r="L69">
        <v>2629</v>
      </c>
      <c r="M69">
        <v>655</v>
      </c>
      <c r="N69">
        <v>208</v>
      </c>
      <c r="O69">
        <v>32180</v>
      </c>
      <c r="P69" s="2">
        <f t="shared" si="2"/>
        <v>30728</v>
      </c>
      <c r="Q69">
        <f t="shared" si="3"/>
        <v>24384</v>
      </c>
    </row>
    <row r="70" spans="1:17" x14ac:dyDescent="0.25">
      <c r="A70" t="s">
        <v>1</v>
      </c>
      <c r="B70">
        <v>2013</v>
      </c>
      <c r="C70">
        <v>622</v>
      </c>
      <c r="D70">
        <v>3225</v>
      </c>
      <c r="E70">
        <v>3476</v>
      </c>
      <c r="F70">
        <v>3561</v>
      </c>
      <c r="G70">
        <v>3780</v>
      </c>
      <c r="H70">
        <v>3904</v>
      </c>
      <c r="I70">
        <v>4041</v>
      </c>
      <c r="J70">
        <v>3508</v>
      </c>
      <c r="K70">
        <v>3195</v>
      </c>
      <c r="L70">
        <v>2664</v>
      </c>
      <c r="M70">
        <v>759</v>
      </c>
      <c r="N70">
        <v>241</v>
      </c>
      <c r="O70">
        <v>32976</v>
      </c>
      <c r="P70" s="2">
        <f t="shared" si="2"/>
        <v>31354</v>
      </c>
      <c r="Q70">
        <f t="shared" si="3"/>
        <v>24653</v>
      </c>
    </row>
    <row r="71" spans="1:17" x14ac:dyDescent="0.25">
      <c r="A71" t="s">
        <v>1</v>
      </c>
      <c r="B71">
        <v>2014</v>
      </c>
      <c r="C71">
        <v>544</v>
      </c>
      <c r="D71">
        <v>3188</v>
      </c>
      <c r="E71">
        <v>3741</v>
      </c>
      <c r="F71">
        <v>3485</v>
      </c>
      <c r="G71">
        <v>3796</v>
      </c>
      <c r="H71">
        <v>3981</v>
      </c>
      <c r="I71">
        <v>4067</v>
      </c>
      <c r="J71">
        <v>3663</v>
      </c>
      <c r="K71">
        <v>3242</v>
      </c>
      <c r="L71">
        <v>2628</v>
      </c>
      <c r="M71">
        <v>796</v>
      </c>
      <c r="N71">
        <v>257</v>
      </c>
      <c r="O71">
        <v>33388</v>
      </c>
      <c r="P71" s="2">
        <f t="shared" si="2"/>
        <v>31791</v>
      </c>
      <c r="Q71">
        <f t="shared" si="3"/>
        <v>24862</v>
      </c>
    </row>
    <row r="72" spans="1:17" x14ac:dyDescent="0.25">
      <c r="A72" t="s">
        <v>1</v>
      </c>
      <c r="B72">
        <v>2015</v>
      </c>
      <c r="C72">
        <v>617</v>
      </c>
      <c r="D72">
        <v>3375</v>
      </c>
      <c r="E72">
        <v>3955</v>
      </c>
      <c r="F72">
        <v>3653</v>
      </c>
      <c r="G72">
        <v>3818</v>
      </c>
      <c r="H72">
        <v>3986</v>
      </c>
      <c r="I72">
        <v>4028</v>
      </c>
      <c r="J72">
        <v>3844</v>
      </c>
      <c r="K72">
        <v>3300</v>
      </c>
      <c r="L72">
        <v>2625</v>
      </c>
      <c r="M72">
        <v>827</v>
      </c>
      <c r="N72">
        <v>261</v>
      </c>
      <c r="O72">
        <v>34289</v>
      </c>
      <c r="P72" s="2">
        <f t="shared" si="2"/>
        <v>32584</v>
      </c>
      <c r="Q72">
        <f t="shared" si="3"/>
        <v>25254</v>
      </c>
    </row>
    <row r="73" spans="1:17" x14ac:dyDescent="0.25">
      <c r="A73" t="s">
        <v>1</v>
      </c>
      <c r="B73">
        <v>2016</v>
      </c>
      <c r="C73">
        <v>728</v>
      </c>
      <c r="D73">
        <v>3566</v>
      </c>
      <c r="E73">
        <v>4294</v>
      </c>
      <c r="F73">
        <v>3801</v>
      </c>
      <c r="G73">
        <v>3821</v>
      </c>
      <c r="H73">
        <v>4044</v>
      </c>
      <c r="I73">
        <v>4041</v>
      </c>
      <c r="J73">
        <v>4058</v>
      </c>
      <c r="K73">
        <v>3300</v>
      </c>
      <c r="L73">
        <v>2671</v>
      </c>
      <c r="M73">
        <v>818</v>
      </c>
      <c r="N73">
        <v>278</v>
      </c>
      <c r="O73">
        <v>35420</v>
      </c>
      <c r="P73" s="2">
        <f t="shared" si="2"/>
        <v>33596</v>
      </c>
      <c r="Q73">
        <f t="shared" si="3"/>
        <v>25736</v>
      </c>
    </row>
    <row r="74" spans="1:17" x14ac:dyDescent="0.25">
      <c r="A74" t="s">
        <v>1</v>
      </c>
      <c r="B74">
        <v>2017</v>
      </c>
      <c r="C74">
        <v>775</v>
      </c>
      <c r="D74">
        <v>3565</v>
      </c>
      <c r="E74">
        <v>4435</v>
      </c>
      <c r="F74">
        <v>3947</v>
      </c>
      <c r="G74">
        <v>3860</v>
      </c>
      <c r="H74">
        <v>4074</v>
      </c>
      <c r="I74">
        <v>3987</v>
      </c>
      <c r="J74">
        <v>4151</v>
      </c>
      <c r="K74">
        <v>3361</v>
      </c>
      <c r="L74">
        <v>2676</v>
      </c>
      <c r="M74">
        <v>852</v>
      </c>
      <c r="N74">
        <v>348</v>
      </c>
      <c r="O74">
        <v>36031</v>
      </c>
      <c r="P74" s="2">
        <f t="shared" si="2"/>
        <v>34056</v>
      </c>
      <c r="Q74">
        <f t="shared" si="3"/>
        <v>26056</v>
      </c>
    </row>
    <row r="75" spans="1:17" x14ac:dyDescent="0.25">
      <c r="A75" t="s">
        <v>1</v>
      </c>
      <c r="B75">
        <v>2018</v>
      </c>
      <c r="C75">
        <v>788</v>
      </c>
      <c r="D75">
        <v>3302</v>
      </c>
      <c r="E75">
        <v>4642</v>
      </c>
      <c r="F75">
        <v>4128</v>
      </c>
      <c r="G75">
        <v>3931</v>
      </c>
      <c r="H75">
        <v>4078</v>
      </c>
      <c r="I75">
        <v>4089</v>
      </c>
      <c r="J75">
        <v>4201</v>
      </c>
      <c r="K75">
        <v>3421</v>
      </c>
      <c r="L75">
        <v>2752</v>
      </c>
      <c r="M75">
        <v>930</v>
      </c>
      <c r="N75">
        <v>356</v>
      </c>
      <c r="O75">
        <v>36618</v>
      </c>
      <c r="P75" s="2">
        <f t="shared" si="2"/>
        <v>34544</v>
      </c>
      <c r="Q75">
        <f t="shared" si="3"/>
        <v>26600</v>
      </c>
    </row>
    <row r="76" spans="1:17" x14ac:dyDescent="0.25">
      <c r="A76" t="s">
        <v>1</v>
      </c>
      <c r="B76">
        <v>2019</v>
      </c>
      <c r="C76">
        <v>1089</v>
      </c>
      <c r="D76">
        <v>3391</v>
      </c>
      <c r="E76">
        <v>4954</v>
      </c>
      <c r="F76">
        <v>4307</v>
      </c>
      <c r="G76">
        <v>3892</v>
      </c>
      <c r="H76">
        <v>4111</v>
      </c>
      <c r="I76">
        <v>4199</v>
      </c>
      <c r="J76">
        <v>4143</v>
      </c>
      <c r="K76">
        <v>3623</v>
      </c>
      <c r="L76">
        <v>2780</v>
      </c>
      <c r="M76">
        <v>1080</v>
      </c>
      <c r="N76">
        <v>465</v>
      </c>
      <c r="O76">
        <v>38034</v>
      </c>
      <c r="P76" s="2">
        <f t="shared" si="2"/>
        <v>35400</v>
      </c>
      <c r="Q76">
        <f t="shared" si="3"/>
        <v>27055</v>
      </c>
    </row>
    <row r="77" spans="1:17" x14ac:dyDescent="0.25">
      <c r="A77" t="s">
        <v>1</v>
      </c>
      <c r="B77">
        <v>2020</v>
      </c>
      <c r="C77">
        <v>1014</v>
      </c>
      <c r="D77">
        <v>3200</v>
      </c>
      <c r="E77">
        <v>4779</v>
      </c>
      <c r="F77">
        <v>4493</v>
      </c>
      <c r="G77">
        <v>3928</v>
      </c>
      <c r="H77">
        <v>4117</v>
      </c>
      <c r="I77">
        <v>4155</v>
      </c>
      <c r="J77">
        <v>4097</v>
      </c>
      <c r="K77">
        <v>3744</v>
      </c>
      <c r="L77">
        <v>2794</v>
      </c>
      <c r="M77">
        <v>974</v>
      </c>
      <c r="N77">
        <v>384</v>
      </c>
      <c r="O77">
        <v>37679</v>
      </c>
      <c r="P77" s="2">
        <f t="shared" si="2"/>
        <v>35307</v>
      </c>
      <c r="Q77">
        <f t="shared" si="3"/>
        <v>27328</v>
      </c>
    </row>
    <row r="78" spans="1:17" x14ac:dyDescent="0.25">
      <c r="A78" t="s">
        <v>1</v>
      </c>
      <c r="B78">
        <v>2021</v>
      </c>
      <c r="C78">
        <v>1131</v>
      </c>
      <c r="D78">
        <v>3335</v>
      </c>
      <c r="E78">
        <v>4637</v>
      </c>
      <c r="F78">
        <v>4604</v>
      </c>
      <c r="G78">
        <v>4012</v>
      </c>
      <c r="H78">
        <v>4135</v>
      </c>
      <c r="I78">
        <v>4208</v>
      </c>
      <c r="J78">
        <v>4087</v>
      </c>
      <c r="K78">
        <v>3975</v>
      </c>
      <c r="L78">
        <v>2810</v>
      </c>
      <c r="M78">
        <v>1036</v>
      </c>
      <c r="N78">
        <v>450</v>
      </c>
      <c r="O78">
        <v>38420</v>
      </c>
      <c r="P78" s="2">
        <f t="shared" si="2"/>
        <v>35803</v>
      </c>
      <c r="Q78">
        <f t="shared" si="3"/>
        <v>27831</v>
      </c>
    </row>
    <row r="79" spans="1:17" x14ac:dyDescent="0.25">
      <c r="A79" t="s">
        <v>1</v>
      </c>
      <c r="B79">
        <v>2022</v>
      </c>
      <c r="C79">
        <v>1300</v>
      </c>
      <c r="D79">
        <v>3537</v>
      </c>
      <c r="E79">
        <v>4499</v>
      </c>
      <c r="F79">
        <v>4802</v>
      </c>
      <c r="G79">
        <v>4236</v>
      </c>
      <c r="H79">
        <v>4105</v>
      </c>
      <c r="I79">
        <v>4292</v>
      </c>
      <c r="J79">
        <v>4069</v>
      </c>
      <c r="K79">
        <v>4064</v>
      </c>
      <c r="L79">
        <v>2927</v>
      </c>
      <c r="M79">
        <v>1114</v>
      </c>
      <c r="N79">
        <v>467</v>
      </c>
      <c r="O79">
        <v>39412</v>
      </c>
      <c r="P79" s="2">
        <f t="shared" si="2"/>
        <v>36531</v>
      </c>
      <c r="Q79">
        <f t="shared" si="3"/>
        <v>28495</v>
      </c>
    </row>
    <row r="80" spans="1:17" x14ac:dyDescent="0.25">
      <c r="A80" t="s">
        <v>1</v>
      </c>
      <c r="B80">
        <v>2023</v>
      </c>
      <c r="C80">
        <v>1337</v>
      </c>
      <c r="D80">
        <v>3663</v>
      </c>
      <c r="E80">
        <v>4380</v>
      </c>
      <c r="F80">
        <v>4914</v>
      </c>
      <c r="G80">
        <v>4345</v>
      </c>
      <c r="H80">
        <v>4201</v>
      </c>
      <c r="I80">
        <v>4206</v>
      </c>
      <c r="J80">
        <v>4174</v>
      </c>
      <c r="K80">
        <v>4105</v>
      </c>
      <c r="L80">
        <v>2994</v>
      </c>
      <c r="M80">
        <v>1236</v>
      </c>
      <c r="N80">
        <v>484</v>
      </c>
      <c r="O80">
        <v>40039</v>
      </c>
      <c r="P80" s="2">
        <f t="shared" si="2"/>
        <v>36982</v>
      </c>
      <c r="Q80">
        <f t="shared" si="3"/>
        <v>28939</v>
      </c>
    </row>
    <row r="81" spans="1:17" x14ac:dyDescent="0.25">
      <c r="A81" t="s">
        <v>1</v>
      </c>
      <c r="B81">
        <v>2024</v>
      </c>
      <c r="C81">
        <v>1320</v>
      </c>
      <c r="D81">
        <v>3536</v>
      </c>
      <c r="E81">
        <v>4139</v>
      </c>
      <c r="F81">
        <v>4863</v>
      </c>
      <c r="G81">
        <v>4480</v>
      </c>
      <c r="H81">
        <v>4153</v>
      </c>
      <c r="I81">
        <v>4221</v>
      </c>
      <c r="J81">
        <v>4214</v>
      </c>
      <c r="K81">
        <v>4052</v>
      </c>
      <c r="L81">
        <v>3166</v>
      </c>
      <c r="M81">
        <v>1285</v>
      </c>
      <c r="N81">
        <v>488</v>
      </c>
      <c r="O81">
        <v>39917</v>
      </c>
      <c r="P81" s="2">
        <f t="shared" si="2"/>
        <v>36824</v>
      </c>
      <c r="Q81">
        <f t="shared" si="3"/>
        <v>29149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D7ED-7A9F-495D-A5ED-B9C3036A4231}">
  <dimension ref="A1:L433"/>
  <sheetViews>
    <sheetView workbookViewId="0"/>
  </sheetViews>
  <sheetFormatPr defaultRowHeight="15" x14ac:dyDescent="0.25"/>
  <cols>
    <col min="2" max="2" width="19" bestFit="1" customWidth="1"/>
  </cols>
  <sheetData>
    <row r="1" spans="1:12" x14ac:dyDescent="0.25">
      <c r="A1" s="4" t="s">
        <v>22</v>
      </c>
      <c r="B1" s="4" t="s">
        <v>56</v>
      </c>
      <c r="C1" s="4" t="s">
        <v>6</v>
      </c>
      <c r="D1" s="5" t="s">
        <v>7</v>
      </c>
      <c r="E1" s="5" t="s">
        <v>8</v>
      </c>
      <c r="F1" s="5" t="s">
        <v>47</v>
      </c>
      <c r="G1" s="5" t="s">
        <v>48</v>
      </c>
      <c r="H1" s="5" t="s">
        <v>49</v>
      </c>
      <c r="I1" s="5" t="s">
        <v>15</v>
      </c>
      <c r="J1" s="5" t="s">
        <v>16</v>
      </c>
      <c r="K1" s="5" t="s">
        <v>50</v>
      </c>
      <c r="L1" s="5" t="s">
        <v>43</v>
      </c>
    </row>
    <row r="2" spans="1:12" x14ac:dyDescent="0.25">
      <c r="A2" t="s">
        <v>0</v>
      </c>
      <c r="B2" t="s">
        <v>51</v>
      </c>
      <c r="C2">
        <v>2001</v>
      </c>
      <c r="D2">
        <v>184</v>
      </c>
      <c r="E2">
        <v>220</v>
      </c>
      <c r="F2">
        <v>427</v>
      </c>
      <c r="G2">
        <v>917</v>
      </c>
      <c r="H2">
        <v>1353</v>
      </c>
      <c r="I2">
        <v>862</v>
      </c>
      <c r="J2">
        <v>576</v>
      </c>
      <c r="K2">
        <v>130</v>
      </c>
      <c r="L2">
        <v>4669</v>
      </c>
    </row>
    <row r="3" spans="1:12" x14ac:dyDescent="0.25">
      <c r="A3" t="s">
        <v>0</v>
      </c>
      <c r="B3" t="s">
        <v>51</v>
      </c>
      <c r="C3">
        <v>2002</v>
      </c>
      <c r="D3">
        <v>217</v>
      </c>
      <c r="E3">
        <v>221</v>
      </c>
      <c r="F3">
        <v>415</v>
      </c>
      <c r="G3">
        <v>855</v>
      </c>
      <c r="H3">
        <v>1314</v>
      </c>
      <c r="I3">
        <v>857</v>
      </c>
      <c r="J3">
        <v>619</v>
      </c>
      <c r="K3">
        <v>167</v>
      </c>
      <c r="L3">
        <v>4665</v>
      </c>
    </row>
    <row r="4" spans="1:12" x14ac:dyDescent="0.25">
      <c r="A4" t="s">
        <v>0</v>
      </c>
      <c r="B4" t="s">
        <v>51</v>
      </c>
      <c r="C4">
        <v>2003</v>
      </c>
      <c r="D4">
        <v>192</v>
      </c>
      <c r="E4">
        <v>203</v>
      </c>
      <c r="F4">
        <v>438</v>
      </c>
      <c r="G4">
        <v>784</v>
      </c>
      <c r="H4">
        <v>1257</v>
      </c>
      <c r="I4">
        <v>846</v>
      </c>
      <c r="J4">
        <v>648</v>
      </c>
      <c r="K4">
        <v>121</v>
      </c>
      <c r="L4">
        <v>4489</v>
      </c>
    </row>
    <row r="5" spans="1:12" x14ac:dyDescent="0.25">
      <c r="A5" t="s">
        <v>0</v>
      </c>
      <c r="B5" t="s">
        <v>51</v>
      </c>
      <c r="C5">
        <v>2004</v>
      </c>
      <c r="D5">
        <v>180</v>
      </c>
      <c r="E5">
        <v>147</v>
      </c>
      <c r="F5">
        <v>426</v>
      </c>
      <c r="G5">
        <v>704</v>
      </c>
      <c r="H5">
        <v>1201</v>
      </c>
      <c r="I5">
        <v>809</v>
      </c>
      <c r="J5">
        <v>677</v>
      </c>
      <c r="K5">
        <v>179</v>
      </c>
      <c r="L5">
        <v>4323</v>
      </c>
    </row>
    <row r="6" spans="1:12" x14ac:dyDescent="0.25">
      <c r="A6" t="s">
        <v>0</v>
      </c>
      <c r="B6" t="s">
        <v>51</v>
      </c>
      <c r="C6">
        <v>2005</v>
      </c>
      <c r="D6">
        <v>181</v>
      </c>
      <c r="E6">
        <v>145</v>
      </c>
      <c r="F6">
        <v>395</v>
      </c>
      <c r="G6">
        <v>653</v>
      </c>
      <c r="H6">
        <v>1153</v>
      </c>
      <c r="I6">
        <v>772</v>
      </c>
      <c r="J6">
        <v>671</v>
      </c>
      <c r="K6">
        <v>160</v>
      </c>
      <c r="L6">
        <v>4130</v>
      </c>
    </row>
    <row r="7" spans="1:12" x14ac:dyDescent="0.25">
      <c r="A7" t="s">
        <v>0</v>
      </c>
      <c r="B7" t="s">
        <v>51</v>
      </c>
      <c r="C7">
        <v>2006</v>
      </c>
      <c r="D7">
        <v>172</v>
      </c>
      <c r="E7">
        <v>154</v>
      </c>
      <c r="F7">
        <v>394</v>
      </c>
      <c r="G7">
        <v>626</v>
      </c>
      <c r="H7">
        <v>1102</v>
      </c>
      <c r="I7">
        <v>701</v>
      </c>
      <c r="J7">
        <v>708</v>
      </c>
      <c r="K7">
        <v>175</v>
      </c>
      <c r="L7">
        <v>4032</v>
      </c>
    </row>
    <row r="8" spans="1:12" x14ac:dyDescent="0.25">
      <c r="A8" t="s">
        <v>0</v>
      </c>
      <c r="B8" t="s">
        <v>51</v>
      </c>
      <c r="C8">
        <v>2007</v>
      </c>
      <c r="D8">
        <v>143</v>
      </c>
      <c r="E8">
        <v>176</v>
      </c>
      <c r="F8">
        <v>469</v>
      </c>
      <c r="G8">
        <v>613</v>
      </c>
      <c r="H8">
        <v>1037</v>
      </c>
      <c r="I8">
        <v>686</v>
      </c>
      <c r="J8">
        <v>731</v>
      </c>
      <c r="K8">
        <v>215</v>
      </c>
      <c r="L8">
        <v>4070</v>
      </c>
    </row>
    <row r="9" spans="1:12" x14ac:dyDescent="0.25">
      <c r="A9" t="s">
        <v>0</v>
      </c>
      <c r="B9" t="s">
        <v>51</v>
      </c>
      <c r="C9">
        <v>2008</v>
      </c>
      <c r="D9">
        <v>167</v>
      </c>
      <c r="E9">
        <v>190</v>
      </c>
      <c r="F9">
        <v>460</v>
      </c>
      <c r="G9">
        <v>573</v>
      </c>
      <c r="H9">
        <v>990</v>
      </c>
      <c r="I9">
        <v>656</v>
      </c>
      <c r="J9">
        <v>749</v>
      </c>
      <c r="K9">
        <v>236</v>
      </c>
      <c r="L9">
        <v>4021</v>
      </c>
    </row>
    <row r="10" spans="1:12" x14ac:dyDescent="0.25">
      <c r="A10" t="s">
        <v>0</v>
      </c>
      <c r="B10" t="s">
        <v>51</v>
      </c>
      <c r="C10">
        <v>2009</v>
      </c>
      <c r="D10">
        <v>126</v>
      </c>
      <c r="E10">
        <v>151</v>
      </c>
      <c r="F10">
        <v>429</v>
      </c>
      <c r="G10">
        <v>491</v>
      </c>
      <c r="H10">
        <v>936</v>
      </c>
      <c r="I10">
        <v>609</v>
      </c>
      <c r="J10">
        <v>687</v>
      </c>
      <c r="K10">
        <v>290</v>
      </c>
      <c r="L10">
        <v>3719</v>
      </c>
    </row>
    <row r="11" spans="1:12" x14ac:dyDescent="0.25">
      <c r="A11" t="s">
        <v>0</v>
      </c>
      <c r="B11" t="s">
        <v>51</v>
      </c>
      <c r="C11">
        <v>2010</v>
      </c>
      <c r="D11">
        <v>154</v>
      </c>
      <c r="E11">
        <v>187</v>
      </c>
      <c r="F11">
        <v>484</v>
      </c>
      <c r="G11">
        <v>477</v>
      </c>
      <c r="H11">
        <v>900</v>
      </c>
      <c r="I11">
        <v>581</v>
      </c>
      <c r="J11">
        <v>646</v>
      </c>
      <c r="K11">
        <v>237</v>
      </c>
      <c r="L11">
        <v>3666</v>
      </c>
    </row>
    <row r="12" spans="1:12" x14ac:dyDescent="0.25">
      <c r="A12" t="s">
        <v>0</v>
      </c>
      <c r="B12" t="s">
        <v>51</v>
      </c>
      <c r="C12">
        <v>2011</v>
      </c>
      <c r="D12">
        <v>198</v>
      </c>
      <c r="E12">
        <v>198</v>
      </c>
      <c r="F12">
        <v>523</v>
      </c>
      <c r="G12">
        <v>490</v>
      </c>
      <c r="H12">
        <v>861</v>
      </c>
      <c r="I12">
        <v>583</v>
      </c>
      <c r="J12">
        <v>591</v>
      </c>
      <c r="K12">
        <v>341</v>
      </c>
      <c r="L12">
        <v>3785</v>
      </c>
    </row>
    <row r="13" spans="1:12" x14ac:dyDescent="0.25">
      <c r="A13" t="s">
        <v>0</v>
      </c>
      <c r="B13" t="s">
        <v>51</v>
      </c>
      <c r="C13">
        <v>2012</v>
      </c>
      <c r="D13">
        <v>205</v>
      </c>
      <c r="E13">
        <v>204</v>
      </c>
      <c r="F13">
        <v>551</v>
      </c>
      <c r="G13">
        <v>490</v>
      </c>
      <c r="H13">
        <v>807</v>
      </c>
      <c r="I13">
        <v>551</v>
      </c>
      <c r="J13">
        <v>591</v>
      </c>
      <c r="K13">
        <v>333</v>
      </c>
      <c r="L13">
        <v>3732</v>
      </c>
    </row>
    <row r="14" spans="1:12" x14ac:dyDescent="0.25">
      <c r="A14" t="s">
        <v>0</v>
      </c>
      <c r="B14" t="s">
        <v>51</v>
      </c>
      <c r="C14">
        <v>2013</v>
      </c>
      <c r="D14">
        <v>168</v>
      </c>
      <c r="E14">
        <v>248</v>
      </c>
      <c r="F14">
        <v>560</v>
      </c>
      <c r="G14">
        <v>547</v>
      </c>
      <c r="H14">
        <v>754</v>
      </c>
      <c r="I14">
        <v>508</v>
      </c>
      <c r="J14">
        <v>540</v>
      </c>
      <c r="K14">
        <v>379</v>
      </c>
      <c r="L14">
        <v>3704</v>
      </c>
    </row>
    <row r="15" spans="1:12" x14ac:dyDescent="0.25">
      <c r="A15" t="s">
        <v>0</v>
      </c>
      <c r="B15" t="s">
        <v>51</v>
      </c>
      <c r="C15">
        <v>2014</v>
      </c>
      <c r="D15">
        <v>169</v>
      </c>
      <c r="E15">
        <v>279</v>
      </c>
      <c r="F15">
        <v>561</v>
      </c>
      <c r="G15">
        <v>574</v>
      </c>
      <c r="H15">
        <v>748</v>
      </c>
      <c r="I15">
        <v>517</v>
      </c>
      <c r="J15">
        <v>525</v>
      </c>
      <c r="K15">
        <v>360</v>
      </c>
      <c r="L15">
        <v>3733</v>
      </c>
    </row>
    <row r="16" spans="1:12" x14ac:dyDescent="0.25">
      <c r="A16" t="s">
        <v>0</v>
      </c>
      <c r="B16" t="s">
        <v>51</v>
      </c>
      <c r="C16">
        <v>2015</v>
      </c>
      <c r="D16">
        <v>165</v>
      </c>
      <c r="E16">
        <v>291</v>
      </c>
      <c r="F16">
        <v>581</v>
      </c>
      <c r="G16">
        <v>600</v>
      </c>
      <c r="H16">
        <v>722</v>
      </c>
      <c r="I16">
        <v>500</v>
      </c>
      <c r="J16">
        <v>498</v>
      </c>
      <c r="K16">
        <v>347</v>
      </c>
      <c r="L16">
        <v>3704</v>
      </c>
    </row>
    <row r="17" spans="1:12" x14ac:dyDescent="0.25">
      <c r="A17" t="s">
        <v>0</v>
      </c>
      <c r="B17" t="s">
        <v>51</v>
      </c>
      <c r="C17">
        <v>2016</v>
      </c>
      <c r="D17">
        <v>209</v>
      </c>
      <c r="E17">
        <v>289</v>
      </c>
      <c r="F17">
        <v>624</v>
      </c>
      <c r="G17">
        <v>625</v>
      </c>
      <c r="H17">
        <v>700</v>
      </c>
      <c r="I17">
        <v>479</v>
      </c>
      <c r="J17">
        <v>507</v>
      </c>
      <c r="K17">
        <v>343</v>
      </c>
      <c r="L17">
        <v>3776</v>
      </c>
    </row>
    <row r="18" spans="1:12" x14ac:dyDescent="0.25">
      <c r="A18" t="s">
        <v>0</v>
      </c>
      <c r="B18" t="s">
        <v>51</v>
      </c>
      <c r="C18">
        <v>2017</v>
      </c>
      <c r="D18">
        <v>262</v>
      </c>
      <c r="E18">
        <v>293</v>
      </c>
      <c r="F18">
        <v>671</v>
      </c>
      <c r="G18">
        <v>629</v>
      </c>
      <c r="H18">
        <v>658</v>
      </c>
      <c r="I18">
        <v>457</v>
      </c>
      <c r="J18">
        <v>497</v>
      </c>
      <c r="K18">
        <v>344</v>
      </c>
      <c r="L18">
        <v>3811</v>
      </c>
    </row>
    <row r="19" spans="1:12" x14ac:dyDescent="0.25">
      <c r="A19" t="s">
        <v>0</v>
      </c>
      <c r="B19" t="s">
        <v>51</v>
      </c>
      <c r="C19">
        <v>2018</v>
      </c>
      <c r="D19">
        <v>303</v>
      </c>
      <c r="E19">
        <v>286</v>
      </c>
      <c r="F19">
        <v>728</v>
      </c>
      <c r="G19">
        <v>659</v>
      </c>
      <c r="H19">
        <v>650</v>
      </c>
      <c r="I19">
        <v>439</v>
      </c>
      <c r="J19">
        <v>471</v>
      </c>
      <c r="K19">
        <v>348</v>
      </c>
      <c r="L19">
        <v>3884</v>
      </c>
    </row>
    <row r="20" spans="1:12" x14ac:dyDescent="0.25">
      <c r="A20" t="s">
        <v>0</v>
      </c>
      <c r="B20" t="s">
        <v>51</v>
      </c>
      <c r="C20">
        <v>2019</v>
      </c>
      <c r="D20">
        <v>489</v>
      </c>
      <c r="E20">
        <v>322</v>
      </c>
      <c r="F20">
        <v>729</v>
      </c>
      <c r="G20">
        <v>669</v>
      </c>
      <c r="H20">
        <v>631</v>
      </c>
      <c r="I20">
        <v>448</v>
      </c>
      <c r="J20">
        <v>454</v>
      </c>
      <c r="K20">
        <v>373</v>
      </c>
      <c r="L20">
        <v>4115</v>
      </c>
    </row>
    <row r="21" spans="1:12" x14ac:dyDescent="0.25">
      <c r="A21" t="s">
        <v>0</v>
      </c>
      <c r="B21" t="s">
        <v>51</v>
      </c>
      <c r="C21">
        <v>2020</v>
      </c>
      <c r="D21">
        <v>419</v>
      </c>
      <c r="E21">
        <v>303</v>
      </c>
      <c r="F21">
        <v>738</v>
      </c>
      <c r="G21">
        <v>671</v>
      </c>
      <c r="H21">
        <v>593</v>
      </c>
      <c r="I21">
        <v>430</v>
      </c>
      <c r="J21">
        <v>425</v>
      </c>
      <c r="K21">
        <v>334</v>
      </c>
      <c r="L21">
        <v>3913</v>
      </c>
    </row>
    <row r="22" spans="1:12" x14ac:dyDescent="0.25">
      <c r="A22" t="s">
        <v>0</v>
      </c>
      <c r="B22" t="s">
        <v>51</v>
      </c>
      <c r="C22">
        <v>2021</v>
      </c>
      <c r="D22">
        <v>498</v>
      </c>
      <c r="E22">
        <v>264</v>
      </c>
      <c r="F22">
        <v>742</v>
      </c>
      <c r="G22">
        <v>749</v>
      </c>
      <c r="H22">
        <v>587</v>
      </c>
      <c r="I22">
        <v>396</v>
      </c>
      <c r="J22">
        <v>403</v>
      </c>
      <c r="K22">
        <v>324</v>
      </c>
      <c r="L22">
        <v>3963</v>
      </c>
    </row>
    <row r="23" spans="1:12" x14ac:dyDescent="0.25">
      <c r="A23" t="s">
        <v>0</v>
      </c>
      <c r="B23" t="s">
        <v>51</v>
      </c>
      <c r="C23">
        <v>2022</v>
      </c>
      <c r="D23">
        <v>614</v>
      </c>
      <c r="E23">
        <v>269</v>
      </c>
      <c r="F23">
        <v>797</v>
      </c>
      <c r="G23">
        <v>760</v>
      </c>
      <c r="H23">
        <v>591</v>
      </c>
      <c r="I23">
        <v>376</v>
      </c>
      <c r="J23">
        <v>392</v>
      </c>
      <c r="K23">
        <v>331</v>
      </c>
      <c r="L23">
        <v>4130</v>
      </c>
    </row>
    <row r="24" spans="1:12" x14ac:dyDescent="0.25">
      <c r="A24" t="s">
        <v>0</v>
      </c>
      <c r="B24" t="s">
        <v>51</v>
      </c>
      <c r="C24">
        <v>2023</v>
      </c>
      <c r="D24">
        <v>560</v>
      </c>
      <c r="E24">
        <v>250</v>
      </c>
      <c r="F24">
        <v>802</v>
      </c>
      <c r="G24">
        <v>757</v>
      </c>
      <c r="H24">
        <v>641</v>
      </c>
      <c r="I24">
        <v>333</v>
      </c>
      <c r="J24">
        <v>403</v>
      </c>
      <c r="K24">
        <v>322</v>
      </c>
      <c r="L24">
        <v>4068</v>
      </c>
    </row>
    <row r="25" spans="1:12" x14ac:dyDescent="0.25">
      <c r="A25" t="s">
        <v>0</v>
      </c>
      <c r="B25" t="s">
        <v>51</v>
      </c>
      <c r="C25">
        <v>2024</v>
      </c>
      <c r="D25">
        <v>559</v>
      </c>
      <c r="E25">
        <v>220</v>
      </c>
      <c r="F25">
        <v>761</v>
      </c>
      <c r="G25">
        <v>689</v>
      </c>
      <c r="H25">
        <v>644</v>
      </c>
      <c r="I25">
        <v>304</v>
      </c>
      <c r="J25">
        <v>401</v>
      </c>
      <c r="K25">
        <v>335</v>
      </c>
      <c r="L25">
        <v>3913</v>
      </c>
    </row>
    <row r="26" spans="1:12" x14ac:dyDescent="0.25">
      <c r="A26" t="s">
        <v>0</v>
      </c>
      <c r="B26" t="s">
        <v>52</v>
      </c>
      <c r="C26">
        <v>2001</v>
      </c>
      <c r="D26">
        <v>213</v>
      </c>
      <c r="E26">
        <v>1773</v>
      </c>
      <c r="F26">
        <v>4545</v>
      </c>
      <c r="G26">
        <v>4293</v>
      </c>
      <c r="H26">
        <v>3396</v>
      </c>
      <c r="I26">
        <v>1622</v>
      </c>
      <c r="J26">
        <v>634</v>
      </c>
      <c r="K26">
        <v>148</v>
      </c>
      <c r="L26">
        <v>16624</v>
      </c>
    </row>
    <row r="27" spans="1:12" x14ac:dyDescent="0.25">
      <c r="A27" t="s">
        <v>0</v>
      </c>
      <c r="B27" t="s">
        <v>52</v>
      </c>
      <c r="C27">
        <v>2002</v>
      </c>
      <c r="D27">
        <v>288</v>
      </c>
      <c r="E27">
        <v>1765</v>
      </c>
      <c r="F27">
        <v>4366</v>
      </c>
      <c r="G27">
        <v>4514</v>
      </c>
      <c r="H27">
        <v>3462</v>
      </c>
      <c r="I27">
        <v>1684</v>
      </c>
      <c r="J27">
        <v>798</v>
      </c>
      <c r="K27">
        <v>179</v>
      </c>
      <c r="L27">
        <v>17056</v>
      </c>
    </row>
    <row r="28" spans="1:12" x14ac:dyDescent="0.25">
      <c r="A28" t="s">
        <v>0</v>
      </c>
      <c r="B28" t="s">
        <v>52</v>
      </c>
      <c r="C28">
        <v>2003</v>
      </c>
      <c r="D28">
        <v>237</v>
      </c>
      <c r="E28">
        <v>1690</v>
      </c>
      <c r="F28">
        <v>4072</v>
      </c>
      <c r="G28">
        <v>4578</v>
      </c>
      <c r="H28">
        <v>3537</v>
      </c>
      <c r="I28">
        <v>1697</v>
      </c>
      <c r="J28">
        <v>856</v>
      </c>
      <c r="K28">
        <v>129</v>
      </c>
      <c r="L28">
        <v>16796</v>
      </c>
    </row>
    <row r="29" spans="1:12" x14ac:dyDescent="0.25">
      <c r="A29" t="s">
        <v>0</v>
      </c>
      <c r="B29" t="s">
        <v>52</v>
      </c>
      <c r="C29">
        <v>2004</v>
      </c>
      <c r="D29">
        <v>235</v>
      </c>
      <c r="E29">
        <v>1612</v>
      </c>
      <c r="F29">
        <v>3761</v>
      </c>
      <c r="G29">
        <v>4571</v>
      </c>
      <c r="H29">
        <v>3511</v>
      </c>
      <c r="I29">
        <v>1714</v>
      </c>
      <c r="J29">
        <v>1043</v>
      </c>
      <c r="K29">
        <v>188</v>
      </c>
      <c r="L29">
        <v>16635</v>
      </c>
    </row>
    <row r="30" spans="1:12" x14ac:dyDescent="0.25">
      <c r="A30" t="s">
        <v>0</v>
      </c>
      <c r="B30" t="s">
        <v>52</v>
      </c>
      <c r="C30">
        <v>2005</v>
      </c>
      <c r="D30">
        <v>258</v>
      </c>
      <c r="E30">
        <v>1504</v>
      </c>
      <c r="F30">
        <v>3614</v>
      </c>
      <c r="G30">
        <v>4556</v>
      </c>
      <c r="H30">
        <v>3583</v>
      </c>
      <c r="I30">
        <v>1685</v>
      </c>
      <c r="J30">
        <v>1152</v>
      </c>
      <c r="K30">
        <v>197</v>
      </c>
      <c r="L30">
        <v>16549</v>
      </c>
    </row>
    <row r="31" spans="1:12" x14ac:dyDescent="0.25">
      <c r="A31" t="s">
        <v>0</v>
      </c>
      <c r="B31" t="s">
        <v>52</v>
      </c>
      <c r="C31">
        <v>2006</v>
      </c>
      <c r="D31">
        <v>273</v>
      </c>
      <c r="E31">
        <v>1626</v>
      </c>
      <c r="F31">
        <v>3482</v>
      </c>
      <c r="G31">
        <v>4602</v>
      </c>
      <c r="H31">
        <v>3611</v>
      </c>
      <c r="I31">
        <v>1614</v>
      </c>
      <c r="J31">
        <v>1283</v>
      </c>
      <c r="K31">
        <v>216</v>
      </c>
      <c r="L31">
        <v>16707</v>
      </c>
    </row>
    <row r="32" spans="1:12" x14ac:dyDescent="0.25">
      <c r="A32" t="s">
        <v>0</v>
      </c>
      <c r="B32" t="s">
        <v>52</v>
      </c>
      <c r="C32">
        <v>2007</v>
      </c>
      <c r="D32">
        <v>341</v>
      </c>
      <c r="E32">
        <v>1753</v>
      </c>
      <c r="F32">
        <v>3430</v>
      </c>
      <c r="G32">
        <v>4643</v>
      </c>
      <c r="H32">
        <v>3730</v>
      </c>
      <c r="I32">
        <v>1581</v>
      </c>
      <c r="J32">
        <v>1372</v>
      </c>
      <c r="K32">
        <v>316</v>
      </c>
      <c r="L32">
        <v>17166</v>
      </c>
    </row>
    <row r="33" spans="1:12" x14ac:dyDescent="0.25">
      <c r="A33" t="s">
        <v>0</v>
      </c>
      <c r="B33" t="s">
        <v>52</v>
      </c>
      <c r="C33">
        <v>2008</v>
      </c>
      <c r="D33">
        <v>329</v>
      </c>
      <c r="E33">
        <v>1850</v>
      </c>
      <c r="F33">
        <v>3343</v>
      </c>
      <c r="G33">
        <v>4626</v>
      </c>
      <c r="H33">
        <v>3870</v>
      </c>
      <c r="I33">
        <v>1525</v>
      </c>
      <c r="J33">
        <v>1367</v>
      </c>
      <c r="K33">
        <v>397</v>
      </c>
      <c r="L33">
        <v>17307</v>
      </c>
    </row>
    <row r="34" spans="1:12" x14ac:dyDescent="0.25">
      <c r="A34" t="s">
        <v>0</v>
      </c>
      <c r="B34" t="s">
        <v>52</v>
      </c>
      <c r="C34">
        <v>2009</v>
      </c>
      <c r="D34">
        <v>268</v>
      </c>
      <c r="E34">
        <v>1672</v>
      </c>
      <c r="F34">
        <v>3139</v>
      </c>
      <c r="G34">
        <v>4452</v>
      </c>
      <c r="H34">
        <v>4013</v>
      </c>
      <c r="I34">
        <v>1486</v>
      </c>
      <c r="J34">
        <v>1362</v>
      </c>
      <c r="K34">
        <v>444</v>
      </c>
      <c r="L34">
        <v>16836</v>
      </c>
    </row>
    <row r="35" spans="1:12" x14ac:dyDescent="0.25">
      <c r="A35" t="s">
        <v>0</v>
      </c>
      <c r="B35" t="s">
        <v>52</v>
      </c>
      <c r="C35">
        <v>2010</v>
      </c>
      <c r="D35">
        <v>344</v>
      </c>
      <c r="E35">
        <v>1857</v>
      </c>
      <c r="F35">
        <v>3210</v>
      </c>
      <c r="G35">
        <v>4365</v>
      </c>
      <c r="H35">
        <v>4113</v>
      </c>
      <c r="I35">
        <v>1537</v>
      </c>
      <c r="J35">
        <v>1356</v>
      </c>
      <c r="K35">
        <v>426</v>
      </c>
      <c r="L35">
        <v>17208</v>
      </c>
    </row>
    <row r="36" spans="1:12" x14ac:dyDescent="0.25">
      <c r="A36" t="s">
        <v>0</v>
      </c>
      <c r="B36" t="s">
        <v>52</v>
      </c>
      <c r="C36">
        <v>2011</v>
      </c>
      <c r="D36">
        <v>356</v>
      </c>
      <c r="E36">
        <v>2148</v>
      </c>
      <c r="F36">
        <v>3245</v>
      </c>
      <c r="G36">
        <v>4342</v>
      </c>
      <c r="H36">
        <v>4231</v>
      </c>
      <c r="I36">
        <v>1593</v>
      </c>
      <c r="J36">
        <v>1304</v>
      </c>
      <c r="K36">
        <v>617</v>
      </c>
      <c r="L36">
        <v>17836</v>
      </c>
    </row>
    <row r="37" spans="1:12" x14ac:dyDescent="0.25">
      <c r="A37" t="s">
        <v>0</v>
      </c>
      <c r="B37" t="s">
        <v>52</v>
      </c>
      <c r="C37">
        <v>2012</v>
      </c>
      <c r="D37">
        <v>348</v>
      </c>
      <c r="E37">
        <v>2190</v>
      </c>
      <c r="F37">
        <v>3239</v>
      </c>
      <c r="G37">
        <v>4182</v>
      </c>
      <c r="H37">
        <v>4338</v>
      </c>
      <c r="I37">
        <v>1683</v>
      </c>
      <c r="J37">
        <v>1296</v>
      </c>
      <c r="K37">
        <v>639</v>
      </c>
      <c r="L37">
        <v>17915</v>
      </c>
    </row>
    <row r="38" spans="1:12" x14ac:dyDescent="0.25">
      <c r="A38" t="s">
        <v>0</v>
      </c>
      <c r="B38" t="s">
        <v>52</v>
      </c>
      <c r="C38">
        <v>2013</v>
      </c>
      <c r="D38">
        <v>353</v>
      </c>
      <c r="E38">
        <v>2188</v>
      </c>
      <c r="F38">
        <v>3374</v>
      </c>
      <c r="G38">
        <v>4052</v>
      </c>
      <c r="H38">
        <v>4396</v>
      </c>
      <c r="I38">
        <v>1787</v>
      </c>
      <c r="J38">
        <v>1274</v>
      </c>
      <c r="K38">
        <v>673</v>
      </c>
      <c r="L38">
        <v>18097</v>
      </c>
    </row>
    <row r="39" spans="1:12" x14ac:dyDescent="0.25">
      <c r="A39" t="s">
        <v>0</v>
      </c>
      <c r="B39" t="s">
        <v>52</v>
      </c>
      <c r="C39">
        <v>2014</v>
      </c>
      <c r="D39">
        <v>318</v>
      </c>
      <c r="E39">
        <v>2366</v>
      </c>
      <c r="F39">
        <v>3553</v>
      </c>
      <c r="G39">
        <v>3955</v>
      </c>
      <c r="H39">
        <v>4536</v>
      </c>
      <c r="I39">
        <v>1865</v>
      </c>
      <c r="J39">
        <v>1259</v>
      </c>
      <c r="K39">
        <v>675</v>
      </c>
      <c r="L39">
        <v>18527</v>
      </c>
    </row>
    <row r="40" spans="1:12" x14ac:dyDescent="0.25">
      <c r="A40" t="s">
        <v>0</v>
      </c>
      <c r="B40" t="s">
        <v>52</v>
      </c>
      <c r="C40">
        <v>2015</v>
      </c>
      <c r="D40">
        <v>319</v>
      </c>
      <c r="E40">
        <v>2384</v>
      </c>
      <c r="F40">
        <v>3718</v>
      </c>
      <c r="G40">
        <v>3881</v>
      </c>
      <c r="H40">
        <v>4612</v>
      </c>
      <c r="I40">
        <v>1864</v>
      </c>
      <c r="J40">
        <v>1340</v>
      </c>
      <c r="K40">
        <v>684</v>
      </c>
      <c r="L40">
        <v>18802</v>
      </c>
    </row>
    <row r="41" spans="1:12" x14ac:dyDescent="0.25">
      <c r="A41" t="s">
        <v>0</v>
      </c>
      <c r="B41" t="s">
        <v>52</v>
      </c>
      <c r="C41">
        <v>2016</v>
      </c>
      <c r="D41">
        <v>386</v>
      </c>
      <c r="E41">
        <v>2339</v>
      </c>
      <c r="F41">
        <v>3963</v>
      </c>
      <c r="G41">
        <v>3770</v>
      </c>
      <c r="H41">
        <v>4643</v>
      </c>
      <c r="I41">
        <v>1876</v>
      </c>
      <c r="J41">
        <v>1438</v>
      </c>
      <c r="K41">
        <v>677</v>
      </c>
      <c r="L41">
        <v>19092</v>
      </c>
    </row>
    <row r="42" spans="1:12" x14ac:dyDescent="0.25">
      <c r="A42" t="s">
        <v>0</v>
      </c>
      <c r="B42" t="s">
        <v>52</v>
      </c>
      <c r="C42">
        <v>2017</v>
      </c>
      <c r="D42">
        <v>389</v>
      </c>
      <c r="E42">
        <v>2361</v>
      </c>
      <c r="F42">
        <v>4127</v>
      </c>
      <c r="G42">
        <v>3647</v>
      </c>
      <c r="H42">
        <v>4722</v>
      </c>
      <c r="I42">
        <v>1865</v>
      </c>
      <c r="J42">
        <v>1466</v>
      </c>
      <c r="K42">
        <v>739</v>
      </c>
      <c r="L42">
        <v>19316</v>
      </c>
    </row>
    <row r="43" spans="1:12" x14ac:dyDescent="0.25">
      <c r="A43" t="s">
        <v>0</v>
      </c>
      <c r="B43" t="s">
        <v>52</v>
      </c>
      <c r="C43">
        <v>2018</v>
      </c>
      <c r="D43">
        <v>396</v>
      </c>
      <c r="E43">
        <v>2307</v>
      </c>
      <c r="F43">
        <v>4290</v>
      </c>
      <c r="G43">
        <v>3653</v>
      </c>
      <c r="H43">
        <v>4701</v>
      </c>
      <c r="I43">
        <v>1898</v>
      </c>
      <c r="J43">
        <v>1565</v>
      </c>
      <c r="K43">
        <v>763</v>
      </c>
      <c r="L43">
        <v>19573</v>
      </c>
    </row>
    <row r="44" spans="1:12" x14ac:dyDescent="0.25">
      <c r="A44" t="s">
        <v>0</v>
      </c>
      <c r="B44" t="s">
        <v>52</v>
      </c>
      <c r="C44">
        <v>2019</v>
      </c>
      <c r="D44">
        <v>449</v>
      </c>
      <c r="E44">
        <v>2215</v>
      </c>
      <c r="F44">
        <v>4534</v>
      </c>
      <c r="G44">
        <v>3611</v>
      </c>
      <c r="H44">
        <v>4709</v>
      </c>
      <c r="I44">
        <v>2014</v>
      </c>
      <c r="J44">
        <v>1591</v>
      </c>
      <c r="K44">
        <v>782</v>
      </c>
      <c r="L44">
        <v>19905</v>
      </c>
    </row>
    <row r="45" spans="1:12" x14ac:dyDescent="0.25">
      <c r="A45" t="s">
        <v>0</v>
      </c>
      <c r="B45" t="s">
        <v>52</v>
      </c>
      <c r="C45">
        <v>2020</v>
      </c>
      <c r="D45">
        <v>389</v>
      </c>
      <c r="E45">
        <v>2241</v>
      </c>
      <c r="F45">
        <v>4517</v>
      </c>
      <c r="G45">
        <v>3525</v>
      </c>
      <c r="H45">
        <v>4506</v>
      </c>
      <c r="I45">
        <v>2114</v>
      </c>
      <c r="J45">
        <v>1551</v>
      </c>
      <c r="K45">
        <v>776</v>
      </c>
      <c r="L45">
        <v>19619</v>
      </c>
    </row>
    <row r="46" spans="1:12" x14ac:dyDescent="0.25">
      <c r="A46" t="s">
        <v>0</v>
      </c>
      <c r="B46" t="s">
        <v>52</v>
      </c>
      <c r="C46">
        <v>2021</v>
      </c>
      <c r="D46">
        <v>455</v>
      </c>
      <c r="E46">
        <v>2395</v>
      </c>
      <c r="F46">
        <v>4613</v>
      </c>
      <c r="G46">
        <v>3514</v>
      </c>
      <c r="H46">
        <v>4475</v>
      </c>
      <c r="I46">
        <v>2211</v>
      </c>
      <c r="J46">
        <v>1583</v>
      </c>
      <c r="K46">
        <v>816</v>
      </c>
      <c r="L46">
        <v>20062</v>
      </c>
    </row>
    <row r="47" spans="1:12" x14ac:dyDescent="0.25">
      <c r="A47" t="s">
        <v>0</v>
      </c>
      <c r="B47" t="s">
        <v>52</v>
      </c>
      <c r="C47">
        <v>2022</v>
      </c>
      <c r="D47">
        <v>491</v>
      </c>
      <c r="E47">
        <v>2473</v>
      </c>
      <c r="F47">
        <v>4538</v>
      </c>
      <c r="G47">
        <v>3609</v>
      </c>
      <c r="H47">
        <v>4378</v>
      </c>
      <c r="I47">
        <v>2382</v>
      </c>
      <c r="J47">
        <v>1578</v>
      </c>
      <c r="K47">
        <v>859</v>
      </c>
      <c r="L47">
        <v>20308</v>
      </c>
    </row>
    <row r="48" spans="1:12" x14ac:dyDescent="0.25">
      <c r="A48" t="s">
        <v>0</v>
      </c>
      <c r="B48" t="s">
        <v>52</v>
      </c>
      <c r="C48">
        <v>2023</v>
      </c>
      <c r="D48">
        <v>484</v>
      </c>
      <c r="E48">
        <v>2475</v>
      </c>
      <c r="F48">
        <v>4498</v>
      </c>
      <c r="G48">
        <v>3700</v>
      </c>
      <c r="H48">
        <v>4159</v>
      </c>
      <c r="I48">
        <v>2446</v>
      </c>
      <c r="J48">
        <v>1673</v>
      </c>
      <c r="K48">
        <v>900</v>
      </c>
      <c r="L48">
        <v>20335</v>
      </c>
    </row>
    <row r="49" spans="1:12" x14ac:dyDescent="0.25">
      <c r="A49" t="s">
        <v>0</v>
      </c>
      <c r="B49" t="s">
        <v>52</v>
      </c>
      <c r="C49">
        <v>2024</v>
      </c>
      <c r="D49">
        <v>419</v>
      </c>
      <c r="E49">
        <v>2319</v>
      </c>
      <c r="F49">
        <v>4445</v>
      </c>
      <c r="G49">
        <v>3672</v>
      </c>
      <c r="H49">
        <v>3998</v>
      </c>
      <c r="I49">
        <v>2417</v>
      </c>
      <c r="J49">
        <v>1800</v>
      </c>
      <c r="K49">
        <v>972</v>
      </c>
      <c r="L49">
        <v>20042</v>
      </c>
    </row>
    <row r="50" spans="1:12" x14ac:dyDescent="0.25">
      <c r="A50" t="s">
        <v>0</v>
      </c>
      <c r="B50" t="s">
        <v>53</v>
      </c>
      <c r="C50">
        <v>2001</v>
      </c>
      <c r="D50">
        <v>0</v>
      </c>
      <c r="E50">
        <v>363</v>
      </c>
      <c r="F50">
        <v>1732</v>
      </c>
      <c r="G50">
        <v>1581</v>
      </c>
      <c r="H50">
        <v>1186</v>
      </c>
      <c r="I50">
        <v>435</v>
      </c>
      <c r="J50">
        <v>192</v>
      </c>
      <c r="K50">
        <v>34</v>
      </c>
      <c r="L50">
        <v>5523</v>
      </c>
    </row>
    <row r="51" spans="1:12" x14ac:dyDescent="0.25">
      <c r="A51" t="s">
        <v>0</v>
      </c>
      <c r="B51" t="s">
        <v>53</v>
      </c>
      <c r="C51">
        <v>2002</v>
      </c>
      <c r="D51">
        <v>0</v>
      </c>
      <c r="E51">
        <v>379</v>
      </c>
      <c r="F51">
        <v>1618</v>
      </c>
      <c r="G51">
        <v>1693</v>
      </c>
      <c r="H51">
        <v>1230</v>
      </c>
      <c r="I51">
        <v>449</v>
      </c>
      <c r="J51">
        <v>215</v>
      </c>
      <c r="K51">
        <v>51</v>
      </c>
      <c r="L51">
        <v>5635</v>
      </c>
    </row>
    <row r="52" spans="1:12" x14ac:dyDescent="0.25">
      <c r="A52" t="s">
        <v>0</v>
      </c>
      <c r="B52" t="s">
        <v>53</v>
      </c>
      <c r="C52">
        <v>2003</v>
      </c>
      <c r="D52">
        <v>0</v>
      </c>
      <c r="E52">
        <v>337</v>
      </c>
      <c r="F52">
        <v>1425</v>
      </c>
      <c r="G52">
        <v>1742</v>
      </c>
      <c r="H52">
        <v>1251</v>
      </c>
      <c r="I52">
        <v>440</v>
      </c>
      <c r="J52">
        <v>260</v>
      </c>
      <c r="K52">
        <v>46</v>
      </c>
      <c r="L52">
        <v>5501</v>
      </c>
    </row>
    <row r="53" spans="1:12" x14ac:dyDescent="0.25">
      <c r="A53" t="s">
        <v>0</v>
      </c>
      <c r="B53" t="s">
        <v>53</v>
      </c>
      <c r="C53">
        <v>2004</v>
      </c>
      <c r="D53">
        <v>0</v>
      </c>
      <c r="E53">
        <v>335</v>
      </c>
      <c r="F53">
        <v>1386</v>
      </c>
      <c r="G53">
        <v>1764</v>
      </c>
      <c r="H53">
        <v>1270</v>
      </c>
      <c r="I53">
        <v>469</v>
      </c>
      <c r="J53">
        <v>282</v>
      </c>
      <c r="K53">
        <v>61</v>
      </c>
      <c r="L53">
        <v>5567</v>
      </c>
    </row>
    <row r="54" spans="1:12" x14ac:dyDescent="0.25">
      <c r="A54" t="s">
        <v>0</v>
      </c>
      <c r="B54" t="s">
        <v>53</v>
      </c>
      <c r="C54">
        <v>2005</v>
      </c>
      <c r="D54">
        <v>1</v>
      </c>
      <c r="E54">
        <v>326</v>
      </c>
      <c r="F54">
        <v>1271</v>
      </c>
      <c r="G54">
        <v>1764</v>
      </c>
      <c r="H54">
        <v>1239</v>
      </c>
      <c r="I54">
        <v>489</v>
      </c>
      <c r="J54">
        <v>310</v>
      </c>
      <c r="K54">
        <v>67</v>
      </c>
      <c r="L54">
        <v>5467</v>
      </c>
    </row>
    <row r="55" spans="1:12" x14ac:dyDescent="0.25">
      <c r="A55" t="s">
        <v>0</v>
      </c>
      <c r="B55" t="s">
        <v>53</v>
      </c>
      <c r="C55">
        <v>2006</v>
      </c>
      <c r="D55">
        <v>0</v>
      </c>
      <c r="E55">
        <v>398</v>
      </c>
      <c r="F55">
        <v>1248</v>
      </c>
      <c r="G55">
        <v>1788</v>
      </c>
      <c r="H55">
        <v>1277</v>
      </c>
      <c r="I55">
        <v>548</v>
      </c>
      <c r="J55">
        <v>330</v>
      </c>
      <c r="K55">
        <v>66</v>
      </c>
      <c r="L55">
        <v>5655</v>
      </c>
    </row>
    <row r="56" spans="1:12" x14ac:dyDescent="0.25">
      <c r="A56" t="s">
        <v>0</v>
      </c>
      <c r="B56" t="s">
        <v>53</v>
      </c>
      <c r="C56">
        <v>2007</v>
      </c>
      <c r="D56">
        <v>0</v>
      </c>
      <c r="E56">
        <v>462</v>
      </c>
      <c r="F56">
        <v>1178</v>
      </c>
      <c r="G56">
        <v>1857</v>
      </c>
      <c r="H56">
        <v>1242</v>
      </c>
      <c r="I56">
        <v>579</v>
      </c>
      <c r="J56">
        <v>375</v>
      </c>
      <c r="K56">
        <v>76</v>
      </c>
      <c r="L56">
        <v>5769</v>
      </c>
    </row>
    <row r="57" spans="1:12" x14ac:dyDescent="0.25">
      <c r="A57" t="s">
        <v>0</v>
      </c>
      <c r="B57" t="s">
        <v>53</v>
      </c>
      <c r="C57">
        <v>2008</v>
      </c>
      <c r="D57">
        <v>1</v>
      </c>
      <c r="E57">
        <v>492</v>
      </c>
      <c r="F57">
        <v>1132</v>
      </c>
      <c r="G57">
        <v>1861</v>
      </c>
      <c r="H57">
        <v>1329</v>
      </c>
      <c r="I57">
        <v>598</v>
      </c>
      <c r="J57">
        <v>371</v>
      </c>
      <c r="K57">
        <v>102</v>
      </c>
      <c r="L57">
        <v>5886</v>
      </c>
    </row>
    <row r="58" spans="1:12" x14ac:dyDescent="0.25">
      <c r="A58" t="s">
        <v>0</v>
      </c>
      <c r="B58" t="s">
        <v>53</v>
      </c>
      <c r="C58">
        <v>2009</v>
      </c>
      <c r="D58">
        <v>1</v>
      </c>
      <c r="E58">
        <v>382</v>
      </c>
      <c r="F58">
        <v>1050</v>
      </c>
      <c r="G58">
        <v>1838</v>
      </c>
      <c r="H58">
        <v>1365</v>
      </c>
      <c r="I58">
        <v>594</v>
      </c>
      <c r="J58">
        <v>394</v>
      </c>
      <c r="K58">
        <v>117</v>
      </c>
      <c r="L58">
        <v>5741</v>
      </c>
    </row>
    <row r="59" spans="1:12" x14ac:dyDescent="0.25">
      <c r="A59" t="s">
        <v>0</v>
      </c>
      <c r="B59" t="s">
        <v>53</v>
      </c>
      <c r="C59">
        <v>2010</v>
      </c>
      <c r="D59">
        <v>1</v>
      </c>
      <c r="E59">
        <v>458</v>
      </c>
      <c r="F59">
        <v>1132</v>
      </c>
      <c r="G59">
        <v>1763</v>
      </c>
      <c r="H59">
        <v>1439</v>
      </c>
      <c r="I59">
        <v>588</v>
      </c>
      <c r="J59">
        <v>435</v>
      </c>
      <c r="K59">
        <v>105</v>
      </c>
      <c r="L59">
        <v>5921</v>
      </c>
    </row>
    <row r="60" spans="1:12" x14ac:dyDescent="0.25">
      <c r="A60" t="s">
        <v>0</v>
      </c>
      <c r="B60" t="s">
        <v>53</v>
      </c>
      <c r="C60">
        <v>2011</v>
      </c>
      <c r="D60">
        <v>1</v>
      </c>
      <c r="E60">
        <v>474</v>
      </c>
      <c r="F60">
        <v>1201</v>
      </c>
      <c r="G60">
        <v>1741</v>
      </c>
      <c r="H60">
        <v>1541</v>
      </c>
      <c r="I60">
        <v>585</v>
      </c>
      <c r="J60">
        <v>453</v>
      </c>
      <c r="K60">
        <v>147</v>
      </c>
      <c r="L60">
        <v>6143</v>
      </c>
    </row>
    <row r="61" spans="1:12" x14ac:dyDescent="0.25">
      <c r="A61" t="s">
        <v>0</v>
      </c>
      <c r="B61" t="s">
        <v>53</v>
      </c>
      <c r="C61">
        <v>2012</v>
      </c>
      <c r="D61">
        <v>3</v>
      </c>
      <c r="E61">
        <v>540</v>
      </c>
      <c r="F61">
        <v>1218</v>
      </c>
      <c r="G61">
        <v>1640</v>
      </c>
      <c r="H61">
        <v>1677</v>
      </c>
      <c r="I61">
        <v>546</v>
      </c>
      <c r="J61">
        <v>496</v>
      </c>
      <c r="K61">
        <v>177</v>
      </c>
      <c r="L61">
        <v>6297</v>
      </c>
    </row>
    <row r="62" spans="1:12" x14ac:dyDescent="0.25">
      <c r="A62" t="s">
        <v>0</v>
      </c>
      <c r="B62" t="s">
        <v>53</v>
      </c>
      <c r="C62">
        <v>2013</v>
      </c>
      <c r="D62">
        <v>2</v>
      </c>
      <c r="E62">
        <v>540</v>
      </c>
      <c r="F62">
        <v>1283</v>
      </c>
      <c r="G62">
        <v>1583</v>
      </c>
      <c r="H62">
        <v>1776</v>
      </c>
      <c r="I62">
        <v>543</v>
      </c>
      <c r="J62">
        <v>516</v>
      </c>
      <c r="K62">
        <v>177</v>
      </c>
      <c r="L62">
        <v>6420</v>
      </c>
    </row>
    <row r="63" spans="1:12" x14ac:dyDescent="0.25">
      <c r="A63" t="s">
        <v>0</v>
      </c>
      <c r="B63" t="s">
        <v>53</v>
      </c>
      <c r="C63">
        <v>2014</v>
      </c>
      <c r="D63">
        <v>0</v>
      </c>
      <c r="E63">
        <v>525</v>
      </c>
      <c r="F63">
        <v>1366</v>
      </c>
      <c r="G63">
        <v>1568</v>
      </c>
      <c r="H63">
        <v>1826</v>
      </c>
      <c r="I63">
        <v>566</v>
      </c>
      <c r="J63">
        <v>509</v>
      </c>
      <c r="K63">
        <v>182</v>
      </c>
      <c r="L63">
        <v>6542</v>
      </c>
    </row>
    <row r="64" spans="1:12" x14ac:dyDescent="0.25">
      <c r="A64" t="s">
        <v>0</v>
      </c>
      <c r="B64" t="s">
        <v>53</v>
      </c>
      <c r="C64">
        <v>2015</v>
      </c>
      <c r="D64">
        <v>1</v>
      </c>
      <c r="E64">
        <v>537</v>
      </c>
      <c r="F64">
        <v>1469</v>
      </c>
      <c r="G64">
        <v>1519</v>
      </c>
      <c r="H64">
        <v>1860</v>
      </c>
      <c r="I64">
        <v>603</v>
      </c>
      <c r="J64">
        <v>510</v>
      </c>
      <c r="K64">
        <v>199</v>
      </c>
      <c r="L64">
        <v>6698</v>
      </c>
    </row>
    <row r="65" spans="1:12" x14ac:dyDescent="0.25">
      <c r="A65" t="s">
        <v>0</v>
      </c>
      <c r="B65" t="s">
        <v>53</v>
      </c>
      <c r="C65">
        <v>2016</v>
      </c>
      <c r="D65">
        <v>0</v>
      </c>
      <c r="E65">
        <v>576</v>
      </c>
      <c r="F65">
        <v>1608</v>
      </c>
      <c r="G65">
        <v>1490</v>
      </c>
      <c r="H65">
        <v>1863</v>
      </c>
      <c r="I65">
        <v>651</v>
      </c>
      <c r="J65">
        <v>507</v>
      </c>
      <c r="K65">
        <v>220</v>
      </c>
      <c r="L65">
        <v>6915</v>
      </c>
    </row>
    <row r="66" spans="1:12" x14ac:dyDescent="0.25">
      <c r="A66" t="s">
        <v>0</v>
      </c>
      <c r="B66" t="s">
        <v>53</v>
      </c>
      <c r="C66">
        <v>2017</v>
      </c>
      <c r="D66">
        <v>0</v>
      </c>
      <c r="E66">
        <v>630</v>
      </c>
      <c r="F66">
        <v>1749</v>
      </c>
      <c r="G66">
        <v>1431</v>
      </c>
      <c r="H66">
        <v>1939</v>
      </c>
      <c r="I66">
        <v>689</v>
      </c>
      <c r="J66">
        <v>467</v>
      </c>
      <c r="K66">
        <v>257</v>
      </c>
      <c r="L66">
        <v>7162</v>
      </c>
    </row>
    <row r="67" spans="1:12" x14ac:dyDescent="0.25">
      <c r="A67" t="s">
        <v>0</v>
      </c>
      <c r="B67" t="s">
        <v>53</v>
      </c>
      <c r="C67">
        <v>2018</v>
      </c>
      <c r="D67">
        <v>0</v>
      </c>
      <c r="E67">
        <v>551</v>
      </c>
      <c r="F67">
        <v>1884</v>
      </c>
      <c r="G67">
        <v>1425</v>
      </c>
      <c r="H67">
        <v>1964</v>
      </c>
      <c r="I67">
        <v>780</v>
      </c>
      <c r="J67">
        <v>482</v>
      </c>
      <c r="K67">
        <v>271</v>
      </c>
      <c r="L67">
        <v>7357</v>
      </c>
    </row>
    <row r="68" spans="1:12" x14ac:dyDescent="0.25">
      <c r="A68" t="s">
        <v>0</v>
      </c>
      <c r="B68" t="s">
        <v>53</v>
      </c>
      <c r="C68">
        <v>2019</v>
      </c>
      <c r="D68">
        <v>0</v>
      </c>
      <c r="E68">
        <v>706</v>
      </c>
      <c r="F68">
        <v>2077</v>
      </c>
      <c r="G68">
        <v>1439</v>
      </c>
      <c r="H68">
        <v>1968</v>
      </c>
      <c r="I68">
        <v>817</v>
      </c>
      <c r="J68">
        <v>510</v>
      </c>
      <c r="K68">
        <v>302</v>
      </c>
      <c r="L68">
        <v>7819</v>
      </c>
    </row>
    <row r="69" spans="1:12" x14ac:dyDescent="0.25">
      <c r="A69" t="s">
        <v>0</v>
      </c>
      <c r="B69" t="s">
        <v>53</v>
      </c>
      <c r="C69">
        <v>2020</v>
      </c>
      <c r="D69">
        <v>0</v>
      </c>
      <c r="E69">
        <v>657</v>
      </c>
      <c r="F69">
        <v>2029</v>
      </c>
      <c r="G69">
        <v>1491</v>
      </c>
      <c r="H69">
        <v>1909</v>
      </c>
      <c r="I69">
        <v>872</v>
      </c>
      <c r="J69">
        <v>523</v>
      </c>
      <c r="K69">
        <v>296</v>
      </c>
      <c r="L69">
        <v>7777</v>
      </c>
    </row>
    <row r="70" spans="1:12" x14ac:dyDescent="0.25">
      <c r="A70" t="s">
        <v>0</v>
      </c>
      <c r="B70" t="s">
        <v>53</v>
      </c>
      <c r="C70">
        <v>2021</v>
      </c>
      <c r="D70">
        <v>1</v>
      </c>
      <c r="E70">
        <v>702</v>
      </c>
      <c r="F70">
        <v>2028</v>
      </c>
      <c r="G70">
        <v>1574</v>
      </c>
      <c r="H70">
        <v>1862</v>
      </c>
      <c r="I70">
        <v>938</v>
      </c>
      <c r="J70">
        <v>569</v>
      </c>
      <c r="K70">
        <v>317</v>
      </c>
      <c r="L70">
        <v>7991</v>
      </c>
    </row>
    <row r="71" spans="1:12" x14ac:dyDescent="0.25">
      <c r="A71" t="s">
        <v>0</v>
      </c>
      <c r="B71" t="s">
        <v>53</v>
      </c>
      <c r="C71">
        <v>2022</v>
      </c>
      <c r="D71">
        <v>3</v>
      </c>
      <c r="E71">
        <v>839</v>
      </c>
      <c r="F71">
        <v>2166</v>
      </c>
      <c r="G71">
        <v>1668</v>
      </c>
      <c r="H71">
        <v>1800</v>
      </c>
      <c r="I71">
        <v>1023</v>
      </c>
      <c r="J71">
        <v>624</v>
      </c>
      <c r="K71">
        <v>312</v>
      </c>
      <c r="L71">
        <v>8435</v>
      </c>
    </row>
    <row r="72" spans="1:12" x14ac:dyDescent="0.25">
      <c r="A72" t="s">
        <v>0</v>
      </c>
      <c r="B72" t="s">
        <v>53</v>
      </c>
      <c r="C72">
        <v>2023</v>
      </c>
      <c r="D72">
        <v>2</v>
      </c>
      <c r="E72">
        <v>848</v>
      </c>
      <c r="F72">
        <v>2250</v>
      </c>
      <c r="G72">
        <v>1722</v>
      </c>
      <c r="H72">
        <v>1758</v>
      </c>
      <c r="I72">
        <v>1012</v>
      </c>
      <c r="J72">
        <v>718</v>
      </c>
      <c r="K72">
        <v>354</v>
      </c>
      <c r="L72">
        <v>8664</v>
      </c>
    </row>
    <row r="73" spans="1:12" x14ac:dyDescent="0.25">
      <c r="A73" t="s">
        <v>0</v>
      </c>
      <c r="B73" t="s">
        <v>53</v>
      </c>
      <c r="C73">
        <v>2024</v>
      </c>
      <c r="D73">
        <v>1</v>
      </c>
      <c r="E73">
        <v>789</v>
      </c>
      <c r="F73">
        <v>2227</v>
      </c>
      <c r="G73">
        <v>1830</v>
      </c>
      <c r="H73">
        <v>1737</v>
      </c>
      <c r="I73">
        <v>1007</v>
      </c>
      <c r="J73">
        <v>757</v>
      </c>
      <c r="K73">
        <v>401</v>
      </c>
      <c r="L73">
        <v>8749</v>
      </c>
    </row>
    <row r="74" spans="1:12" x14ac:dyDescent="0.25">
      <c r="A74" t="s">
        <v>0</v>
      </c>
      <c r="B74" t="s">
        <v>54</v>
      </c>
      <c r="C74">
        <v>2001</v>
      </c>
      <c r="D74">
        <v>0</v>
      </c>
      <c r="E74">
        <v>185</v>
      </c>
      <c r="F74">
        <v>2654</v>
      </c>
      <c r="G74">
        <v>2216</v>
      </c>
      <c r="H74">
        <v>1986</v>
      </c>
      <c r="I74">
        <v>850</v>
      </c>
      <c r="J74">
        <v>401</v>
      </c>
      <c r="K74">
        <v>126</v>
      </c>
      <c r="L74">
        <v>8418</v>
      </c>
    </row>
    <row r="75" spans="1:12" x14ac:dyDescent="0.25">
      <c r="A75" t="s">
        <v>0</v>
      </c>
      <c r="B75" t="s">
        <v>54</v>
      </c>
      <c r="C75">
        <v>2002</v>
      </c>
      <c r="D75">
        <v>0</v>
      </c>
      <c r="E75">
        <v>163</v>
      </c>
      <c r="F75">
        <v>2794</v>
      </c>
      <c r="G75">
        <v>2448</v>
      </c>
      <c r="H75">
        <v>2108</v>
      </c>
      <c r="I75">
        <v>933</v>
      </c>
      <c r="J75">
        <v>449</v>
      </c>
      <c r="K75">
        <v>152</v>
      </c>
      <c r="L75">
        <v>9047</v>
      </c>
    </row>
    <row r="76" spans="1:12" x14ac:dyDescent="0.25">
      <c r="A76" t="s">
        <v>0</v>
      </c>
      <c r="B76" t="s">
        <v>54</v>
      </c>
      <c r="C76">
        <v>2003</v>
      </c>
      <c r="D76">
        <v>0</v>
      </c>
      <c r="E76">
        <v>125</v>
      </c>
      <c r="F76">
        <v>2746</v>
      </c>
      <c r="G76">
        <v>2449</v>
      </c>
      <c r="H76">
        <v>2147</v>
      </c>
      <c r="I76">
        <v>937</v>
      </c>
      <c r="J76">
        <v>516</v>
      </c>
      <c r="K76">
        <v>134</v>
      </c>
      <c r="L76">
        <v>9054</v>
      </c>
    </row>
    <row r="77" spans="1:12" x14ac:dyDescent="0.25">
      <c r="A77" t="s">
        <v>0</v>
      </c>
      <c r="B77" t="s">
        <v>54</v>
      </c>
      <c r="C77">
        <v>2004</v>
      </c>
      <c r="D77">
        <v>0</v>
      </c>
      <c r="E77">
        <v>149</v>
      </c>
      <c r="F77">
        <v>2834</v>
      </c>
      <c r="G77">
        <v>2470</v>
      </c>
      <c r="H77">
        <v>2112</v>
      </c>
      <c r="I77">
        <v>949</v>
      </c>
      <c r="J77">
        <v>595</v>
      </c>
      <c r="K77">
        <v>186</v>
      </c>
      <c r="L77">
        <v>9295</v>
      </c>
    </row>
    <row r="78" spans="1:12" x14ac:dyDescent="0.25">
      <c r="A78" t="s">
        <v>0</v>
      </c>
      <c r="B78" t="s">
        <v>54</v>
      </c>
      <c r="C78">
        <v>2005</v>
      </c>
      <c r="D78">
        <v>0</v>
      </c>
      <c r="E78">
        <v>157</v>
      </c>
      <c r="F78">
        <v>2908</v>
      </c>
      <c r="G78">
        <v>2470</v>
      </c>
      <c r="H78">
        <v>2071</v>
      </c>
      <c r="I78">
        <v>898</v>
      </c>
      <c r="J78">
        <v>659</v>
      </c>
      <c r="K78">
        <v>216</v>
      </c>
      <c r="L78">
        <v>9379</v>
      </c>
    </row>
    <row r="79" spans="1:12" x14ac:dyDescent="0.25">
      <c r="A79" t="s">
        <v>0</v>
      </c>
      <c r="B79" t="s">
        <v>54</v>
      </c>
      <c r="C79">
        <v>2006</v>
      </c>
      <c r="D79">
        <v>0</v>
      </c>
      <c r="E79">
        <v>160</v>
      </c>
      <c r="F79">
        <v>3105</v>
      </c>
      <c r="G79">
        <v>2608</v>
      </c>
      <c r="H79">
        <v>2106</v>
      </c>
      <c r="I79">
        <v>943</v>
      </c>
      <c r="J79">
        <v>763</v>
      </c>
      <c r="K79">
        <v>221</v>
      </c>
      <c r="L79">
        <v>9906</v>
      </c>
    </row>
    <row r="80" spans="1:12" x14ac:dyDescent="0.25">
      <c r="A80" t="s">
        <v>0</v>
      </c>
      <c r="B80" t="s">
        <v>54</v>
      </c>
      <c r="C80">
        <v>2007</v>
      </c>
      <c r="D80">
        <v>0</v>
      </c>
      <c r="E80">
        <v>179</v>
      </c>
      <c r="F80">
        <v>3358</v>
      </c>
      <c r="G80">
        <v>2704</v>
      </c>
      <c r="H80">
        <v>2141</v>
      </c>
      <c r="I80">
        <v>960</v>
      </c>
      <c r="J80">
        <v>802</v>
      </c>
      <c r="K80">
        <v>252</v>
      </c>
      <c r="L80">
        <v>10396</v>
      </c>
    </row>
    <row r="81" spans="1:12" x14ac:dyDescent="0.25">
      <c r="A81" t="s">
        <v>0</v>
      </c>
      <c r="B81" t="s">
        <v>54</v>
      </c>
      <c r="C81">
        <v>2008</v>
      </c>
      <c r="D81">
        <v>0</v>
      </c>
      <c r="E81">
        <v>208</v>
      </c>
      <c r="F81">
        <v>3422</v>
      </c>
      <c r="G81">
        <v>2858</v>
      </c>
      <c r="H81">
        <v>2168</v>
      </c>
      <c r="I81">
        <v>1009</v>
      </c>
      <c r="J81">
        <v>813</v>
      </c>
      <c r="K81">
        <v>289</v>
      </c>
      <c r="L81">
        <v>10767</v>
      </c>
    </row>
    <row r="82" spans="1:12" x14ac:dyDescent="0.25">
      <c r="A82" t="s">
        <v>0</v>
      </c>
      <c r="B82" t="s">
        <v>54</v>
      </c>
      <c r="C82">
        <v>2009</v>
      </c>
      <c r="D82">
        <v>0</v>
      </c>
      <c r="E82">
        <v>190</v>
      </c>
      <c r="F82">
        <v>3347</v>
      </c>
      <c r="G82">
        <v>3019</v>
      </c>
      <c r="H82">
        <v>2238</v>
      </c>
      <c r="I82">
        <v>990</v>
      </c>
      <c r="J82">
        <v>825</v>
      </c>
      <c r="K82">
        <v>352</v>
      </c>
      <c r="L82">
        <v>10961</v>
      </c>
    </row>
    <row r="83" spans="1:12" x14ac:dyDescent="0.25">
      <c r="A83" t="s">
        <v>0</v>
      </c>
      <c r="B83" t="s">
        <v>54</v>
      </c>
      <c r="C83">
        <v>2010</v>
      </c>
      <c r="D83">
        <v>0</v>
      </c>
      <c r="E83">
        <v>213</v>
      </c>
      <c r="F83">
        <v>3408</v>
      </c>
      <c r="G83">
        <v>3122</v>
      </c>
      <c r="H83">
        <v>2327</v>
      </c>
      <c r="I83">
        <v>971</v>
      </c>
      <c r="J83">
        <v>843</v>
      </c>
      <c r="K83">
        <v>387</v>
      </c>
      <c r="L83">
        <v>11271</v>
      </c>
    </row>
    <row r="84" spans="1:12" x14ac:dyDescent="0.25">
      <c r="A84" t="s">
        <v>0</v>
      </c>
      <c r="B84" t="s">
        <v>54</v>
      </c>
      <c r="C84">
        <v>2011</v>
      </c>
      <c r="D84">
        <v>0</v>
      </c>
      <c r="E84">
        <v>224</v>
      </c>
      <c r="F84">
        <v>3391</v>
      </c>
      <c r="G84">
        <v>3309</v>
      </c>
      <c r="H84">
        <v>2407</v>
      </c>
      <c r="I84">
        <v>979</v>
      </c>
      <c r="J84">
        <v>839</v>
      </c>
      <c r="K84">
        <v>484</v>
      </c>
      <c r="L84">
        <v>11633</v>
      </c>
    </row>
    <row r="85" spans="1:12" x14ac:dyDescent="0.25">
      <c r="A85" t="s">
        <v>0</v>
      </c>
      <c r="B85" t="s">
        <v>54</v>
      </c>
      <c r="C85">
        <v>2012</v>
      </c>
      <c r="D85">
        <v>0</v>
      </c>
      <c r="E85">
        <v>221</v>
      </c>
      <c r="F85">
        <v>3507</v>
      </c>
      <c r="G85">
        <v>3445</v>
      </c>
      <c r="H85">
        <v>2503</v>
      </c>
      <c r="I85">
        <v>985</v>
      </c>
      <c r="J85">
        <v>864</v>
      </c>
      <c r="K85">
        <v>521</v>
      </c>
      <c r="L85">
        <v>12046</v>
      </c>
    </row>
    <row r="86" spans="1:12" x14ac:dyDescent="0.25">
      <c r="A86" t="s">
        <v>0</v>
      </c>
      <c r="B86" t="s">
        <v>54</v>
      </c>
      <c r="C86">
        <v>2013</v>
      </c>
      <c r="D86">
        <v>0</v>
      </c>
      <c r="E86">
        <v>272</v>
      </c>
      <c r="F86">
        <v>3622</v>
      </c>
      <c r="G86">
        <v>3579</v>
      </c>
      <c r="H86">
        <v>2589</v>
      </c>
      <c r="I86">
        <v>979</v>
      </c>
      <c r="J86">
        <v>884</v>
      </c>
      <c r="K86">
        <v>587</v>
      </c>
      <c r="L86">
        <v>12512</v>
      </c>
    </row>
    <row r="87" spans="1:12" x14ac:dyDescent="0.25">
      <c r="A87" t="s">
        <v>0</v>
      </c>
      <c r="B87" t="s">
        <v>54</v>
      </c>
      <c r="C87">
        <v>2014</v>
      </c>
      <c r="D87">
        <v>0</v>
      </c>
      <c r="E87">
        <v>273</v>
      </c>
      <c r="F87">
        <v>3652</v>
      </c>
      <c r="G87">
        <v>3753</v>
      </c>
      <c r="H87">
        <v>2656</v>
      </c>
      <c r="I87">
        <v>1018</v>
      </c>
      <c r="J87">
        <v>854</v>
      </c>
      <c r="K87">
        <v>631</v>
      </c>
      <c r="L87">
        <v>12837</v>
      </c>
    </row>
    <row r="88" spans="1:12" x14ac:dyDescent="0.25">
      <c r="A88" t="s">
        <v>0</v>
      </c>
      <c r="B88" t="s">
        <v>54</v>
      </c>
      <c r="C88">
        <v>2015</v>
      </c>
      <c r="D88">
        <v>0</v>
      </c>
      <c r="E88">
        <v>253</v>
      </c>
      <c r="F88">
        <v>3670</v>
      </c>
      <c r="G88">
        <v>3896</v>
      </c>
      <c r="H88">
        <v>2710</v>
      </c>
      <c r="I88">
        <v>1070</v>
      </c>
      <c r="J88">
        <v>876</v>
      </c>
      <c r="K88">
        <v>639</v>
      </c>
      <c r="L88">
        <v>13114</v>
      </c>
    </row>
    <row r="89" spans="1:12" x14ac:dyDescent="0.25">
      <c r="A89" t="s">
        <v>0</v>
      </c>
      <c r="B89" t="s">
        <v>54</v>
      </c>
      <c r="C89">
        <v>2016</v>
      </c>
      <c r="D89">
        <v>0</v>
      </c>
      <c r="E89">
        <v>296</v>
      </c>
      <c r="F89">
        <v>3832</v>
      </c>
      <c r="G89">
        <v>4028</v>
      </c>
      <c r="H89">
        <v>2822</v>
      </c>
      <c r="I89">
        <v>1074</v>
      </c>
      <c r="J89">
        <v>883</v>
      </c>
      <c r="K89">
        <v>635</v>
      </c>
      <c r="L89">
        <v>13570</v>
      </c>
    </row>
    <row r="90" spans="1:12" x14ac:dyDescent="0.25">
      <c r="A90" t="s">
        <v>0</v>
      </c>
      <c r="B90" t="s">
        <v>54</v>
      </c>
      <c r="C90">
        <v>2017</v>
      </c>
      <c r="D90">
        <v>0</v>
      </c>
      <c r="E90">
        <v>323</v>
      </c>
      <c r="F90">
        <v>3869</v>
      </c>
      <c r="G90">
        <v>4098</v>
      </c>
      <c r="H90">
        <v>3003</v>
      </c>
      <c r="I90">
        <v>1101</v>
      </c>
      <c r="J90">
        <v>890</v>
      </c>
      <c r="K90">
        <v>664</v>
      </c>
      <c r="L90">
        <v>13948</v>
      </c>
    </row>
    <row r="91" spans="1:12" x14ac:dyDescent="0.25">
      <c r="A91" t="s">
        <v>0</v>
      </c>
      <c r="B91" t="s">
        <v>54</v>
      </c>
      <c r="C91">
        <v>2018</v>
      </c>
      <c r="D91">
        <v>0</v>
      </c>
      <c r="E91">
        <v>360</v>
      </c>
      <c r="F91">
        <v>4034</v>
      </c>
      <c r="G91">
        <v>4221</v>
      </c>
      <c r="H91">
        <v>3147</v>
      </c>
      <c r="I91">
        <v>1121</v>
      </c>
      <c r="J91">
        <v>883</v>
      </c>
      <c r="K91">
        <v>697</v>
      </c>
      <c r="L91">
        <v>14463</v>
      </c>
    </row>
    <row r="92" spans="1:12" x14ac:dyDescent="0.25">
      <c r="A92" t="s">
        <v>0</v>
      </c>
      <c r="B92" t="s">
        <v>54</v>
      </c>
      <c r="C92">
        <v>2019</v>
      </c>
      <c r="D92">
        <v>0</v>
      </c>
      <c r="E92">
        <v>333</v>
      </c>
      <c r="F92">
        <v>4288</v>
      </c>
      <c r="G92">
        <v>4258</v>
      </c>
      <c r="H92">
        <v>3294</v>
      </c>
      <c r="I92">
        <v>1162</v>
      </c>
      <c r="J92">
        <v>905</v>
      </c>
      <c r="K92">
        <v>682</v>
      </c>
      <c r="L92">
        <v>14922</v>
      </c>
    </row>
    <row r="93" spans="1:12" x14ac:dyDescent="0.25">
      <c r="A93" t="s">
        <v>0</v>
      </c>
      <c r="B93" t="s">
        <v>54</v>
      </c>
      <c r="C93">
        <v>2020</v>
      </c>
      <c r="D93">
        <v>0</v>
      </c>
      <c r="E93">
        <v>342</v>
      </c>
      <c r="F93">
        <v>4379</v>
      </c>
      <c r="G93">
        <v>4237</v>
      </c>
      <c r="H93">
        <v>3418</v>
      </c>
      <c r="I93">
        <v>1206</v>
      </c>
      <c r="J93">
        <v>919</v>
      </c>
      <c r="K93">
        <v>649</v>
      </c>
      <c r="L93">
        <v>15150</v>
      </c>
    </row>
    <row r="94" spans="1:12" x14ac:dyDescent="0.25">
      <c r="A94" t="s">
        <v>0</v>
      </c>
      <c r="B94" t="s">
        <v>54</v>
      </c>
      <c r="C94">
        <v>2021</v>
      </c>
      <c r="D94">
        <v>0</v>
      </c>
      <c r="E94">
        <v>350</v>
      </c>
      <c r="F94">
        <v>4354</v>
      </c>
      <c r="G94">
        <v>4288</v>
      </c>
      <c r="H94">
        <v>3560</v>
      </c>
      <c r="I94">
        <v>1303</v>
      </c>
      <c r="J94">
        <v>920</v>
      </c>
      <c r="K94">
        <v>665</v>
      </c>
      <c r="L94">
        <v>15440</v>
      </c>
    </row>
    <row r="95" spans="1:12" x14ac:dyDescent="0.25">
      <c r="A95" t="s">
        <v>0</v>
      </c>
      <c r="B95" t="s">
        <v>54</v>
      </c>
      <c r="C95">
        <v>2022</v>
      </c>
      <c r="D95">
        <v>0</v>
      </c>
      <c r="E95">
        <v>329</v>
      </c>
      <c r="F95">
        <v>4407</v>
      </c>
      <c r="G95">
        <v>4293</v>
      </c>
      <c r="H95">
        <v>3727</v>
      </c>
      <c r="I95">
        <v>1389</v>
      </c>
      <c r="J95">
        <v>985</v>
      </c>
      <c r="K95">
        <v>733</v>
      </c>
      <c r="L95">
        <v>15863</v>
      </c>
    </row>
    <row r="96" spans="1:12" x14ac:dyDescent="0.25">
      <c r="A96" t="s">
        <v>0</v>
      </c>
      <c r="B96" t="s">
        <v>54</v>
      </c>
      <c r="C96">
        <v>2023</v>
      </c>
      <c r="D96">
        <v>0</v>
      </c>
      <c r="E96">
        <v>391</v>
      </c>
      <c r="F96">
        <v>4496</v>
      </c>
      <c r="G96">
        <v>4426</v>
      </c>
      <c r="H96">
        <v>3857</v>
      </c>
      <c r="I96">
        <v>1421</v>
      </c>
      <c r="J96">
        <v>1013</v>
      </c>
      <c r="K96">
        <v>773</v>
      </c>
      <c r="L96">
        <v>16377</v>
      </c>
    </row>
    <row r="97" spans="1:12" x14ac:dyDescent="0.25">
      <c r="A97" t="s">
        <v>0</v>
      </c>
      <c r="B97" t="s">
        <v>54</v>
      </c>
      <c r="C97">
        <v>2024</v>
      </c>
      <c r="D97">
        <v>0</v>
      </c>
      <c r="E97">
        <v>429</v>
      </c>
      <c r="F97">
        <v>4370</v>
      </c>
      <c r="G97">
        <v>4467</v>
      </c>
      <c r="H97">
        <v>3963</v>
      </c>
      <c r="I97">
        <v>1393</v>
      </c>
      <c r="J97">
        <v>1075</v>
      </c>
      <c r="K97">
        <v>836</v>
      </c>
      <c r="L97">
        <v>16533</v>
      </c>
    </row>
    <row r="98" spans="1:12" x14ac:dyDescent="0.25">
      <c r="A98" t="s">
        <v>0</v>
      </c>
      <c r="B98" t="s">
        <v>55</v>
      </c>
      <c r="C98">
        <v>2001</v>
      </c>
      <c r="D98">
        <v>7</v>
      </c>
      <c r="E98">
        <v>19</v>
      </c>
      <c r="F98">
        <v>44</v>
      </c>
      <c r="G98">
        <v>24</v>
      </c>
      <c r="H98">
        <v>15</v>
      </c>
      <c r="I98">
        <v>6</v>
      </c>
      <c r="J98">
        <v>4</v>
      </c>
      <c r="K98">
        <v>42</v>
      </c>
      <c r="L98">
        <v>161</v>
      </c>
    </row>
    <row r="99" spans="1:12" x14ac:dyDescent="0.25">
      <c r="A99" t="s">
        <v>0</v>
      </c>
      <c r="B99" t="s">
        <v>55</v>
      </c>
      <c r="C99">
        <v>2002</v>
      </c>
      <c r="D99">
        <v>1</v>
      </c>
      <c r="E99">
        <v>10</v>
      </c>
      <c r="F99">
        <v>31</v>
      </c>
      <c r="G99">
        <v>16</v>
      </c>
      <c r="H99">
        <v>10</v>
      </c>
      <c r="I99">
        <v>11</v>
      </c>
      <c r="J99">
        <v>4</v>
      </c>
      <c r="K99">
        <v>41</v>
      </c>
      <c r="L99">
        <v>124</v>
      </c>
    </row>
    <row r="100" spans="1:12" x14ac:dyDescent="0.25">
      <c r="A100" t="s">
        <v>0</v>
      </c>
      <c r="B100" t="s">
        <v>55</v>
      </c>
      <c r="C100">
        <v>2003</v>
      </c>
      <c r="D100">
        <v>5</v>
      </c>
      <c r="E100">
        <v>8</v>
      </c>
      <c r="F100">
        <v>32</v>
      </c>
      <c r="G100">
        <v>21</v>
      </c>
      <c r="H100">
        <v>12</v>
      </c>
      <c r="I100">
        <v>7</v>
      </c>
      <c r="J100">
        <v>3</v>
      </c>
      <c r="K100">
        <v>26</v>
      </c>
      <c r="L100">
        <v>114</v>
      </c>
    </row>
    <row r="101" spans="1:12" x14ac:dyDescent="0.25">
      <c r="A101" t="s">
        <v>0</v>
      </c>
      <c r="B101" t="s">
        <v>55</v>
      </c>
      <c r="C101">
        <v>2004</v>
      </c>
      <c r="D101">
        <v>4</v>
      </c>
      <c r="E101">
        <v>9</v>
      </c>
      <c r="F101">
        <v>32</v>
      </c>
      <c r="G101">
        <v>13</v>
      </c>
      <c r="H101">
        <v>14</v>
      </c>
      <c r="I101">
        <v>6</v>
      </c>
      <c r="J101">
        <v>4</v>
      </c>
      <c r="K101">
        <v>84</v>
      </c>
      <c r="L101">
        <v>166</v>
      </c>
    </row>
    <row r="102" spans="1:12" x14ac:dyDescent="0.25">
      <c r="A102" t="s">
        <v>0</v>
      </c>
      <c r="B102" t="s">
        <v>55</v>
      </c>
      <c r="C102">
        <v>2005</v>
      </c>
      <c r="D102">
        <v>6</v>
      </c>
      <c r="E102">
        <v>13</v>
      </c>
      <c r="F102">
        <v>32</v>
      </c>
      <c r="G102">
        <v>14</v>
      </c>
      <c r="H102">
        <v>13</v>
      </c>
      <c r="I102">
        <v>2</v>
      </c>
      <c r="J102">
        <v>4</v>
      </c>
      <c r="K102">
        <v>64</v>
      </c>
      <c r="L102">
        <v>148</v>
      </c>
    </row>
    <row r="103" spans="1:12" x14ac:dyDescent="0.25">
      <c r="A103" t="s">
        <v>0</v>
      </c>
      <c r="B103" t="s">
        <v>55</v>
      </c>
      <c r="C103">
        <v>2006</v>
      </c>
      <c r="D103">
        <v>9</v>
      </c>
      <c r="E103">
        <v>22</v>
      </c>
      <c r="F103">
        <v>30</v>
      </c>
      <c r="G103">
        <v>12</v>
      </c>
      <c r="H103">
        <v>15</v>
      </c>
      <c r="I103">
        <v>3</v>
      </c>
      <c r="J103">
        <v>2</v>
      </c>
      <c r="K103">
        <v>78</v>
      </c>
      <c r="L103">
        <v>171</v>
      </c>
    </row>
    <row r="104" spans="1:12" x14ac:dyDescent="0.25">
      <c r="A104" t="s">
        <v>0</v>
      </c>
      <c r="B104" t="s">
        <v>55</v>
      </c>
      <c r="C104">
        <v>2007</v>
      </c>
      <c r="D104">
        <v>2</v>
      </c>
      <c r="E104">
        <v>20</v>
      </c>
      <c r="F104">
        <v>47</v>
      </c>
      <c r="G104">
        <v>15</v>
      </c>
      <c r="H104">
        <v>14</v>
      </c>
      <c r="I104">
        <v>3</v>
      </c>
      <c r="J104">
        <v>2</v>
      </c>
      <c r="K104">
        <v>58</v>
      </c>
      <c r="L104">
        <v>161</v>
      </c>
    </row>
    <row r="105" spans="1:12" x14ac:dyDescent="0.25">
      <c r="A105" t="s">
        <v>0</v>
      </c>
      <c r="B105" t="s">
        <v>55</v>
      </c>
      <c r="C105">
        <v>2008</v>
      </c>
      <c r="D105">
        <v>6</v>
      </c>
      <c r="E105">
        <v>18</v>
      </c>
      <c r="F105">
        <v>51</v>
      </c>
      <c r="G105">
        <v>29</v>
      </c>
      <c r="H105">
        <v>12</v>
      </c>
      <c r="I105">
        <v>7</v>
      </c>
      <c r="J105">
        <v>3</v>
      </c>
      <c r="K105">
        <v>0</v>
      </c>
      <c r="L105">
        <v>126</v>
      </c>
    </row>
    <row r="106" spans="1:12" x14ac:dyDescent="0.25">
      <c r="A106" t="s">
        <v>0</v>
      </c>
      <c r="B106" t="s">
        <v>55</v>
      </c>
      <c r="C106">
        <v>2009</v>
      </c>
      <c r="D106">
        <v>3</v>
      </c>
      <c r="E106">
        <v>20</v>
      </c>
      <c r="F106">
        <v>72</v>
      </c>
      <c r="G106">
        <v>34</v>
      </c>
      <c r="H106">
        <v>14</v>
      </c>
      <c r="I106">
        <v>6</v>
      </c>
      <c r="J106">
        <v>3</v>
      </c>
      <c r="K106">
        <v>1</v>
      </c>
      <c r="L106">
        <v>153</v>
      </c>
    </row>
    <row r="107" spans="1:12" x14ac:dyDescent="0.25">
      <c r="A107" t="s">
        <v>0</v>
      </c>
      <c r="B107" t="s">
        <v>55</v>
      </c>
      <c r="C107">
        <v>2010</v>
      </c>
      <c r="D107">
        <v>5</v>
      </c>
      <c r="E107">
        <v>21</v>
      </c>
      <c r="F107">
        <v>74</v>
      </c>
      <c r="G107">
        <v>41</v>
      </c>
      <c r="H107">
        <v>18</v>
      </c>
      <c r="I107">
        <v>7</v>
      </c>
      <c r="J107">
        <v>4</v>
      </c>
      <c r="K107">
        <v>63</v>
      </c>
      <c r="L107">
        <v>233</v>
      </c>
    </row>
    <row r="108" spans="1:12" x14ac:dyDescent="0.25">
      <c r="A108" t="s">
        <v>0</v>
      </c>
      <c r="B108" t="s">
        <v>55</v>
      </c>
      <c r="C108">
        <v>2011</v>
      </c>
      <c r="D108">
        <v>5</v>
      </c>
      <c r="E108">
        <v>23</v>
      </c>
      <c r="F108">
        <v>78</v>
      </c>
      <c r="G108">
        <v>48</v>
      </c>
      <c r="H108">
        <v>33</v>
      </c>
      <c r="I108">
        <v>5</v>
      </c>
      <c r="J108">
        <v>1</v>
      </c>
      <c r="K108">
        <v>3</v>
      </c>
      <c r="L108">
        <v>196</v>
      </c>
    </row>
    <row r="109" spans="1:12" x14ac:dyDescent="0.25">
      <c r="A109" t="s">
        <v>0</v>
      </c>
      <c r="B109" t="s">
        <v>55</v>
      </c>
      <c r="C109">
        <v>2012</v>
      </c>
      <c r="D109">
        <v>6</v>
      </c>
      <c r="E109">
        <v>22</v>
      </c>
      <c r="F109">
        <v>96</v>
      </c>
      <c r="G109">
        <v>57</v>
      </c>
      <c r="H109">
        <v>30</v>
      </c>
      <c r="I109">
        <v>9</v>
      </c>
      <c r="J109">
        <v>1</v>
      </c>
      <c r="K109">
        <v>3</v>
      </c>
      <c r="L109">
        <v>224</v>
      </c>
    </row>
    <row r="110" spans="1:12" x14ac:dyDescent="0.25">
      <c r="A110" t="s">
        <v>0</v>
      </c>
      <c r="B110" t="s">
        <v>55</v>
      </c>
      <c r="C110">
        <v>2013</v>
      </c>
      <c r="D110">
        <v>9</v>
      </c>
      <c r="E110">
        <v>28</v>
      </c>
      <c r="F110">
        <v>112</v>
      </c>
      <c r="G110">
        <v>68</v>
      </c>
      <c r="H110">
        <v>22</v>
      </c>
      <c r="I110">
        <v>9</v>
      </c>
      <c r="J110">
        <v>3</v>
      </c>
      <c r="K110">
        <v>3</v>
      </c>
      <c r="L110">
        <v>254</v>
      </c>
    </row>
    <row r="111" spans="1:12" x14ac:dyDescent="0.25">
      <c r="A111" t="s">
        <v>0</v>
      </c>
      <c r="B111" t="s">
        <v>55</v>
      </c>
      <c r="C111">
        <v>2014</v>
      </c>
      <c r="D111">
        <v>5</v>
      </c>
      <c r="E111">
        <v>29</v>
      </c>
      <c r="F111">
        <v>144</v>
      </c>
      <c r="G111">
        <v>91</v>
      </c>
      <c r="H111">
        <v>41</v>
      </c>
      <c r="I111">
        <v>10</v>
      </c>
      <c r="J111">
        <v>5</v>
      </c>
      <c r="K111">
        <v>3</v>
      </c>
      <c r="L111">
        <v>328</v>
      </c>
    </row>
    <row r="112" spans="1:12" x14ac:dyDescent="0.25">
      <c r="A112" t="s">
        <v>0</v>
      </c>
      <c r="B112" t="s">
        <v>55</v>
      </c>
      <c r="C112">
        <v>2015</v>
      </c>
      <c r="D112">
        <v>6</v>
      </c>
      <c r="E112">
        <v>34</v>
      </c>
      <c r="F112">
        <v>164</v>
      </c>
      <c r="G112">
        <v>103</v>
      </c>
      <c r="H112">
        <v>45</v>
      </c>
      <c r="I112">
        <v>13</v>
      </c>
      <c r="J112">
        <v>6</v>
      </c>
      <c r="K112">
        <v>4</v>
      </c>
      <c r="L112">
        <v>375</v>
      </c>
    </row>
    <row r="113" spans="1:12" x14ac:dyDescent="0.25">
      <c r="A113" t="s">
        <v>0</v>
      </c>
      <c r="B113" t="s">
        <v>55</v>
      </c>
      <c r="C113">
        <v>2016</v>
      </c>
      <c r="D113">
        <v>9</v>
      </c>
      <c r="E113">
        <v>43</v>
      </c>
      <c r="F113">
        <v>190</v>
      </c>
      <c r="G113">
        <v>134</v>
      </c>
      <c r="H113">
        <v>64</v>
      </c>
      <c r="I113">
        <v>7</v>
      </c>
      <c r="J113">
        <v>7</v>
      </c>
      <c r="K113">
        <v>5</v>
      </c>
      <c r="L113">
        <v>459</v>
      </c>
    </row>
    <row r="114" spans="1:12" x14ac:dyDescent="0.25">
      <c r="A114" t="s">
        <v>0</v>
      </c>
      <c r="B114" t="s">
        <v>55</v>
      </c>
      <c r="C114">
        <v>2017</v>
      </c>
      <c r="D114">
        <v>17</v>
      </c>
      <c r="E114">
        <v>66</v>
      </c>
      <c r="F114">
        <v>208</v>
      </c>
      <c r="G114">
        <v>162</v>
      </c>
      <c r="H114">
        <v>69</v>
      </c>
      <c r="I114">
        <v>11</v>
      </c>
      <c r="J114">
        <v>5</v>
      </c>
      <c r="K114">
        <v>3</v>
      </c>
      <c r="L114">
        <v>541</v>
      </c>
    </row>
    <row r="115" spans="1:12" x14ac:dyDescent="0.25">
      <c r="A115" t="s">
        <v>0</v>
      </c>
      <c r="B115" t="s">
        <v>55</v>
      </c>
      <c r="C115">
        <v>2018</v>
      </c>
      <c r="D115">
        <v>23</v>
      </c>
      <c r="E115">
        <v>55</v>
      </c>
      <c r="F115">
        <v>203</v>
      </c>
      <c r="G115">
        <v>140</v>
      </c>
      <c r="H115">
        <v>79</v>
      </c>
      <c r="I115">
        <v>11</v>
      </c>
      <c r="J115">
        <v>7</v>
      </c>
      <c r="K115">
        <v>2</v>
      </c>
      <c r="L115">
        <v>520</v>
      </c>
    </row>
    <row r="116" spans="1:12" x14ac:dyDescent="0.25">
      <c r="A116" t="s">
        <v>0</v>
      </c>
      <c r="B116" t="s">
        <v>55</v>
      </c>
      <c r="C116">
        <v>2019</v>
      </c>
      <c r="D116">
        <v>22</v>
      </c>
      <c r="E116">
        <v>98</v>
      </c>
      <c r="F116">
        <v>236</v>
      </c>
      <c r="G116">
        <v>158</v>
      </c>
      <c r="H116">
        <v>63</v>
      </c>
      <c r="I116">
        <v>9</v>
      </c>
      <c r="J116">
        <v>9</v>
      </c>
      <c r="K116">
        <v>4</v>
      </c>
      <c r="L116">
        <v>599</v>
      </c>
    </row>
    <row r="117" spans="1:12" x14ac:dyDescent="0.25">
      <c r="A117" t="s">
        <v>0</v>
      </c>
      <c r="B117" t="s">
        <v>55</v>
      </c>
      <c r="C117">
        <v>2020</v>
      </c>
      <c r="D117">
        <v>13</v>
      </c>
      <c r="E117">
        <v>92</v>
      </c>
      <c r="F117">
        <v>225</v>
      </c>
      <c r="G117">
        <v>163</v>
      </c>
      <c r="H117">
        <v>51</v>
      </c>
      <c r="I117">
        <v>10</v>
      </c>
      <c r="J117">
        <v>8</v>
      </c>
      <c r="K117">
        <v>6</v>
      </c>
      <c r="L117">
        <v>568</v>
      </c>
    </row>
    <row r="118" spans="1:12" x14ac:dyDescent="0.25">
      <c r="A118" t="s">
        <v>0</v>
      </c>
      <c r="B118" t="s">
        <v>55</v>
      </c>
      <c r="C118">
        <v>2021</v>
      </c>
      <c r="D118">
        <v>12</v>
      </c>
      <c r="E118">
        <v>84</v>
      </c>
      <c r="F118">
        <v>227</v>
      </c>
      <c r="G118">
        <v>166</v>
      </c>
      <c r="H118">
        <v>54</v>
      </c>
      <c r="I118">
        <v>17</v>
      </c>
      <c r="J118">
        <v>8</v>
      </c>
      <c r="K118">
        <v>5</v>
      </c>
      <c r="L118">
        <v>573</v>
      </c>
    </row>
    <row r="119" spans="1:12" x14ac:dyDescent="0.25">
      <c r="A119" t="s">
        <v>0</v>
      </c>
      <c r="B119" t="s">
        <v>55</v>
      </c>
      <c r="C119">
        <v>2022</v>
      </c>
      <c r="D119">
        <v>14</v>
      </c>
      <c r="E119">
        <v>89</v>
      </c>
      <c r="F119">
        <v>237</v>
      </c>
      <c r="G119">
        <v>163</v>
      </c>
      <c r="H119">
        <v>57</v>
      </c>
      <c r="I119">
        <v>11</v>
      </c>
      <c r="J119">
        <v>9</v>
      </c>
      <c r="K119">
        <v>4</v>
      </c>
      <c r="L119">
        <v>584</v>
      </c>
    </row>
    <row r="120" spans="1:12" x14ac:dyDescent="0.25">
      <c r="A120" t="s">
        <v>0</v>
      </c>
      <c r="B120" t="s">
        <v>55</v>
      </c>
      <c r="C120">
        <v>2023</v>
      </c>
      <c r="D120">
        <v>21</v>
      </c>
      <c r="E120">
        <v>97</v>
      </c>
      <c r="F120">
        <v>237</v>
      </c>
      <c r="G120">
        <v>196</v>
      </c>
      <c r="H120">
        <v>78</v>
      </c>
      <c r="I120">
        <v>18</v>
      </c>
      <c r="J120">
        <v>11</v>
      </c>
      <c r="K120">
        <v>7</v>
      </c>
      <c r="L120">
        <v>665</v>
      </c>
    </row>
    <row r="121" spans="1:12" x14ac:dyDescent="0.25">
      <c r="A121" t="s">
        <v>0</v>
      </c>
      <c r="B121" t="s">
        <v>55</v>
      </c>
      <c r="C121">
        <v>2024</v>
      </c>
      <c r="D121">
        <v>20</v>
      </c>
      <c r="E121">
        <v>59</v>
      </c>
      <c r="F121">
        <v>220</v>
      </c>
      <c r="G121">
        <v>162</v>
      </c>
      <c r="H121">
        <v>76</v>
      </c>
      <c r="I121">
        <v>20</v>
      </c>
      <c r="J121">
        <v>13</v>
      </c>
      <c r="K121">
        <v>8</v>
      </c>
      <c r="L121">
        <v>578</v>
      </c>
    </row>
    <row r="122" spans="1:12" x14ac:dyDescent="0.25">
      <c r="A122" t="s">
        <v>0</v>
      </c>
      <c r="B122" t="s">
        <v>2</v>
      </c>
      <c r="C122">
        <v>2001</v>
      </c>
      <c r="D122">
        <v>404</v>
      </c>
      <c r="E122">
        <v>2560</v>
      </c>
      <c r="F122">
        <v>9402</v>
      </c>
      <c r="G122">
        <v>9031</v>
      </c>
      <c r="H122">
        <v>7936</v>
      </c>
      <c r="I122">
        <v>3775</v>
      </c>
      <c r="J122">
        <v>1807</v>
      </c>
      <c r="K122">
        <v>480</v>
      </c>
      <c r="L122">
        <v>35395</v>
      </c>
    </row>
    <row r="123" spans="1:12" x14ac:dyDescent="0.25">
      <c r="A123" t="s">
        <v>0</v>
      </c>
      <c r="B123" t="s">
        <v>2</v>
      </c>
      <c r="C123">
        <v>2002</v>
      </c>
      <c r="D123">
        <v>506</v>
      </c>
      <c r="E123">
        <v>2538</v>
      </c>
      <c r="F123">
        <v>9224</v>
      </c>
      <c r="G123">
        <v>9526</v>
      </c>
      <c r="H123">
        <v>8124</v>
      </c>
      <c r="I123">
        <v>3934</v>
      </c>
      <c r="J123">
        <v>2085</v>
      </c>
      <c r="K123">
        <v>590</v>
      </c>
      <c r="L123">
        <v>36527</v>
      </c>
    </row>
    <row r="124" spans="1:12" x14ac:dyDescent="0.25">
      <c r="A124" t="s">
        <v>0</v>
      </c>
      <c r="B124" t="s">
        <v>2</v>
      </c>
      <c r="C124">
        <v>2003</v>
      </c>
      <c r="D124">
        <v>434</v>
      </c>
      <c r="E124">
        <v>2363</v>
      </c>
      <c r="F124">
        <v>8713</v>
      </c>
      <c r="G124">
        <v>9574</v>
      </c>
      <c r="H124">
        <v>8204</v>
      </c>
      <c r="I124">
        <v>3927</v>
      </c>
      <c r="J124">
        <v>2283</v>
      </c>
      <c r="K124">
        <v>456</v>
      </c>
      <c r="L124">
        <v>35954</v>
      </c>
    </row>
    <row r="125" spans="1:12" x14ac:dyDescent="0.25">
      <c r="A125" t="s">
        <v>0</v>
      </c>
      <c r="B125" t="s">
        <v>2</v>
      </c>
      <c r="C125">
        <v>2004</v>
      </c>
      <c r="D125">
        <v>419</v>
      </c>
      <c r="E125">
        <v>2252</v>
      </c>
      <c r="F125">
        <v>8439</v>
      </c>
      <c r="G125">
        <v>9522</v>
      </c>
      <c r="H125">
        <v>8108</v>
      </c>
      <c r="I125">
        <v>3947</v>
      </c>
      <c r="J125">
        <v>2601</v>
      </c>
      <c r="K125">
        <v>698</v>
      </c>
      <c r="L125">
        <v>35986</v>
      </c>
    </row>
    <row r="126" spans="1:12" x14ac:dyDescent="0.25">
      <c r="A126" t="s">
        <v>0</v>
      </c>
      <c r="B126" t="s">
        <v>2</v>
      </c>
      <c r="C126">
        <v>2005</v>
      </c>
      <c r="D126">
        <v>446</v>
      </c>
      <c r="E126">
        <v>2145</v>
      </c>
      <c r="F126">
        <v>8220</v>
      </c>
      <c r="G126">
        <v>9457</v>
      </c>
      <c r="H126">
        <v>8059</v>
      </c>
      <c r="I126">
        <v>3846</v>
      </c>
      <c r="J126">
        <v>2796</v>
      </c>
      <c r="K126">
        <v>704</v>
      </c>
      <c r="L126">
        <v>35673</v>
      </c>
    </row>
    <row r="127" spans="1:12" x14ac:dyDescent="0.25">
      <c r="A127" t="s">
        <v>0</v>
      </c>
      <c r="B127" t="s">
        <v>2</v>
      </c>
      <c r="C127">
        <v>2006</v>
      </c>
      <c r="D127">
        <v>454</v>
      </c>
      <c r="E127">
        <v>2360</v>
      </c>
      <c r="F127">
        <v>8259</v>
      </c>
      <c r="G127">
        <v>9636</v>
      </c>
      <c r="H127">
        <v>8111</v>
      </c>
      <c r="I127">
        <v>3809</v>
      </c>
      <c r="J127">
        <v>3086</v>
      </c>
      <c r="K127">
        <v>756</v>
      </c>
      <c r="L127">
        <v>36471</v>
      </c>
    </row>
    <row r="128" spans="1:12" x14ac:dyDescent="0.25">
      <c r="A128" t="s">
        <v>0</v>
      </c>
      <c r="B128" t="s">
        <v>2</v>
      </c>
      <c r="C128">
        <v>2007</v>
      </c>
      <c r="D128">
        <v>486</v>
      </c>
      <c r="E128">
        <v>2590</v>
      </c>
      <c r="F128">
        <v>8482</v>
      </c>
      <c r="G128">
        <v>9832</v>
      </c>
      <c r="H128">
        <v>8164</v>
      </c>
      <c r="I128">
        <v>3809</v>
      </c>
      <c r="J128">
        <v>3282</v>
      </c>
      <c r="K128">
        <v>917</v>
      </c>
      <c r="L128">
        <v>37562</v>
      </c>
    </row>
    <row r="129" spans="1:12" x14ac:dyDescent="0.25">
      <c r="A129" t="s">
        <v>0</v>
      </c>
      <c r="B129" t="s">
        <v>2</v>
      </c>
      <c r="C129">
        <v>2008</v>
      </c>
      <c r="D129">
        <v>503</v>
      </c>
      <c r="E129">
        <v>2758</v>
      </c>
      <c r="F129">
        <v>8408</v>
      </c>
      <c r="G129">
        <v>9947</v>
      </c>
      <c r="H129">
        <v>8369</v>
      </c>
      <c r="I129">
        <v>3795</v>
      </c>
      <c r="J129">
        <v>3303</v>
      </c>
      <c r="K129">
        <v>1024</v>
      </c>
      <c r="L129">
        <v>38107</v>
      </c>
    </row>
    <row r="130" spans="1:12" x14ac:dyDescent="0.25">
      <c r="A130" t="s">
        <v>0</v>
      </c>
      <c r="B130" t="s">
        <v>2</v>
      </c>
      <c r="C130">
        <v>2009</v>
      </c>
      <c r="D130">
        <v>398</v>
      </c>
      <c r="E130">
        <v>2415</v>
      </c>
      <c r="F130">
        <v>8037</v>
      </c>
      <c r="G130">
        <v>9834</v>
      </c>
      <c r="H130">
        <v>8566</v>
      </c>
      <c r="I130">
        <v>3685</v>
      </c>
      <c r="J130">
        <v>3271</v>
      </c>
      <c r="K130">
        <v>1204</v>
      </c>
      <c r="L130">
        <v>37410</v>
      </c>
    </row>
    <row r="131" spans="1:12" x14ac:dyDescent="0.25">
      <c r="A131" t="s">
        <v>0</v>
      </c>
      <c r="B131" t="s">
        <v>2</v>
      </c>
      <c r="C131">
        <v>2010</v>
      </c>
      <c r="D131">
        <v>504</v>
      </c>
      <c r="E131">
        <v>2736</v>
      </c>
      <c r="F131">
        <v>8308</v>
      </c>
      <c r="G131">
        <v>9768</v>
      </c>
      <c r="H131">
        <v>8797</v>
      </c>
      <c r="I131">
        <v>3684</v>
      </c>
      <c r="J131">
        <v>3284</v>
      </c>
      <c r="K131">
        <v>1218</v>
      </c>
      <c r="L131">
        <v>38299</v>
      </c>
    </row>
    <row r="132" spans="1:12" x14ac:dyDescent="0.25">
      <c r="A132" t="s">
        <v>0</v>
      </c>
      <c r="B132" t="s">
        <v>2</v>
      </c>
      <c r="C132">
        <v>2011</v>
      </c>
      <c r="D132">
        <v>560</v>
      </c>
      <c r="E132">
        <v>3067</v>
      </c>
      <c r="F132">
        <v>8438</v>
      </c>
      <c r="G132">
        <v>9930</v>
      </c>
      <c r="H132">
        <v>9073</v>
      </c>
      <c r="I132">
        <v>3745</v>
      </c>
      <c r="J132">
        <v>3188</v>
      </c>
      <c r="K132">
        <v>1592</v>
      </c>
      <c r="L132">
        <v>39593</v>
      </c>
    </row>
    <row r="133" spans="1:12" x14ac:dyDescent="0.25">
      <c r="A133" t="s">
        <v>0</v>
      </c>
      <c r="B133" t="s">
        <v>2</v>
      </c>
      <c r="C133">
        <v>2012</v>
      </c>
      <c r="D133">
        <v>562</v>
      </c>
      <c r="E133">
        <v>3177</v>
      </c>
      <c r="F133">
        <v>8611</v>
      </c>
      <c r="G133">
        <v>9814</v>
      </c>
      <c r="H133">
        <v>9355</v>
      </c>
      <c r="I133">
        <v>3774</v>
      </c>
      <c r="J133">
        <v>3248</v>
      </c>
      <c r="K133">
        <v>1673</v>
      </c>
      <c r="L133">
        <v>40214</v>
      </c>
    </row>
    <row r="134" spans="1:12" x14ac:dyDescent="0.25">
      <c r="A134" t="s">
        <v>0</v>
      </c>
      <c r="B134" t="s">
        <v>2</v>
      </c>
      <c r="C134">
        <v>2013</v>
      </c>
      <c r="D134">
        <v>532</v>
      </c>
      <c r="E134">
        <v>3276</v>
      </c>
      <c r="F134">
        <v>8951</v>
      </c>
      <c r="G134">
        <v>9829</v>
      </c>
      <c r="H134">
        <v>9537</v>
      </c>
      <c r="I134">
        <v>3826</v>
      </c>
      <c r="J134">
        <v>3217</v>
      </c>
      <c r="K134">
        <v>1819</v>
      </c>
      <c r="L134">
        <v>40987</v>
      </c>
    </row>
    <row r="135" spans="1:12" x14ac:dyDescent="0.25">
      <c r="A135" t="s">
        <v>0</v>
      </c>
      <c r="B135" t="s">
        <v>2</v>
      </c>
      <c r="C135">
        <v>2014</v>
      </c>
      <c r="D135">
        <v>492</v>
      </c>
      <c r="E135">
        <v>3472</v>
      </c>
      <c r="F135">
        <v>9276</v>
      </c>
      <c r="G135">
        <v>9941</v>
      </c>
      <c r="H135">
        <v>9807</v>
      </c>
      <c r="I135">
        <v>3976</v>
      </c>
      <c r="J135">
        <v>3152</v>
      </c>
      <c r="K135">
        <v>1851</v>
      </c>
      <c r="L135">
        <v>41967</v>
      </c>
    </row>
    <row r="136" spans="1:12" x14ac:dyDescent="0.25">
      <c r="A136" t="s">
        <v>0</v>
      </c>
      <c r="B136" t="s">
        <v>2</v>
      </c>
      <c r="C136">
        <v>2015</v>
      </c>
      <c r="D136">
        <v>491</v>
      </c>
      <c r="E136">
        <v>3499</v>
      </c>
      <c r="F136">
        <v>9602</v>
      </c>
      <c r="G136">
        <v>9999</v>
      </c>
      <c r="H136">
        <v>9949</v>
      </c>
      <c r="I136">
        <v>4050</v>
      </c>
      <c r="J136">
        <v>3230</v>
      </c>
      <c r="K136">
        <v>1873</v>
      </c>
      <c r="L136">
        <v>42693</v>
      </c>
    </row>
    <row r="137" spans="1:12" x14ac:dyDescent="0.25">
      <c r="A137" t="s">
        <v>0</v>
      </c>
      <c r="B137" t="s">
        <v>2</v>
      </c>
      <c r="C137">
        <v>2016</v>
      </c>
      <c r="D137">
        <v>604</v>
      </c>
      <c r="E137">
        <v>3543</v>
      </c>
      <c r="F137">
        <v>10217</v>
      </c>
      <c r="G137">
        <v>10047</v>
      </c>
      <c r="H137">
        <v>10092</v>
      </c>
      <c r="I137">
        <v>4087</v>
      </c>
      <c r="J137">
        <v>3342</v>
      </c>
      <c r="K137">
        <v>1880</v>
      </c>
      <c r="L137">
        <v>43812</v>
      </c>
    </row>
    <row r="138" spans="1:12" x14ac:dyDescent="0.25">
      <c r="A138" t="s">
        <v>0</v>
      </c>
      <c r="B138" t="s">
        <v>2</v>
      </c>
      <c r="C138">
        <v>2017</v>
      </c>
      <c r="D138">
        <v>668</v>
      </c>
      <c r="E138">
        <v>3673</v>
      </c>
      <c r="F138">
        <v>10624</v>
      </c>
      <c r="G138">
        <v>9967</v>
      </c>
      <c r="H138">
        <v>10391</v>
      </c>
      <c r="I138">
        <v>4123</v>
      </c>
      <c r="J138">
        <v>3325</v>
      </c>
      <c r="K138">
        <v>2007</v>
      </c>
      <c r="L138">
        <v>44778</v>
      </c>
    </row>
    <row r="139" spans="1:12" x14ac:dyDescent="0.25">
      <c r="A139" t="s">
        <v>0</v>
      </c>
      <c r="B139" t="s">
        <v>2</v>
      </c>
      <c r="C139">
        <v>2018</v>
      </c>
      <c r="D139">
        <v>722</v>
      </c>
      <c r="E139">
        <v>3559</v>
      </c>
      <c r="F139">
        <v>11139</v>
      </c>
      <c r="G139">
        <v>10098</v>
      </c>
      <c r="H139">
        <v>10541</v>
      </c>
      <c r="I139">
        <v>4249</v>
      </c>
      <c r="J139">
        <v>3408</v>
      </c>
      <c r="K139">
        <v>2081</v>
      </c>
      <c r="L139">
        <v>45797</v>
      </c>
    </row>
    <row r="140" spans="1:12" x14ac:dyDescent="0.25">
      <c r="A140" t="s">
        <v>0</v>
      </c>
      <c r="B140" t="s">
        <v>2</v>
      </c>
      <c r="C140">
        <v>2019</v>
      </c>
      <c r="D140">
        <v>960</v>
      </c>
      <c r="E140">
        <v>3674</v>
      </c>
      <c r="F140">
        <v>11864</v>
      </c>
      <c r="G140">
        <v>10135</v>
      </c>
      <c r="H140">
        <v>10665</v>
      </c>
      <c r="I140">
        <v>4450</v>
      </c>
      <c r="J140">
        <v>3469</v>
      </c>
      <c r="K140">
        <v>2143</v>
      </c>
      <c r="L140">
        <v>47360</v>
      </c>
    </row>
    <row r="141" spans="1:12" x14ac:dyDescent="0.25">
      <c r="A141" t="s">
        <v>0</v>
      </c>
      <c r="B141" t="s">
        <v>2</v>
      </c>
      <c r="C141">
        <v>2020</v>
      </c>
      <c r="D141">
        <v>821</v>
      </c>
      <c r="E141">
        <v>3635</v>
      </c>
      <c r="F141">
        <v>11888</v>
      </c>
      <c r="G141">
        <v>10087</v>
      </c>
      <c r="H141">
        <v>10477</v>
      </c>
      <c r="I141">
        <v>4632</v>
      </c>
      <c r="J141">
        <v>3426</v>
      </c>
      <c r="K141">
        <v>2061</v>
      </c>
      <c r="L141">
        <v>47027</v>
      </c>
    </row>
    <row r="142" spans="1:12" x14ac:dyDescent="0.25">
      <c r="A142" t="s">
        <v>0</v>
      </c>
      <c r="B142" t="s">
        <v>2</v>
      </c>
      <c r="C142">
        <v>2021</v>
      </c>
      <c r="D142">
        <v>966</v>
      </c>
      <c r="E142">
        <v>3795</v>
      </c>
      <c r="F142">
        <v>11964</v>
      </c>
      <c r="G142">
        <v>10291</v>
      </c>
      <c r="H142">
        <v>10538</v>
      </c>
      <c r="I142">
        <v>4865</v>
      </c>
      <c r="J142">
        <v>3483</v>
      </c>
      <c r="K142">
        <v>2127</v>
      </c>
      <c r="L142">
        <v>48029</v>
      </c>
    </row>
    <row r="143" spans="1:12" x14ac:dyDescent="0.25">
      <c r="A143" t="s">
        <v>0</v>
      </c>
      <c r="B143" t="s">
        <v>2</v>
      </c>
      <c r="C143">
        <v>2022</v>
      </c>
      <c r="D143">
        <v>1122</v>
      </c>
      <c r="E143">
        <v>3999</v>
      </c>
      <c r="F143">
        <v>12145</v>
      </c>
      <c r="G143">
        <v>10493</v>
      </c>
      <c r="H143">
        <v>10553</v>
      </c>
      <c r="I143">
        <v>5181</v>
      </c>
      <c r="J143">
        <v>3588</v>
      </c>
      <c r="K143">
        <v>2239</v>
      </c>
      <c r="L143">
        <v>49320</v>
      </c>
    </row>
    <row r="144" spans="1:12" x14ac:dyDescent="0.25">
      <c r="A144" t="s">
        <v>0</v>
      </c>
      <c r="B144" t="s">
        <v>2</v>
      </c>
      <c r="C144">
        <v>2023</v>
      </c>
      <c r="D144">
        <v>1067</v>
      </c>
      <c r="E144">
        <v>4061</v>
      </c>
      <c r="F144">
        <v>12283</v>
      </c>
      <c r="G144">
        <v>10801</v>
      </c>
      <c r="H144">
        <v>10493</v>
      </c>
      <c r="I144">
        <v>5230</v>
      </c>
      <c r="J144">
        <v>3818</v>
      </c>
      <c r="K144">
        <v>2356</v>
      </c>
      <c r="L144">
        <v>50109</v>
      </c>
    </row>
    <row r="145" spans="1:12" x14ac:dyDescent="0.25">
      <c r="A145" t="s">
        <v>0</v>
      </c>
      <c r="B145" t="s">
        <v>2</v>
      </c>
      <c r="C145">
        <v>2024</v>
      </c>
      <c r="D145">
        <v>999</v>
      </c>
      <c r="E145">
        <v>3816</v>
      </c>
      <c r="F145">
        <v>12023</v>
      </c>
      <c r="G145">
        <v>10820</v>
      </c>
      <c r="H145">
        <v>10418</v>
      </c>
      <c r="I145">
        <v>5141</v>
      </c>
      <c r="J145">
        <v>4046</v>
      </c>
      <c r="K145">
        <v>2552</v>
      </c>
      <c r="L145">
        <v>49815</v>
      </c>
    </row>
    <row r="146" spans="1:12" x14ac:dyDescent="0.25">
      <c r="A146" t="s">
        <v>1</v>
      </c>
      <c r="B146" t="s">
        <v>51</v>
      </c>
      <c r="C146">
        <v>2001</v>
      </c>
      <c r="D146">
        <v>258</v>
      </c>
      <c r="E146">
        <v>179</v>
      </c>
      <c r="F146">
        <v>320</v>
      </c>
      <c r="G146">
        <v>727</v>
      </c>
      <c r="H146">
        <v>1054</v>
      </c>
      <c r="I146">
        <v>799</v>
      </c>
      <c r="J146">
        <v>479</v>
      </c>
      <c r="K146">
        <v>64</v>
      </c>
      <c r="L146">
        <v>3880</v>
      </c>
    </row>
    <row r="147" spans="1:12" x14ac:dyDescent="0.25">
      <c r="A147" t="s">
        <v>1</v>
      </c>
      <c r="B147" t="s">
        <v>51</v>
      </c>
      <c r="C147">
        <v>2002</v>
      </c>
      <c r="D147">
        <v>302</v>
      </c>
      <c r="E147">
        <v>175</v>
      </c>
      <c r="F147">
        <v>305</v>
      </c>
      <c r="G147">
        <v>619</v>
      </c>
      <c r="H147">
        <v>938</v>
      </c>
      <c r="I147">
        <v>747</v>
      </c>
      <c r="J147">
        <v>498</v>
      </c>
      <c r="K147">
        <v>86</v>
      </c>
      <c r="L147">
        <v>3670</v>
      </c>
    </row>
    <row r="148" spans="1:12" x14ac:dyDescent="0.25">
      <c r="A148" t="s">
        <v>1</v>
      </c>
      <c r="B148" t="s">
        <v>51</v>
      </c>
      <c r="C148">
        <v>2003</v>
      </c>
      <c r="D148">
        <v>254</v>
      </c>
      <c r="E148">
        <v>141</v>
      </c>
      <c r="F148">
        <v>305</v>
      </c>
      <c r="G148">
        <v>578</v>
      </c>
      <c r="H148">
        <v>888</v>
      </c>
      <c r="I148">
        <v>681</v>
      </c>
      <c r="J148">
        <v>523</v>
      </c>
      <c r="K148">
        <v>56</v>
      </c>
      <c r="L148">
        <v>3426</v>
      </c>
    </row>
    <row r="149" spans="1:12" x14ac:dyDescent="0.25">
      <c r="A149" t="s">
        <v>1</v>
      </c>
      <c r="B149" t="s">
        <v>51</v>
      </c>
      <c r="C149">
        <v>2004</v>
      </c>
      <c r="D149">
        <v>209</v>
      </c>
      <c r="E149">
        <v>135</v>
      </c>
      <c r="F149">
        <v>270</v>
      </c>
      <c r="G149">
        <v>501</v>
      </c>
      <c r="H149">
        <v>814</v>
      </c>
      <c r="I149">
        <v>627</v>
      </c>
      <c r="J149">
        <v>564</v>
      </c>
      <c r="K149">
        <v>84</v>
      </c>
      <c r="L149">
        <v>3204</v>
      </c>
    </row>
    <row r="150" spans="1:12" x14ac:dyDescent="0.25">
      <c r="A150" t="s">
        <v>1</v>
      </c>
      <c r="B150" t="s">
        <v>51</v>
      </c>
      <c r="C150">
        <v>2005</v>
      </c>
      <c r="D150">
        <v>215</v>
      </c>
      <c r="E150">
        <v>115</v>
      </c>
      <c r="F150">
        <v>245</v>
      </c>
      <c r="G150">
        <v>465</v>
      </c>
      <c r="H150">
        <v>769</v>
      </c>
      <c r="I150">
        <v>588</v>
      </c>
      <c r="J150">
        <v>571</v>
      </c>
      <c r="K150">
        <v>70</v>
      </c>
      <c r="L150">
        <v>3038</v>
      </c>
    </row>
    <row r="151" spans="1:12" x14ac:dyDescent="0.25">
      <c r="A151" t="s">
        <v>1</v>
      </c>
      <c r="B151" t="s">
        <v>51</v>
      </c>
      <c r="C151">
        <v>2006</v>
      </c>
      <c r="D151">
        <v>182</v>
      </c>
      <c r="E151">
        <v>140</v>
      </c>
      <c r="F151">
        <v>260</v>
      </c>
      <c r="G151">
        <v>440</v>
      </c>
      <c r="H151">
        <v>725</v>
      </c>
      <c r="I151">
        <v>499</v>
      </c>
      <c r="J151">
        <v>569</v>
      </c>
      <c r="K151">
        <v>79</v>
      </c>
      <c r="L151">
        <v>2894</v>
      </c>
    </row>
    <row r="152" spans="1:12" x14ac:dyDescent="0.25">
      <c r="A152" t="s">
        <v>1</v>
      </c>
      <c r="B152" t="s">
        <v>51</v>
      </c>
      <c r="C152">
        <v>2007</v>
      </c>
      <c r="D152">
        <v>173</v>
      </c>
      <c r="E152">
        <v>127</v>
      </c>
      <c r="F152">
        <v>256</v>
      </c>
      <c r="G152">
        <v>414</v>
      </c>
      <c r="H152">
        <v>715</v>
      </c>
      <c r="I152">
        <v>451</v>
      </c>
      <c r="J152">
        <v>566</v>
      </c>
      <c r="K152">
        <v>88</v>
      </c>
      <c r="L152">
        <v>2790</v>
      </c>
    </row>
    <row r="153" spans="1:12" x14ac:dyDescent="0.25">
      <c r="A153" t="s">
        <v>1</v>
      </c>
      <c r="B153" t="s">
        <v>51</v>
      </c>
      <c r="C153">
        <v>2008</v>
      </c>
      <c r="D153">
        <v>202</v>
      </c>
      <c r="E153">
        <v>138</v>
      </c>
      <c r="F153">
        <v>269</v>
      </c>
      <c r="G153">
        <v>394</v>
      </c>
      <c r="H153">
        <v>696</v>
      </c>
      <c r="I153">
        <v>417</v>
      </c>
      <c r="J153">
        <v>498</v>
      </c>
      <c r="K153">
        <v>110</v>
      </c>
      <c r="L153">
        <v>2724</v>
      </c>
    </row>
    <row r="154" spans="1:12" x14ac:dyDescent="0.25">
      <c r="A154" t="s">
        <v>1</v>
      </c>
      <c r="B154" t="s">
        <v>51</v>
      </c>
      <c r="C154">
        <v>2009</v>
      </c>
      <c r="D154">
        <v>192</v>
      </c>
      <c r="E154">
        <v>126</v>
      </c>
      <c r="F154">
        <v>264</v>
      </c>
      <c r="G154">
        <v>358</v>
      </c>
      <c r="H154">
        <v>655</v>
      </c>
      <c r="I154">
        <v>373</v>
      </c>
      <c r="J154">
        <v>473</v>
      </c>
      <c r="K154">
        <v>125</v>
      </c>
      <c r="L154">
        <v>2566</v>
      </c>
    </row>
    <row r="155" spans="1:12" x14ac:dyDescent="0.25">
      <c r="A155" t="s">
        <v>1</v>
      </c>
      <c r="B155" t="s">
        <v>51</v>
      </c>
      <c r="C155">
        <v>2010</v>
      </c>
      <c r="D155">
        <v>209</v>
      </c>
      <c r="E155">
        <v>119</v>
      </c>
      <c r="F155">
        <v>277</v>
      </c>
      <c r="G155">
        <v>317</v>
      </c>
      <c r="H155">
        <v>627</v>
      </c>
      <c r="I155">
        <v>357</v>
      </c>
      <c r="J155">
        <v>444</v>
      </c>
      <c r="K155">
        <v>100</v>
      </c>
      <c r="L155">
        <v>2450</v>
      </c>
    </row>
    <row r="156" spans="1:12" x14ac:dyDescent="0.25">
      <c r="A156" t="s">
        <v>1</v>
      </c>
      <c r="B156" t="s">
        <v>51</v>
      </c>
      <c r="C156">
        <v>2011</v>
      </c>
      <c r="D156">
        <v>191</v>
      </c>
      <c r="E156">
        <v>127</v>
      </c>
      <c r="F156">
        <v>280</v>
      </c>
      <c r="G156">
        <v>301</v>
      </c>
      <c r="H156">
        <v>604</v>
      </c>
      <c r="I156">
        <v>365</v>
      </c>
      <c r="J156">
        <v>379</v>
      </c>
      <c r="K156">
        <v>150</v>
      </c>
      <c r="L156">
        <v>2397</v>
      </c>
    </row>
    <row r="157" spans="1:12" x14ac:dyDescent="0.25">
      <c r="A157" t="s">
        <v>1</v>
      </c>
      <c r="B157" t="s">
        <v>51</v>
      </c>
      <c r="C157">
        <v>2012</v>
      </c>
      <c r="D157">
        <v>217</v>
      </c>
      <c r="E157">
        <v>143</v>
      </c>
      <c r="F157">
        <v>278</v>
      </c>
      <c r="G157">
        <v>309</v>
      </c>
      <c r="H157">
        <v>570</v>
      </c>
      <c r="I157">
        <v>356</v>
      </c>
      <c r="J157">
        <v>342</v>
      </c>
      <c r="K157">
        <v>141</v>
      </c>
      <c r="L157">
        <v>2356</v>
      </c>
    </row>
    <row r="158" spans="1:12" x14ac:dyDescent="0.25">
      <c r="A158" t="s">
        <v>1</v>
      </c>
      <c r="B158" t="s">
        <v>51</v>
      </c>
      <c r="C158">
        <v>2013</v>
      </c>
      <c r="D158">
        <v>214</v>
      </c>
      <c r="E158">
        <v>157</v>
      </c>
      <c r="F158">
        <v>256</v>
      </c>
      <c r="G158">
        <v>294</v>
      </c>
      <c r="H158">
        <v>531</v>
      </c>
      <c r="I158">
        <v>353</v>
      </c>
      <c r="J158">
        <v>313</v>
      </c>
      <c r="K158">
        <v>149</v>
      </c>
      <c r="L158">
        <v>2267</v>
      </c>
    </row>
    <row r="159" spans="1:12" x14ac:dyDescent="0.25">
      <c r="A159" t="s">
        <v>1</v>
      </c>
      <c r="B159" t="s">
        <v>51</v>
      </c>
      <c r="C159">
        <v>2014</v>
      </c>
      <c r="D159">
        <v>189</v>
      </c>
      <c r="E159">
        <v>157</v>
      </c>
      <c r="F159">
        <v>253</v>
      </c>
      <c r="G159">
        <v>300</v>
      </c>
      <c r="H159">
        <v>522</v>
      </c>
      <c r="I159">
        <v>343</v>
      </c>
      <c r="J159">
        <v>300</v>
      </c>
      <c r="K159">
        <v>148</v>
      </c>
      <c r="L159">
        <v>2212</v>
      </c>
    </row>
    <row r="160" spans="1:12" x14ac:dyDescent="0.25">
      <c r="A160" t="s">
        <v>1</v>
      </c>
      <c r="B160" t="s">
        <v>51</v>
      </c>
      <c r="C160">
        <v>2015</v>
      </c>
      <c r="D160">
        <v>202</v>
      </c>
      <c r="E160">
        <v>162</v>
      </c>
      <c r="F160">
        <v>306</v>
      </c>
      <c r="G160">
        <v>316</v>
      </c>
      <c r="H160">
        <v>504</v>
      </c>
      <c r="I160">
        <v>349</v>
      </c>
      <c r="J160">
        <v>279</v>
      </c>
      <c r="K160">
        <v>137</v>
      </c>
      <c r="L160">
        <v>2255</v>
      </c>
    </row>
    <row r="161" spans="1:12" x14ac:dyDescent="0.25">
      <c r="A161" t="s">
        <v>1</v>
      </c>
      <c r="B161" t="s">
        <v>51</v>
      </c>
      <c r="C161">
        <v>2016</v>
      </c>
      <c r="D161">
        <v>314</v>
      </c>
      <c r="E161">
        <v>174</v>
      </c>
      <c r="F161">
        <v>328</v>
      </c>
      <c r="G161">
        <v>360</v>
      </c>
      <c r="H161">
        <v>489</v>
      </c>
      <c r="I161">
        <v>317</v>
      </c>
      <c r="J161">
        <v>296</v>
      </c>
      <c r="K161">
        <v>113</v>
      </c>
      <c r="L161">
        <v>2391</v>
      </c>
    </row>
    <row r="162" spans="1:12" x14ac:dyDescent="0.25">
      <c r="A162" t="s">
        <v>1</v>
      </c>
      <c r="B162" t="s">
        <v>51</v>
      </c>
      <c r="C162">
        <v>2017</v>
      </c>
      <c r="D162">
        <v>322</v>
      </c>
      <c r="E162">
        <v>170</v>
      </c>
      <c r="F162">
        <v>325</v>
      </c>
      <c r="G162">
        <v>343</v>
      </c>
      <c r="H162">
        <v>448</v>
      </c>
      <c r="I162">
        <v>311</v>
      </c>
      <c r="J162">
        <v>304</v>
      </c>
      <c r="K162">
        <v>112</v>
      </c>
      <c r="L162">
        <v>2335</v>
      </c>
    </row>
    <row r="163" spans="1:12" x14ac:dyDescent="0.25">
      <c r="A163" t="s">
        <v>1</v>
      </c>
      <c r="B163" t="s">
        <v>51</v>
      </c>
      <c r="C163">
        <v>2018</v>
      </c>
      <c r="D163">
        <v>351</v>
      </c>
      <c r="E163">
        <v>160</v>
      </c>
      <c r="F163">
        <v>351</v>
      </c>
      <c r="G163">
        <v>350</v>
      </c>
      <c r="H163">
        <v>431</v>
      </c>
      <c r="I163">
        <v>289</v>
      </c>
      <c r="J163">
        <v>306</v>
      </c>
      <c r="K163">
        <v>119</v>
      </c>
      <c r="L163">
        <v>2357</v>
      </c>
    </row>
    <row r="164" spans="1:12" x14ac:dyDescent="0.25">
      <c r="A164" t="s">
        <v>1</v>
      </c>
      <c r="B164" t="s">
        <v>51</v>
      </c>
      <c r="C164">
        <v>2019</v>
      </c>
      <c r="D164">
        <v>720</v>
      </c>
      <c r="E164">
        <v>191</v>
      </c>
      <c r="F164">
        <v>359</v>
      </c>
      <c r="G164">
        <v>388</v>
      </c>
      <c r="H164">
        <v>430</v>
      </c>
      <c r="I164">
        <v>302</v>
      </c>
      <c r="J164">
        <v>289</v>
      </c>
      <c r="K164">
        <v>160</v>
      </c>
      <c r="L164">
        <v>2839</v>
      </c>
    </row>
    <row r="165" spans="1:12" x14ac:dyDescent="0.25">
      <c r="A165" t="s">
        <v>1</v>
      </c>
      <c r="B165" t="s">
        <v>51</v>
      </c>
      <c r="C165">
        <v>2020</v>
      </c>
      <c r="D165">
        <v>583</v>
      </c>
      <c r="E165">
        <v>159</v>
      </c>
      <c r="F165">
        <v>332</v>
      </c>
      <c r="G165">
        <v>362</v>
      </c>
      <c r="H165">
        <v>367</v>
      </c>
      <c r="I165">
        <v>291</v>
      </c>
      <c r="J165">
        <v>294</v>
      </c>
      <c r="K165">
        <v>120</v>
      </c>
      <c r="L165">
        <v>2508</v>
      </c>
    </row>
    <row r="166" spans="1:12" x14ac:dyDescent="0.25">
      <c r="A166" t="s">
        <v>1</v>
      </c>
      <c r="B166" t="s">
        <v>51</v>
      </c>
      <c r="C166">
        <v>2021</v>
      </c>
      <c r="D166">
        <v>706</v>
      </c>
      <c r="E166">
        <v>165</v>
      </c>
      <c r="F166">
        <v>325</v>
      </c>
      <c r="G166">
        <v>357</v>
      </c>
      <c r="H166">
        <v>368</v>
      </c>
      <c r="I166">
        <v>286</v>
      </c>
      <c r="J166">
        <v>255</v>
      </c>
      <c r="K166">
        <v>137</v>
      </c>
      <c r="L166">
        <v>2599</v>
      </c>
    </row>
    <row r="167" spans="1:12" x14ac:dyDescent="0.25">
      <c r="A167" t="s">
        <v>1</v>
      </c>
      <c r="B167" t="s">
        <v>51</v>
      </c>
      <c r="C167">
        <v>2022</v>
      </c>
      <c r="D167">
        <v>781</v>
      </c>
      <c r="E167">
        <v>174</v>
      </c>
      <c r="F167">
        <v>358</v>
      </c>
      <c r="G167">
        <v>376</v>
      </c>
      <c r="H167">
        <v>360</v>
      </c>
      <c r="I167">
        <v>257</v>
      </c>
      <c r="J167">
        <v>248</v>
      </c>
      <c r="K167">
        <v>132</v>
      </c>
      <c r="L167">
        <v>2686</v>
      </c>
    </row>
    <row r="168" spans="1:12" x14ac:dyDescent="0.25">
      <c r="A168" t="s">
        <v>1</v>
      </c>
      <c r="B168" t="s">
        <v>51</v>
      </c>
      <c r="C168">
        <v>2023</v>
      </c>
      <c r="D168">
        <v>878</v>
      </c>
      <c r="E168">
        <v>186</v>
      </c>
      <c r="F168">
        <v>376</v>
      </c>
      <c r="G168">
        <v>368</v>
      </c>
      <c r="H168">
        <v>383</v>
      </c>
      <c r="I168">
        <v>245</v>
      </c>
      <c r="J168">
        <v>222</v>
      </c>
      <c r="K168">
        <v>155</v>
      </c>
      <c r="L168">
        <v>2813</v>
      </c>
    </row>
    <row r="169" spans="1:12" x14ac:dyDescent="0.25">
      <c r="A169" t="s">
        <v>1</v>
      </c>
      <c r="B169" t="s">
        <v>51</v>
      </c>
      <c r="C169">
        <v>2024</v>
      </c>
      <c r="D169">
        <v>840</v>
      </c>
      <c r="E169">
        <v>130</v>
      </c>
      <c r="F169">
        <v>365</v>
      </c>
      <c r="G169">
        <v>367</v>
      </c>
      <c r="H169">
        <v>363</v>
      </c>
      <c r="I169">
        <v>220</v>
      </c>
      <c r="J169">
        <v>240</v>
      </c>
      <c r="K169">
        <v>143</v>
      </c>
      <c r="L169">
        <v>2668</v>
      </c>
    </row>
    <row r="170" spans="1:12" x14ac:dyDescent="0.25">
      <c r="A170" t="s">
        <v>1</v>
      </c>
      <c r="B170" t="s">
        <v>52</v>
      </c>
      <c r="C170">
        <v>2001</v>
      </c>
      <c r="D170">
        <v>359</v>
      </c>
      <c r="E170">
        <v>1673</v>
      </c>
      <c r="F170">
        <v>3617</v>
      </c>
      <c r="G170">
        <v>3855</v>
      </c>
      <c r="H170">
        <v>3439</v>
      </c>
      <c r="I170">
        <v>1427</v>
      </c>
      <c r="J170">
        <v>644</v>
      </c>
      <c r="K170">
        <v>72</v>
      </c>
      <c r="L170">
        <v>15086</v>
      </c>
    </row>
    <row r="171" spans="1:12" x14ac:dyDescent="0.25">
      <c r="A171" t="s">
        <v>1</v>
      </c>
      <c r="B171" t="s">
        <v>52</v>
      </c>
      <c r="C171">
        <v>2002</v>
      </c>
      <c r="D171">
        <v>388</v>
      </c>
      <c r="E171">
        <v>1667</v>
      </c>
      <c r="F171">
        <v>3434</v>
      </c>
      <c r="G171">
        <v>3946</v>
      </c>
      <c r="H171">
        <v>3417</v>
      </c>
      <c r="I171">
        <v>1439</v>
      </c>
      <c r="J171">
        <v>736</v>
      </c>
      <c r="K171">
        <v>104</v>
      </c>
      <c r="L171">
        <v>15131</v>
      </c>
    </row>
    <row r="172" spans="1:12" x14ac:dyDescent="0.25">
      <c r="A172" t="s">
        <v>1</v>
      </c>
      <c r="B172" t="s">
        <v>52</v>
      </c>
      <c r="C172">
        <v>2003</v>
      </c>
      <c r="D172">
        <v>354</v>
      </c>
      <c r="E172">
        <v>1580</v>
      </c>
      <c r="F172">
        <v>3192</v>
      </c>
      <c r="G172">
        <v>3882</v>
      </c>
      <c r="H172">
        <v>3362</v>
      </c>
      <c r="I172">
        <v>1529</v>
      </c>
      <c r="J172">
        <v>822</v>
      </c>
      <c r="K172">
        <v>78</v>
      </c>
      <c r="L172">
        <v>14799</v>
      </c>
    </row>
    <row r="173" spans="1:12" x14ac:dyDescent="0.25">
      <c r="A173" t="s">
        <v>1</v>
      </c>
      <c r="B173" t="s">
        <v>52</v>
      </c>
      <c r="C173">
        <v>2004</v>
      </c>
      <c r="D173">
        <v>327</v>
      </c>
      <c r="E173">
        <v>1546</v>
      </c>
      <c r="F173">
        <v>3073</v>
      </c>
      <c r="G173">
        <v>3850</v>
      </c>
      <c r="H173">
        <v>3336</v>
      </c>
      <c r="I173">
        <v>1563</v>
      </c>
      <c r="J173">
        <v>920</v>
      </c>
      <c r="K173">
        <v>129</v>
      </c>
      <c r="L173">
        <v>14744</v>
      </c>
    </row>
    <row r="174" spans="1:12" x14ac:dyDescent="0.25">
      <c r="A174" t="s">
        <v>1</v>
      </c>
      <c r="B174" t="s">
        <v>52</v>
      </c>
      <c r="C174">
        <v>2005</v>
      </c>
      <c r="D174">
        <v>334</v>
      </c>
      <c r="E174">
        <v>1548</v>
      </c>
      <c r="F174">
        <v>2918</v>
      </c>
      <c r="G174">
        <v>3896</v>
      </c>
      <c r="H174">
        <v>3431</v>
      </c>
      <c r="I174">
        <v>1559</v>
      </c>
      <c r="J174">
        <v>984</v>
      </c>
      <c r="K174">
        <v>143</v>
      </c>
      <c r="L174">
        <v>14813</v>
      </c>
    </row>
    <row r="175" spans="1:12" x14ac:dyDescent="0.25">
      <c r="A175" t="s">
        <v>1</v>
      </c>
      <c r="B175" t="s">
        <v>52</v>
      </c>
      <c r="C175">
        <v>2006</v>
      </c>
      <c r="D175">
        <v>389</v>
      </c>
      <c r="E175">
        <v>1646</v>
      </c>
      <c r="F175">
        <v>2856</v>
      </c>
      <c r="G175">
        <v>3955</v>
      </c>
      <c r="H175">
        <v>3462</v>
      </c>
      <c r="I175">
        <v>1598</v>
      </c>
      <c r="J175">
        <v>1061</v>
      </c>
      <c r="K175">
        <v>148</v>
      </c>
      <c r="L175">
        <v>15115</v>
      </c>
    </row>
    <row r="176" spans="1:12" x14ac:dyDescent="0.25">
      <c r="A176" t="s">
        <v>1</v>
      </c>
      <c r="B176" t="s">
        <v>52</v>
      </c>
      <c r="C176">
        <v>2007</v>
      </c>
      <c r="D176">
        <v>383</v>
      </c>
      <c r="E176">
        <v>1724</v>
      </c>
      <c r="F176">
        <v>2774</v>
      </c>
      <c r="G176">
        <v>3919</v>
      </c>
      <c r="H176">
        <v>3547</v>
      </c>
      <c r="I176">
        <v>1639</v>
      </c>
      <c r="J176">
        <v>1135</v>
      </c>
      <c r="K176">
        <v>182</v>
      </c>
      <c r="L176">
        <v>15303</v>
      </c>
    </row>
    <row r="177" spans="1:12" x14ac:dyDescent="0.25">
      <c r="A177" t="s">
        <v>1</v>
      </c>
      <c r="B177" t="s">
        <v>52</v>
      </c>
      <c r="C177">
        <v>2008</v>
      </c>
      <c r="D177">
        <v>341</v>
      </c>
      <c r="E177">
        <v>1692</v>
      </c>
      <c r="F177">
        <v>2649</v>
      </c>
      <c r="G177">
        <v>3899</v>
      </c>
      <c r="H177">
        <v>3511</v>
      </c>
      <c r="I177">
        <v>1623</v>
      </c>
      <c r="J177">
        <v>1198</v>
      </c>
      <c r="K177">
        <v>198</v>
      </c>
      <c r="L177">
        <v>15111</v>
      </c>
    </row>
    <row r="178" spans="1:12" x14ac:dyDescent="0.25">
      <c r="A178" t="s">
        <v>1</v>
      </c>
      <c r="B178" t="s">
        <v>52</v>
      </c>
      <c r="C178">
        <v>2009</v>
      </c>
      <c r="D178">
        <v>337</v>
      </c>
      <c r="E178">
        <v>1569</v>
      </c>
      <c r="F178">
        <v>2442</v>
      </c>
      <c r="G178">
        <v>3703</v>
      </c>
      <c r="H178">
        <v>3581</v>
      </c>
      <c r="I178">
        <v>1538</v>
      </c>
      <c r="J178">
        <v>1239</v>
      </c>
      <c r="K178">
        <v>234</v>
      </c>
      <c r="L178">
        <v>14643</v>
      </c>
    </row>
    <row r="179" spans="1:12" x14ac:dyDescent="0.25">
      <c r="A179" t="s">
        <v>1</v>
      </c>
      <c r="B179" t="s">
        <v>52</v>
      </c>
      <c r="C179">
        <v>2010</v>
      </c>
      <c r="D179">
        <v>373</v>
      </c>
      <c r="E179">
        <v>1673</v>
      </c>
      <c r="F179">
        <v>2379</v>
      </c>
      <c r="G179">
        <v>3528</v>
      </c>
      <c r="H179">
        <v>3714</v>
      </c>
      <c r="I179">
        <v>1562</v>
      </c>
      <c r="J179">
        <v>1235</v>
      </c>
      <c r="K179">
        <v>233</v>
      </c>
      <c r="L179">
        <v>14697</v>
      </c>
    </row>
    <row r="180" spans="1:12" x14ac:dyDescent="0.25">
      <c r="A180" t="s">
        <v>1</v>
      </c>
      <c r="B180" t="s">
        <v>52</v>
      </c>
      <c r="C180">
        <v>2011</v>
      </c>
      <c r="D180">
        <v>368</v>
      </c>
      <c r="E180">
        <v>1709</v>
      </c>
      <c r="F180">
        <v>2413</v>
      </c>
      <c r="G180">
        <v>3329</v>
      </c>
      <c r="H180">
        <v>3804</v>
      </c>
      <c r="I180">
        <v>1566</v>
      </c>
      <c r="J180">
        <v>1225</v>
      </c>
      <c r="K180">
        <v>277</v>
      </c>
      <c r="L180">
        <v>14691</v>
      </c>
    </row>
    <row r="181" spans="1:12" x14ac:dyDescent="0.25">
      <c r="A181" t="s">
        <v>1</v>
      </c>
      <c r="B181" t="s">
        <v>52</v>
      </c>
      <c r="C181">
        <v>2012</v>
      </c>
      <c r="D181">
        <v>402</v>
      </c>
      <c r="E181">
        <v>1782</v>
      </c>
      <c r="F181">
        <v>2389</v>
      </c>
      <c r="G181">
        <v>3210</v>
      </c>
      <c r="H181">
        <v>3880</v>
      </c>
      <c r="I181">
        <v>1599</v>
      </c>
      <c r="J181">
        <v>1262</v>
      </c>
      <c r="K181">
        <v>310</v>
      </c>
      <c r="L181">
        <v>14834</v>
      </c>
    </row>
    <row r="182" spans="1:12" x14ac:dyDescent="0.25">
      <c r="A182" t="s">
        <v>1</v>
      </c>
      <c r="B182" t="s">
        <v>52</v>
      </c>
      <c r="C182">
        <v>2013</v>
      </c>
      <c r="D182">
        <v>407</v>
      </c>
      <c r="E182">
        <v>1901</v>
      </c>
      <c r="F182">
        <v>2398</v>
      </c>
      <c r="G182">
        <v>3033</v>
      </c>
      <c r="H182">
        <v>3882</v>
      </c>
      <c r="I182">
        <v>1620</v>
      </c>
      <c r="J182">
        <v>1280</v>
      </c>
      <c r="K182">
        <v>382</v>
      </c>
      <c r="L182">
        <v>14903</v>
      </c>
    </row>
    <row r="183" spans="1:12" x14ac:dyDescent="0.25">
      <c r="A183" t="s">
        <v>1</v>
      </c>
      <c r="B183" t="s">
        <v>52</v>
      </c>
      <c r="C183">
        <v>2014</v>
      </c>
      <c r="D183">
        <v>356</v>
      </c>
      <c r="E183">
        <v>1954</v>
      </c>
      <c r="F183">
        <v>2519</v>
      </c>
      <c r="G183">
        <v>3027</v>
      </c>
      <c r="H183">
        <v>3923</v>
      </c>
      <c r="I183">
        <v>1669</v>
      </c>
      <c r="J183">
        <v>1310</v>
      </c>
      <c r="K183">
        <v>384</v>
      </c>
      <c r="L183">
        <v>15142</v>
      </c>
    </row>
    <row r="184" spans="1:12" x14ac:dyDescent="0.25">
      <c r="A184" t="s">
        <v>1</v>
      </c>
      <c r="B184" t="s">
        <v>52</v>
      </c>
      <c r="C184">
        <v>2015</v>
      </c>
      <c r="D184">
        <v>422</v>
      </c>
      <c r="E184">
        <v>2042</v>
      </c>
      <c r="F184">
        <v>2656</v>
      </c>
      <c r="G184">
        <v>2921</v>
      </c>
      <c r="H184">
        <v>3967</v>
      </c>
      <c r="I184">
        <v>1680</v>
      </c>
      <c r="J184">
        <v>1334</v>
      </c>
      <c r="K184">
        <v>416</v>
      </c>
      <c r="L184">
        <v>15438</v>
      </c>
    </row>
    <row r="185" spans="1:12" x14ac:dyDescent="0.25">
      <c r="A185" t="s">
        <v>1</v>
      </c>
      <c r="B185" t="s">
        <v>52</v>
      </c>
      <c r="C185">
        <v>2016</v>
      </c>
      <c r="D185">
        <v>402</v>
      </c>
      <c r="E185">
        <v>1984</v>
      </c>
      <c r="F185">
        <v>2789</v>
      </c>
      <c r="G185">
        <v>2769</v>
      </c>
      <c r="H185">
        <v>4013</v>
      </c>
      <c r="I185">
        <v>1679</v>
      </c>
      <c r="J185">
        <v>1337</v>
      </c>
      <c r="K185">
        <v>410</v>
      </c>
      <c r="L185">
        <v>15383</v>
      </c>
    </row>
    <row r="186" spans="1:12" x14ac:dyDescent="0.25">
      <c r="A186" t="s">
        <v>1</v>
      </c>
      <c r="B186" t="s">
        <v>52</v>
      </c>
      <c r="C186">
        <v>2017</v>
      </c>
      <c r="D186">
        <v>437</v>
      </c>
      <c r="E186">
        <v>1974</v>
      </c>
      <c r="F186">
        <v>2814</v>
      </c>
      <c r="G186">
        <v>2703</v>
      </c>
      <c r="H186">
        <v>3949</v>
      </c>
      <c r="I186">
        <v>1703</v>
      </c>
      <c r="J186">
        <v>1349</v>
      </c>
      <c r="K186">
        <v>479</v>
      </c>
      <c r="L186">
        <v>15408</v>
      </c>
    </row>
    <row r="187" spans="1:12" x14ac:dyDescent="0.25">
      <c r="A187" t="s">
        <v>1</v>
      </c>
      <c r="B187" t="s">
        <v>52</v>
      </c>
      <c r="C187">
        <v>2018</v>
      </c>
      <c r="D187">
        <v>432</v>
      </c>
      <c r="E187">
        <v>1927</v>
      </c>
      <c r="F187">
        <v>2864</v>
      </c>
      <c r="G187">
        <v>2636</v>
      </c>
      <c r="H187">
        <v>3887</v>
      </c>
      <c r="I187">
        <v>1755</v>
      </c>
      <c r="J187">
        <v>1406</v>
      </c>
      <c r="K187">
        <v>521</v>
      </c>
      <c r="L187">
        <v>15428</v>
      </c>
    </row>
    <row r="188" spans="1:12" x14ac:dyDescent="0.25">
      <c r="A188" t="s">
        <v>1</v>
      </c>
      <c r="B188" t="s">
        <v>52</v>
      </c>
      <c r="C188">
        <v>2019</v>
      </c>
      <c r="D188">
        <v>482</v>
      </c>
      <c r="E188">
        <v>1922</v>
      </c>
      <c r="F188">
        <v>2988</v>
      </c>
      <c r="G188">
        <v>2555</v>
      </c>
      <c r="H188">
        <v>3839</v>
      </c>
      <c r="I188">
        <v>1881</v>
      </c>
      <c r="J188">
        <v>1444</v>
      </c>
      <c r="K188">
        <v>705</v>
      </c>
      <c r="L188">
        <v>15816</v>
      </c>
    </row>
    <row r="189" spans="1:12" x14ac:dyDescent="0.25">
      <c r="A189" t="s">
        <v>1</v>
      </c>
      <c r="B189" t="s">
        <v>52</v>
      </c>
      <c r="C189">
        <v>2020</v>
      </c>
      <c r="D189">
        <v>502</v>
      </c>
      <c r="E189">
        <v>1881</v>
      </c>
      <c r="F189">
        <v>2953</v>
      </c>
      <c r="G189">
        <v>2475</v>
      </c>
      <c r="H189">
        <v>3633</v>
      </c>
      <c r="I189">
        <v>1934</v>
      </c>
      <c r="J189">
        <v>1402</v>
      </c>
      <c r="K189">
        <v>605</v>
      </c>
      <c r="L189">
        <v>15385</v>
      </c>
    </row>
    <row r="190" spans="1:12" x14ac:dyDescent="0.25">
      <c r="A190" t="s">
        <v>1</v>
      </c>
      <c r="B190" t="s">
        <v>52</v>
      </c>
      <c r="C190">
        <v>2021</v>
      </c>
      <c r="D190">
        <v>491</v>
      </c>
      <c r="E190">
        <v>1920</v>
      </c>
      <c r="F190">
        <v>2953</v>
      </c>
      <c r="G190">
        <v>2441</v>
      </c>
      <c r="H190">
        <v>3462</v>
      </c>
      <c r="I190">
        <v>2074</v>
      </c>
      <c r="J190">
        <v>1414</v>
      </c>
      <c r="K190">
        <v>639</v>
      </c>
      <c r="L190">
        <v>15394</v>
      </c>
    </row>
    <row r="191" spans="1:12" x14ac:dyDescent="0.25">
      <c r="A191" t="s">
        <v>1</v>
      </c>
      <c r="B191" t="s">
        <v>52</v>
      </c>
      <c r="C191">
        <v>2022</v>
      </c>
      <c r="D191">
        <v>530</v>
      </c>
      <c r="E191">
        <v>1879</v>
      </c>
      <c r="F191">
        <v>2952</v>
      </c>
      <c r="G191">
        <v>2429</v>
      </c>
      <c r="H191">
        <v>3306</v>
      </c>
      <c r="I191">
        <v>2071</v>
      </c>
      <c r="J191">
        <v>1481</v>
      </c>
      <c r="K191">
        <v>708</v>
      </c>
      <c r="L191">
        <v>15356</v>
      </c>
    </row>
    <row r="192" spans="1:12" x14ac:dyDescent="0.25">
      <c r="A192" t="s">
        <v>1</v>
      </c>
      <c r="B192" t="s">
        <v>52</v>
      </c>
      <c r="C192">
        <v>2023</v>
      </c>
      <c r="D192">
        <v>497</v>
      </c>
      <c r="E192">
        <v>1953</v>
      </c>
      <c r="F192">
        <v>2895</v>
      </c>
      <c r="G192">
        <v>2481</v>
      </c>
      <c r="H192">
        <v>3188</v>
      </c>
      <c r="I192">
        <v>2040</v>
      </c>
      <c r="J192">
        <v>1542</v>
      </c>
      <c r="K192">
        <v>772</v>
      </c>
      <c r="L192">
        <v>15368</v>
      </c>
    </row>
    <row r="193" spans="1:12" x14ac:dyDescent="0.25">
      <c r="A193" t="s">
        <v>1</v>
      </c>
      <c r="B193" t="s">
        <v>52</v>
      </c>
      <c r="C193">
        <v>2024</v>
      </c>
      <c r="D193">
        <v>507</v>
      </c>
      <c r="E193">
        <v>1934</v>
      </c>
      <c r="F193">
        <v>2782</v>
      </c>
      <c r="G193">
        <v>2451</v>
      </c>
      <c r="H193">
        <v>3024</v>
      </c>
      <c r="I193">
        <v>1961</v>
      </c>
      <c r="J193">
        <v>1607</v>
      </c>
      <c r="K193">
        <v>804</v>
      </c>
      <c r="L193">
        <v>15070</v>
      </c>
    </row>
    <row r="194" spans="1:12" x14ac:dyDescent="0.25">
      <c r="A194" t="s">
        <v>1</v>
      </c>
      <c r="B194" t="s">
        <v>53</v>
      </c>
      <c r="C194">
        <v>2001</v>
      </c>
      <c r="D194">
        <v>0</v>
      </c>
      <c r="E194">
        <v>439</v>
      </c>
      <c r="F194">
        <v>1140</v>
      </c>
      <c r="G194">
        <v>1514</v>
      </c>
      <c r="H194">
        <v>1389</v>
      </c>
      <c r="I194">
        <v>481</v>
      </c>
      <c r="J194">
        <v>239</v>
      </c>
      <c r="K194">
        <v>27</v>
      </c>
      <c r="L194">
        <v>5229</v>
      </c>
    </row>
    <row r="195" spans="1:12" x14ac:dyDescent="0.25">
      <c r="A195" t="s">
        <v>1</v>
      </c>
      <c r="B195" t="s">
        <v>53</v>
      </c>
      <c r="C195">
        <v>2002</v>
      </c>
      <c r="D195">
        <v>3</v>
      </c>
      <c r="E195">
        <v>434</v>
      </c>
      <c r="F195">
        <v>1041</v>
      </c>
      <c r="G195">
        <v>1538</v>
      </c>
      <c r="H195">
        <v>1421</v>
      </c>
      <c r="I195">
        <v>529</v>
      </c>
      <c r="J195">
        <v>279</v>
      </c>
      <c r="K195">
        <v>37</v>
      </c>
      <c r="L195">
        <v>5282</v>
      </c>
    </row>
    <row r="196" spans="1:12" x14ac:dyDescent="0.25">
      <c r="A196" t="s">
        <v>1</v>
      </c>
      <c r="B196" t="s">
        <v>53</v>
      </c>
      <c r="C196">
        <v>2003</v>
      </c>
      <c r="D196">
        <v>0</v>
      </c>
      <c r="E196">
        <v>361</v>
      </c>
      <c r="F196">
        <v>959</v>
      </c>
      <c r="G196">
        <v>1573</v>
      </c>
      <c r="H196">
        <v>1487</v>
      </c>
      <c r="I196">
        <v>568</v>
      </c>
      <c r="J196">
        <v>294</v>
      </c>
      <c r="K196">
        <v>41</v>
      </c>
      <c r="L196">
        <v>5283</v>
      </c>
    </row>
    <row r="197" spans="1:12" x14ac:dyDescent="0.25">
      <c r="A197" t="s">
        <v>1</v>
      </c>
      <c r="B197" t="s">
        <v>53</v>
      </c>
      <c r="C197">
        <v>2004</v>
      </c>
      <c r="D197">
        <v>0</v>
      </c>
      <c r="E197">
        <v>386</v>
      </c>
      <c r="F197">
        <v>883</v>
      </c>
      <c r="G197">
        <v>1577</v>
      </c>
      <c r="H197">
        <v>1466</v>
      </c>
      <c r="I197">
        <v>595</v>
      </c>
      <c r="J197">
        <v>346</v>
      </c>
      <c r="K197">
        <v>48</v>
      </c>
      <c r="L197">
        <v>5301</v>
      </c>
    </row>
    <row r="198" spans="1:12" x14ac:dyDescent="0.25">
      <c r="A198" t="s">
        <v>1</v>
      </c>
      <c r="B198" t="s">
        <v>53</v>
      </c>
      <c r="C198">
        <v>2005</v>
      </c>
      <c r="D198">
        <v>1</v>
      </c>
      <c r="E198">
        <v>353</v>
      </c>
      <c r="F198">
        <v>803</v>
      </c>
      <c r="G198">
        <v>1563</v>
      </c>
      <c r="H198">
        <v>1437</v>
      </c>
      <c r="I198">
        <v>632</v>
      </c>
      <c r="J198">
        <v>377</v>
      </c>
      <c r="K198">
        <v>60</v>
      </c>
      <c r="L198">
        <v>5226</v>
      </c>
    </row>
    <row r="199" spans="1:12" x14ac:dyDescent="0.25">
      <c r="A199" t="s">
        <v>1</v>
      </c>
      <c r="B199" t="s">
        <v>53</v>
      </c>
      <c r="C199">
        <v>2006</v>
      </c>
      <c r="D199">
        <v>1</v>
      </c>
      <c r="E199">
        <v>470</v>
      </c>
      <c r="F199">
        <v>788</v>
      </c>
      <c r="G199">
        <v>1540</v>
      </c>
      <c r="H199">
        <v>1418</v>
      </c>
      <c r="I199">
        <v>658</v>
      </c>
      <c r="J199">
        <v>379</v>
      </c>
      <c r="K199">
        <v>70</v>
      </c>
      <c r="L199">
        <v>5324</v>
      </c>
    </row>
    <row r="200" spans="1:12" x14ac:dyDescent="0.25">
      <c r="A200" t="s">
        <v>1</v>
      </c>
      <c r="B200" t="s">
        <v>53</v>
      </c>
      <c r="C200">
        <v>2007</v>
      </c>
      <c r="D200">
        <v>2</v>
      </c>
      <c r="E200">
        <v>532</v>
      </c>
      <c r="F200">
        <v>736</v>
      </c>
      <c r="G200">
        <v>1496</v>
      </c>
      <c r="H200">
        <v>1427</v>
      </c>
      <c r="I200">
        <v>659</v>
      </c>
      <c r="J200">
        <v>426</v>
      </c>
      <c r="K200">
        <v>82</v>
      </c>
      <c r="L200">
        <v>5360</v>
      </c>
    </row>
    <row r="201" spans="1:12" x14ac:dyDescent="0.25">
      <c r="A201" t="s">
        <v>1</v>
      </c>
      <c r="B201" t="s">
        <v>53</v>
      </c>
      <c r="C201">
        <v>2008</v>
      </c>
      <c r="D201">
        <v>0</v>
      </c>
      <c r="E201">
        <v>456</v>
      </c>
      <c r="F201">
        <v>766</v>
      </c>
      <c r="G201">
        <v>1466</v>
      </c>
      <c r="H201">
        <v>1434</v>
      </c>
      <c r="I201">
        <v>683</v>
      </c>
      <c r="J201">
        <v>482</v>
      </c>
      <c r="K201">
        <v>98</v>
      </c>
      <c r="L201">
        <v>5385</v>
      </c>
    </row>
    <row r="202" spans="1:12" x14ac:dyDescent="0.25">
      <c r="A202" t="s">
        <v>1</v>
      </c>
      <c r="B202" t="s">
        <v>53</v>
      </c>
      <c r="C202">
        <v>2009</v>
      </c>
      <c r="D202">
        <v>2</v>
      </c>
      <c r="E202">
        <v>439</v>
      </c>
      <c r="F202">
        <v>731</v>
      </c>
      <c r="G202">
        <v>1385</v>
      </c>
      <c r="H202">
        <v>1465</v>
      </c>
      <c r="I202">
        <v>670</v>
      </c>
      <c r="J202">
        <v>534</v>
      </c>
      <c r="K202">
        <v>127</v>
      </c>
      <c r="L202">
        <v>5353</v>
      </c>
    </row>
    <row r="203" spans="1:12" x14ac:dyDescent="0.25">
      <c r="A203" t="s">
        <v>1</v>
      </c>
      <c r="B203" t="s">
        <v>53</v>
      </c>
      <c r="C203">
        <v>2010</v>
      </c>
      <c r="D203">
        <v>2</v>
      </c>
      <c r="E203">
        <v>547</v>
      </c>
      <c r="F203">
        <v>822</v>
      </c>
      <c r="G203">
        <v>1340</v>
      </c>
      <c r="H203">
        <v>1465</v>
      </c>
      <c r="I203">
        <v>692</v>
      </c>
      <c r="J203">
        <v>566</v>
      </c>
      <c r="K203">
        <v>131</v>
      </c>
      <c r="L203">
        <v>5565</v>
      </c>
    </row>
    <row r="204" spans="1:12" x14ac:dyDescent="0.25">
      <c r="A204" t="s">
        <v>1</v>
      </c>
      <c r="B204" t="s">
        <v>53</v>
      </c>
      <c r="C204">
        <v>2011</v>
      </c>
      <c r="D204">
        <v>7</v>
      </c>
      <c r="E204">
        <v>485</v>
      </c>
      <c r="F204">
        <v>845</v>
      </c>
      <c r="G204">
        <v>1247</v>
      </c>
      <c r="H204">
        <v>1518</v>
      </c>
      <c r="I204">
        <v>659</v>
      </c>
      <c r="J204">
        <v>565</v>
      </c>
      <c r="K204">
        <v>145</v>
      </c>
      <c r="L204">
        <v>5471</v>
      </c>
    </row>
    <row r="205" spans="1:12" x14ac:dyDescent="0.25">
      <c r="A205" t="s">
        <v>1</v>
      </c>
      <c r="B205" t="s">
        <v>53</v>
      </c>
      <c r="C205">
        <v>2012</v>
      </c>
      <c r="D205">
        <v>1</v>
      </c>
      <c r="E205">
        <v>571</v>
      </c>
      <c r="F205">
        <v>906</v>
      </c>
      <c r="G205">
        <v>1198</v>
      </c>
      <c r="H205">
        <v>1540</v>
      </c>
      <c r="I205">
        <v>671</v>
      </c>
      <c r="J205">
        <v>558</v>
      </c>
      <c r="K205">
        <v>175</v>
      </c>
      <c r="L205">
        <v>5620</v>
      </c>
    </row>
    <row r="206" spans="1:12" x14ac:dyDescent="0.25">
      <c r="A206" t="s">
        <v>1</v>
      </c>
      <c r="B206" t="s">
        <v>53</v>
      </c>
      <c r="C206">
        <v>2013</v>
      </c>
      <c r="D206">
        <v>3</v>
      </c>
      <c r="E206">
        <v>635</v>
      </c>
      <c r="F206">
        <v>943</v>
      </c>
      <c r="G206">
        <v>1155</v>
      </c>
      <c r="H206">
        <v>1551</v>
      </c>
      <c r="I206">
        <v>660</v>
      </c>
      <c r="J206">
        <v>572</v>
      </c>
      <c r="K206">
        <v>188</v>
      </c>
      <c r="L206">
        <v>5707</v>
      </c>
    </row>
    <row r="207" spans="1:12" x14ac:dyDescent="0.25">
      <c r="A207" t="s">
        <v>1</v>
      </c>
      <c r="B207" t="s">
        <v>53</v>
      </c>
      <c r="C207">
        <v>2014</v>
      </c>
      <c r="D207">
        <v>5</v>
      </c>
      <c r="E207">
        <v>627</v>
      </c>
      <c r="F207">
        <v>1037</v>
      </c>
      <c r="G207">
        <v>1127</v>
      </c>
      <c r="H207">
        <v>1608</v>
      </c>
      <c r="I207">
        <v>651</v>
      </c>
      <c r="J207">
        <v>563</v>
      </c>
      <c r="K207">
        <v>198</v>
      </c>
      <c r="L207">
        <v>5816</v>
      </c>
    </row>
    <row r="208" spans="1:12" x14ac:dyDescent="0.25">
      <c r="A208" t="s">
        <v>1</v>
      </c>
      <c r="B208" t="s">
        <v>53</v>
      </c>
      <c r="C208">
        <v>2015</v>
      </c>
      <c r="D208">
        <v>0</v>
      </c>
      <c r="E208">
        <v>731</v>
      </c>
      <c r="F208">
        <v>1141</v>
      </c>
      <c r="G208">
        <v>1077</v>
      </c>
      <c r="H208">
        <v>1610</v>
      </c>
      <c r="I208">
        <v>645</v>
      </c>
      <c r="J208">
        <v>541</v>
      </c>
      <c r="K208">
        <v>213</v>
      </c>
      <c r="L208">
        <v>5958</v>
      </c>
    </row>
    <row r="209" spans="1:12" x14ac:dyDescent="0.25">
      <c r="A209" t="s">
        <v>1</v>
      </c>
      <c r="B209" t="s">
        <v>53</v>
      </c>
      <c r="C209">
        <v>2016</v>
      </c>
      <c r="D209">
        <v>2</v>
      </c>
      <c r="E209">
        <v>828</v>
      </c>
      <c r="F209">
        <v>1258</v>
      </c>
      <c r="G209">
        <v>1057</v>
      </c>
      <c r="H209">
        <v>1612</v>
      </c>
      <c r="I209">
        <v>671</v>
      </c>
      <c r="J209">
        <v>541</v>
      </c>
      <c r="K209">
        <v>221</v>
      </c>
      <c r="L209">
        <v>6190</v>
      </c>
    </row>
    <row r="210" spans="1:12" x14ac:dyDescent="0.25">
      <c r="A210" t="s">
        <v>1</v>
      </c>
      <c r="B210" t="s">
        <v>53</v>
      </c>
      <c r="C210">
        <v>2017</v>
      </c>
      <c r="D210">
        <v>0</v>
      </c>
      <c r="E210">
        <v>799</v>
      </c>
      <c r="F210">
        <v>1367</v>
      </c>
      <c r="G210">
        <v>1054</v>
      </c>
      <c r="H210">
        <v>1592</v>
      </c>
      <c r="I210">
        <v>697</v>
      </c>
      <c r="J210">
        <v>556</v>
      </c>
      <c r="K210">
        <v>219</v>
      </c>
      <c r="L210">
        <v>6284</v>
      </c>
    </row>
    <row r="211" spans="1:12" x14ac:dyDescent="0.25">
      <c r="A211" t="s">
        <v>1</v>
      </c>
      <c r="B211" t="s">
        <v>53</v>
      </c>
      <c r="C211">
        <v>2018</v>
      </c>
      <c r="D211">
        <v>1</v>
      </c>
      <c r="E211">
        <v>595</v>
      </c>
      <c r="F211">
        <v>1530</v>
      </c>
      <c r="G211">
        <v>1109</v>
      </c>
      <c r="H211">
        <v>1579</v>
      </c>
      <c r="I211">
        <v>717</v>
      </c>
      <c r="J211">
        <v>559</v>
      </c>
      <c r="K211">
        <v>240</v>
      </c>
      <c r="L211">
        <v>6330</v>
      </c>
    </row>
    <row r="212" spans="1:12" x14ac:dyDescent="0.25">
      <c r="A212" t="s">
        <v>1</v>
      </c>
      <c r="B212" t="s">
        <v>53</v>
      </c>
      <c r="C212">
        <v>2019</v>
      </c>
      <c r="D212">
        <v>1</v>
      </c>
      <c r="E212">
        <v>816</v>
      </c>
      <c r="F212">
        <v>1703</v>
      </c>
      <c r="G212">
        <v>1127</v>
      </c>
      <c r="H212">
        <v>1541</v>
      </c>
      <c r="I212">
        <v>782</v>
      </c>
      <c r="J212">
        <v>561</v>
      </c>
      <c r="K212">
        <v>314</v>
      </c>
      <c r="L212">
        <v>6845</v>
      </c>
    </row>
    <row r="213" spans="1:12" x14ac:dyDescent="0.25">
      <c r="A213" t="s">
        <v>1</v>
      </c>
      <c r="B213" t="s">
        <v>53</v>
      </c>
      <c r="C213">
        <v>2020</v>
      </c>
      <c r="D213">
        <v>2</v>
      </c>
      <c r="E213">
        <v>747</v>
      </c>
      <c r="F213">
        <v>1719</v>
      </c>
      <c r="G213">
        <v>1174</v>
      </c>
      <c r="H213">
        <v>1500</v>
      </c>
      <c r="I213">
        <v>825</v>
      </c>
      <c r="J213">
        <v>566</v>
      </c>
      <c r="K213">
        <v>284</v>
      </c>
      <c r="L213">
        <v>6817</v>
      </c>
    </row>
    <row r="214" spans="1:12" x14ac:dyDescent="0.25">
      <c r="A214" t="s">
        <v>1</v>
      </c>
      <c r="B214" t="s">
        <v>53</v>
      </c>
      <c r="C214">
        <v>2021</v>
      </c>
      <c r="D214">
        <v>1</v>
      </c>
      <c r="E214">
        <v>774</v>
      </c>
      <c r="F214">
        <v>1696</v>
      </c>
      <c r="G214">
        <v>1253</v>
      </c>
      <c r="H214">
        <v>1472</v>
      </c>
      <c r="I214">
        <v>897</v>
      </c>
      <c r="J214">
        <v>598</v>
      </c>
      <c r="K214">
        <v>322</v>
      </c>
      <c r="L214">
        <v>7013</v>
      </c>
    </row>
    <row r="215" spans="1:12" x14ac:dyDescent="0.25">
      <c r="A215" t="s">
        <v>1</v>
      </c>
      <c r="B215" t="s">
        <v>53</v>
      </c>
      <c r="C215">
        <v>2022</v>
      </c>
      <c r="D215">
        <v>2</v>
      </c>
      <c r="E215">
        <v>985</v>
      </c>
      <c r="F215">
        <v>1800</v>
      </c>
      <c r="G215">
        <v>1359</v>
      </c>
      <c r="H215">
        <v>1451</v>
      </c>
      <c r="I215">
        <v>912</v>
      </c>
      <c r="J215">
        <v>641</v>
      </c>
      <c r="K215">
        <v>324</v>
      </c>
      <c r="L215">
        <v>7474</v>
      </c>
    </row>
    <row r="216" spans="1:12" x14ac:dyDescent="0.25">
      <c r="A216" t="s">
        <v>1</v>
      </c>
      <c r="B216" t="s">
        <v>53</v>
      </c>
      <c r="C216">
        <v>2023</v>
      </c>
      <c r="D216">
        <v>0</v>
      </c>
      <c r="E216">
        <v>1025</v>
      </c>
      <c r="F216">
        <v>1799</v>
      </c>
      <c r="G216">
        <v>1463</v>
      </c>
      <c r="H216">
        <v>1431</v>
      </c>
      <c r="I216">
        <v>921</v>
      </c>
      <c r="J216">
        <v>657</v>
      </c>
      <c r="K216">
        <v>377</v>
      </c>
      <c r="L216">
        <v>7673</v>
      </c>
    </row>
    <row r="217" spans="1:12" x14ac:dyDescent="0.25">
      <c r="A217" t="s">
        <v>1</v>
      </c>
      <c r="B217" t="s">
        <v>53</v>
      </c>
      <c r="C217">
        <v>2024</v>
      </c>
      <c r="D217">
        <v>3</v>
      </c>
      <c r="E217">
        <v>846</v>
      </c>
      <c r="F217">
        <v>1753</v>
      </c>
      <c r="G217">
        <v>1556</v>
      </c>
      <c r="H217">
        <v>1376</v>
      </c>
      <c r="I217">
        <v>886</v>
      </c>
      <c r="J217">
        <v>696</v>
      </c>
      <c r="K217">
        <v>385</v>
      </c>
      <c r="L217">
        <v>7501</v>
      </c>
    </row>
    <row r="218" spans="1:12" x14ac:dyDescent="0.25">
      <c r="A218" t="s">
        <v>1</v>
      </c>
      <c r="B218" t="s">
        <v>54</v>
      </c>
      <c r="C218">
        <v>2001</v>
      </c>
      <c r="D218">
        <v>0</v>
      </c>
      <c r="E218">
        <v>253</v>
      </c>
      <c r="F218">
        <v>2337</v>
      </c>
      <c r="G218">
        <v>1855</v>
      </c>
      <c r="H218">
        <v>1744</v>
      </c>
      <c r="I218">
        <v>714</v>
      </c>
      <c r="J218">
        <v>366</v>
      </c>
      <c r="K218">
        <v>54</v>
      </c>
      <c r="L218">
        <v>7323</v>
      </c>
    </row>
    <row r="219" spans="1:12" x14ac:dyDescent="0.25">
      <c r="A219" t="s">
        <v>1</v>
      </c>
      <c r="B219" t="s">
        <v>54</v>
      </c>
      <c r="C219">
        <v>2002</v>
      </c>
      <c r="D219">
        <v>0</v>
      </c>
      <c r="E219">
        <v>251</v>
      </c>
      <c r="F219">
        <v>2626</v>
      </c>
      <c r="G219">
        <v>1957</v>
      </c>
      <c r="H219">
        <v>1758</v>
      </c>
      <c r="I219">
        <v>746</v>
      </c>
      <c r="J219">
        <v>417</v>
      </c>
      <c r="K219">
        <v>65</v>
      </c>
      <c r="L219">
        <v>7820</v>
      </c>
    </row>
    <row r="220" spans="1:12" x14ac:dyDescent="0.25">
      <c r="A220" t="s">
        <v>1</v>
      </c>
      <c r="B220" t="s">
        <v>54</v>
      </c>
      <c r="C220">
        <v>2003</v>
      </c>
      <c r="D220">
        <v>0</v>
      </c>
      <c r="E220">
        <v>199</v>
      </c>
      <c r="F220">
        <v>2793</v>
      </c>
      <c r="G220">
        <v>2027</v>
      </c>
      <c r="H220">
        <v>1762</v>
      </c>
      <c r="I220">
        <v>797</v>
      </c>
      <c r="J220">
        <v>442</v>
      </c>
      <c r="K220">
        <v>72</v>
      </c>
      <c r="L220">
        <v>8092</v>
      </c>
    </row>
    <row r="221" spans="1:12" x14ac:dyDescent="0.25">
      <c r="A221" t="s">
        <v>1</v>
      </c>
      <c r="B221" t="s">
        <v>54</v>
      </c>
      <c r="C221">
        <v>2004</v>
      </c>
      <c r="D221">
        <v>0</v>
      </c>
      <c r="E221">
        <v>222</v>
      </c>
      <c r="F221">
        <v>2936</v>
      </c>
      <c r="G221">
        <v>2157</v>
      </c>
      <c r="H221">
        <v>1787</v>
      </c>
      <c r="I221">
        <v>825</v>
      </c>
      <c r="J221">
        <v>522</v>
      </c>
      <c r="K221">
        <v>84</v>
      </c>
      <c r="L221">
        <v>8533</v>
      </c>
    </row>
    <row r="222" spans="1:12" x14ac:dyDescent="0.25">
      <c r="A222" t="s">
        <v>1</v>
      </c>
      <c r="B222" t="s">
        <v>54</v>
      </c>
      <c r="C222">
        <v>2005</v>
      </c>
      <c r="D222">
        <v>0</v>
      </c>
      <c r="E222">
        <v>223</v>
      </c>
      <c r="F222">
        <v>3143</v>
      </c>
      <c r="G222">
        <v>2363</v>
      </c>
      <c r="H222">
        <v>1868</v>
      </c>
      <c r="I222">
        <v>830</v>
      </c>
      <c r="J222">
        <v>581</v>
      </c>
      <c r="K222">
        <v>91</v>
      </c>
      <c r="L222">
        <v>9099</v>
      </c>
    </row>
    <row r="223" spans="1:12" x14ac:dyDescent="0.25">
      <c r="A223" t="s">
        <v>1</v>
      </c>
      <c r="B223" t="s">
        <v>54</v>
      </c>
      <c r="C223">
        <v>2006</v>
      </c>
      <c r="D223">
        <v>0</v>
      </c>
      <c r="E223">
        <v>258</v>
      </c>
      <c r="F223">
        <v>3414</v>
      </c>
      <c r="G223">
        <v>2543</v>
      </c>
      <c r="H223">
        <v>1896</v>
      </c>
      <c r="I223">
        <v>867</v>
      </c>
      <c r="J223">
        <v>614</v>
      </c>
      <c r="K223">
        <v>108</v>
      </c>
      <c r="L223">
        <v>9700</v>
      </c>
    </row>
    <row r="224" spans="1:12" x14ac:dyDescent="0.25">
      <c r="A224" t="s">
        <v>1</v>
      </c>
      <c r="B224" t="s">
        <v>54</v>
      </c>
      <c r="C224">
        <v>2007</v>
      </c>
      <c r="D224">
        <v>0</v>
      </c>
      <c r="E224">
        <v>296</v>
      </c>
      <c r="F224">
        <v>3538</v>
      </c>
      <c r="G224">
        <v>2733</v>
      </c>
      <c r="H224">
        <v>1978</v>
      </c>
      <c r="I224">
        <v>864</v>
      </c>
      <c r="J224">
        <v>657</v>
      </c>
      <c r="K224">
        <v>139</v>
      </c>
      <c r="L224">
        <v>10205</v>
      </c>
    </row>
    <row r="225" spans="1:12" x14ac:dyDescent="0.25">
      <c r="A225" t="s">
        <v>1</v>
      </c>
      <c r="B225" t="s">
        <v>54</v>
      </c>
      <c r="C225">
        <v>2008</v>
      </c>
      <c r="D225">
        <v>0</v>
      </c>
      <c r="E225">
        <v>256</v>
      </c>
      <c r="F225">
        <v>3606</v>
      </c>
      <c r="G225">
        <v>2983</v>
      </c>
      <c r="H225">
        <v>2036</v>
      </c>
      <c r="I225">
        <v>890</v>
      </c>
      <c r="J225">
        <v>715</v>
      </c>
      <c r="K225">
        <v>155</v>
      </c>
      <c r="L225">
        <v>10641</v>
      </c>
    </row>
    <row r="226" spans="1:12" x14ac:dyDescent="0.25">
      <c r="A226" t="s">
        <v>1</v>
      </c>
      <c r="B226" t="s">
        <v>54</v>
      </c>
      <c r="C226">
        <v>2009</v>
      </c>
      <c r="D226">
        <v>0</v>
      </c>
      <c r="E226">
        <v>294</v>
      </c>
      <c r="F226">
        <v>3584</v>
      </c>
      <c r="G226">
        <v>3235</v>
      </c>
      <c r="H226">
        <v>2136</v>
      </c>
      <c r="I226">
        <v>854</v>
      </c>
      <c r="J226">
        <v>752</v>
      </c>
      <c r="K226">
        <v>206</v>
      </c>
      <c r="L226">
        <v>11061</v>
      </c>
    </row>
    <row r="227" spans="1:12" x14ac:dyDescent="0.25">
      <c r="A227" t="s">
        <v>1</v>
      </c>
      <c r="B227" t="s">
        <v>54</v>
      </c>
      <c r="C227">
        <v>2010</v>
      </c>
      <c r="D227">
        <v>0</v>
      </c>
      <c r="E227">
        <v>304</v>
      </c>
      <c r="F227">
        <v>3711</v>
      </c>
      <c r="G227">
        <v>3473</v>
      </c>
      <c r="H227">
        <v>2273</v>
      </c>
      <c r="I227">
        <v>872</v>
      </c>
      <c r="J227">
        <v>770</v>
      </c>
      <c r="K227">
        <v>230</v>
      </c>
      <c r="L227">
        <v>11633</v>
      </c>
    </row>
    <row r="228" spans="1:12" x14ac:dyDescent="0.25">
      <c r="A228" t="s">
        <v>1</v>
      </c>
      <c r="B228" t="s">
        <v>54</v>
      </c>
      <c r="C228">
        <v>2011</v>
      </c>
      <c r="D228">
        <v>0</v>
      </c>
      <c r="E228">
        <v>328</v>
      </c>
      <c r="F228">
        <v>3701</v>
      </c>
      <c r="G228">
        <v>3735</v>
      </c>
      <c r="H228">
        <v>2383</v>
      </c>
      <c r="I228">
        <v>902</v>
      </c>
      <c r="J228">
        <v>778</v>
      </c>
      <c r="K228">
        <v>269</v>
      </c>
      <c r="L228">
        <v>12096</v>
      </c>
    </row>
    <row r="229" spans="1:12" x14ac:dyDescent="0.25">
      <c r="A229" t="s">
        <v>1</v>
      </c>
      <c r="B229" t="s">
        <v>54</v>
      </c>
      <c r="C229">
        <v>2012</v>
      </c>
      <c r="D229">
        <v>0</v>
      </c>
      <c r="E229">
        <v>372</v>
      </c>
      <c r="F229">
        <v>3808</v>
      </c>
      <c r="G229">
        <v>3906</v>
      </c>
      <c r="H229">
        <v>2508</v>
      </c>
      <c r="I229">
        <v>924</v>
      </c>
      <c r="J229">
        <v>797</v>
      </c>
      <c r="K229">
        <v>308</v>
      </c>
      <c r="L229">
        <v>12623</v>
      </c>
    </row>
    <row r="230" spans="1:12" x14ac:dyDescent="0.25">
      <c r="A230" t="s">
        <v>1</v>
      </c>
      <c r="B230" t="s">
        <v>54</v>
      </c>
      <c r="C230">
        <v>2013</v>
      </c>
      <c r="D230">
        <v>0</v>
      </c>
      <c r="E230">
        <v>436</v>
      </c>
      <c r="F230">
        <v>3863</v>
      </c>
      <c r="G230">
        <v>4161</v>
      </c>
      <c r="H230">
        <v>2613</v>
      </c>
      <c r="I230">
        <v>956</v>
      </c>
      <c r="J230">
        <v>829</v>
      </c>
      <c r="K230">
        <v>356</v>
      </c>
      <c r="L230">
        <v>13214</v>
      </c>
    </row>
    <row r="231" spans="1:12" x14ac:dyDescent="0.25">
      <c r="A231" t="s">
        <v>1</v>
      </c>
      <c r="B231" t="s">
        <v>54</v>
      </c>
      <c r="C231">
        <v>2014</v>
      </c>
      <c r="D231">
        <v>0</v>
      </c>
      <c r="E231">
        <v>421</v>
      </c>
      <c r="F231">
        <v>3944</v>
      </c>
      <c r="G231">
        <v>4418</v>
      </c>
      <c r="H231">
        <v>2801</v>
      </c>
      <c r="I231">
        <v>1004</v>
      </c>
      <c r="J231">
        <v>789</v>
      </c>
      <c r="K231">
        <v>414</v>
      </c>
      <c r="L231">
        <v>13791</v>
      </c>
    </row>
    <row r="232" spans="1:12" x14ac:dyDescent="0.25">
      <c r="A232" t="s">
        <v>1</v>
      </c>
      <c r="B232" t="s">
        <v>54</v>
      </c>
      <c r="C232">
        <v>2015</v>
      </c>
      <c r="D232">
        <v>0</v>
      </c>
      <c r="E232">
        <v>432</v>
      </c>
      <c r="F232">
        <v>4080</v>
      </c>
      <c r="G232">
        <v>4612</v>
      </c>
      <c r="H232">
        <v>2993</v>
      </c>
      <c r="I232">
        <v>1055</v>
      </c>
      <c r="J232">
        <v>816</v>
      </c>
      <c r="K232">
        <v>428</v>
      </c>
      <c r="L232">
        <v>14416</v>
      </c>
    </row>
    <row r="233" spans="1:12" x14ac:dyDescent="0.25">
      <c r="A233" t="s">
        <v>1</v>
      </c>
      <c r="B233" t="s">
        <v>54</v>
      </c>
      <c r="C233">
        <v>2016</v>
      </c>
      <c r="D233">
        <v>0</v>
      </c>
      <c r="E233">
        <v>526</v>
      </c>
      <c r="F233">
        <v>4248</v>
      </c>
      <c r="G233">
        <v>4747</v>
      </c>
      <c r="H233">
        <v>3190</v>
      </c>
      <c r="I233">
        <v>1101</v>
      </c>
      <c r="J233">
        <v>841</v>
      </c>
      <c r="K233">
        <v>437</v>
      </c>
      <c r="L233">
        <v>15090</v>
      </c>
    </row>
    <row r="234" spans="1:12" x14ac:dyDescent="0.25">
      <c r="A234" t="s">
        <v>1</v>
      </c>
      <c r="B234" t="s">
        <v>54</v>
      </c>
      <c r="C234">
        <v>2017</v>
      </c>
      <c r="D234">
        <v>0</v>
      </c>
      <c r="E234">
        <v>487</v>
      </c>
      <c r="F234">
        <v>4413</v>
      </c>
      <c r="G234">
        <v>4873</v>
      </c>
      <c r="H234">
        <v>3338</v>
      </c>
      <c r="I234">
        <v>1159</v>
      </c>
      <c r="J234">
        <v>840</v>
      </c>
      <c r="K234">
        <v>474</v>
      </c>
      <c r="L234">
        <v>15584</v>
      </c>
    </row>
    <row r="235" spans="1:12" x14ac:dyDescent="0.25">
      <c r="A235" t="s">
        <v>1</v>
      </c>
      <c r="B235" t="s">
        <v>54</v>
      </c>
      <c r="C235">
        <v>2018</v>
      </c>
      <c r="D235">
        <v>0</v>
      </c>
      <c r="E235">
        <v>476</v>
      </c>
      <c r="F235">
        <v>4655</v>
      </c>
      <c r="G235">
        <v>4967</v>
      </c>
      <c r="H235">
        <v>3607</v>
      </c>
      <c r="I235">
        <v>1167</v>
      </c>
      <c r="J235">
        <v>898</v>
      </c>
      <c r="K235">
        <v>492</v>
      </c>
      <c r="L235">
        <v>16262</v>
      </c>
    </row>
    <row r="236" spans="1:12" x14ac:dyDescent="0.25">
      <c r="A236" t="s">
        <v>1</v>
      </c>
      <c r="B236" t="s">
        <v>54</v>
      </c>
      <c r="C236">
        <v>2019</v>
      </c>
      <c r="D236">
        <v>0</v>
      </c>
      <c r="E236">
        <v>516</v>
      </c>
      <c r="F236">
        <v>4911</v>
      </c>
      <c r="G236">
        <v>5076</v>
      </c>
      <c r="H236">
        <v>3830</v>
      </c>
      <c r="I236">
        <v>1263</v>
      </c>
      <c r="J236">
        <v>915</v>
      </c>
      <c r="K236">
        <v>553</v>
      </c>
      <c r="L236">
        <v>17064</v>
      </c>
    </row>
    <row r="237" spans="1:12" x14ac:dyDescent="0.25">
      <c r="A237" t="s">
        <v>1</v>
      </c>
      <c r="B237" t="s">
        <v>54</v>
      </c>
      <c r="C237">
        <v>2020</v>
      </c>
      <c r="D237">
        <v>0</v>
      </c>
      <c r="E237">
        <v>448</v>
      </c>
      <c r="F237">
        <v>5164</v>
      </c>
      <c r="G237">
        <v>5141</v>
      </c>
      <c r="H237">
        <v>4024</v>
      </c>
      <c r="I237">
        <v>1307</v>
      </c>
      <c r="J237">
        <v>943</v>
      </c>
      <c r="K237">
        <v>493</v>
      </c>
      <c r="L237">
        <v>17520</v>
      </c>
    </row>
    <row r="238" spans="1:12" x14ac:dyDescent="0.25">
      <c r="A238" t="s">
        <v>1</v>
      </c>
      <c r="B238" t="s">
        <v>54</v>
      </c>
      <c r="C238">
        <v>2021</v>
      </c>
      <c r="D238">
        <v>0</v>
      </c>
      <c r="E238">
        <v>484</v>
      </c>
      <c r="F238">
        <v>5233</v>
      </c>
      <c r="G238">
        <v>5228</v>
      </c>
      <c r="H238">
        <v>4332</v>
      </c>
      <c r="I238">
        <v>1406</v>
      </c>
      <c r="J238">
        <v>982</v>
      </c>
      <c r="K238">
        <v>597</v>
      </c>
      <c r="L238">
        <v>18262</v>
      </c>
    </row>
    <row r="239" spans="1:12" x14ac:dyDescent="0.25">
      <c r="A239" t="s">
        <v>1</v>
      </c>
      <c r="B239" t="s">
        <v>54</v>
      </c>
      <c r="C239">
        <v>2022</v>
      </c>
      <c r="D239">
        <v>0</v>
      </c>
      <c r="E239">
        <v>482</v>
      </c>
      <c r="F239">
        <v>5344</v>
      </c>
      <c r="G239">
        <v>5364</v>
      </c>
      <c r="H239">
        <v>4561</v>
      </c>
      <c r="I239">
        <v>1506</v>
      </c>
      <c r="J239">
        <v>1013</v>
      </c>
      <c r="K239">
        <v>640</v>
      </c>
      <c r="L239">
        <v>18910</v>
      </c>
    </row>
    <row r="240" spans="1:12" x14ac:dyDescent="0.25">
      <c r="A240" t="s">
        <v>1</v>
      </c>
      <c r="B240" t="s">
        <v>54</v>
      </c>
      <c r="C240">
        <v>2023</v>
      </c>
      <c r="D240">
        <v>1</v>
      </c>
      <c r="E240">
        <v>511</v>
      </c>
      <c r="F240">
        <v>5322</v>
      </c>
      <c r="G240">
        <v>5511</v>
      </c>
      <c r="H240">
        <v>4674</v>
      </c>
      <c r="I240">
        <v>1567</v>
      </c>
      <c r="J240">
        <v>1060</v>
      </c>
      <c r="K240">
        <v>672</v>
      </c>
      <c r="L240">
        <v>19318</v>
      </c>
    </row>
    <row r="241" spans="1:12" x14ac:dyDescent="0.25">
      <c r="A241" t="s">
        <v>1</v>
      </c>
      <c r="B241" t="s">
        <v>54</v>
      </c>
      <c r="C241">
        <v>2024</v>
      </c>
      <c r="D241">
        <v>0</v>
      </c>
      <c r="E241">
        <v>529</v>
      </c>
      <c r="F241">
        <v>5118</v>
      </c>
      <c r="G241">
        <v>5524</v>
      </c>
      <c r="H241">
        <v>4923</v>
      </c>
      <c r="I241">
        <v>1612</v>
      </c>
      <c r="J241">
        <v>1131</v>
      </c>
      <c r="K241">
        <v>692</v>
      </c>
      <c r="L241">
        <v>19529</v>
      </c>
    </row>
    <row r="242" spans="1:12" x14ac:dyDescent="0.25">
      <c r="A242" t="s">
        <v>1</v>
      </c>
      <c r="B242" t="s">
        <v>55</v>
      </c>
      <c r="C242">
        <v>2001</v>
      </c>
      <c r="D242">
        <v>11</v>
      </c>
      <c r="E242">
        <v>8</v>
      </c>
      <c r="F242">
        <v>20</v>
      </c>
      <c r="G242">
        <v>16</v>
      </c>
      <c r="H242">
        <v>4</v>
      </c>
      <c r="I242">
        <v>1</v>
      </c>
      <c r="J242">
        <v>2</v>
      </c>
      <c r="K242">
        <v>10</v>
      </c>
      <c r="L242">
        <v>72</v>
      </c>
    </row>
    <row r="243" spans="1:12" x14ac:dyDescent="0.25">
      <c r="A243" t="s">
        <v>1</v>
      </c>
      <c r="B243" t="s">
        <v>55</v>
      </c>
      <c r="C243">
        <v>2002</v>
      </c>
      <c r="D243">
        <v>7</v>
      </c>
      <c r="E243">
        <v>7</v>
      </c>
      <c r="F243">
        <v>12</v>
      </c>
      <c r="G243">
        <v>7</v>
      </c>
      <c r="H243">
        <v>2</v>
      </c>
      <c r="I243">
        <v>1</v>
      </c>
      <c r="J243">
        <v>1</v>
      </c>
      <c r="K243">
        <v>12</v>
      </c>
      <c r="L243">
        <v>49</v>
      </c>
    </row>
    <row r="244" spans="1:12" x14ac:dyDescent="0.25">
      <c r="A244" t="s">
        <v>1</v>
      </c>
      <c r="B244" t="s">
        <v>55</v>
      </c>
      <c r="C244">
        <v>2003</v>
      </c>
      <c r="D244">
        <v>8</v>
      </c>
      <c r="E244">
        <v>6</v>
      </c>
      <c r="F244">
        <v>16</v>
      </c>
      <c r="G244">
        <v>9</v>
      </c>
      <c r="H244">
        <v>5</v>
      </c>
      <c r="I244">
        <v>0</v>
      </c>
      <c r="J244">
        <v>1</v>
      </c>
      <c r="K244">
        <v>10</v>
      </c>
      <c r="L244">
        <v>55</v>
      </c>
    </row>
    <row r="245" spans="1:12" x14ac:dyDescent="0.25">
      <c r="A245" t="s">
        <v>1</v>
      </c>
      <c r="B245" t="s">
        <v>55</v>
      </c>
      <c r="C245">
        <v>2004</v>
      </c>
      <c r="D245">
        <v>5</v>
      </c>
      <c r="E245">
        <v>3</v>
      </c>
      <c r="F245">
        <v>15</v>
      </c>
      <c r="G245">
        <v>8</v>
      </c>
      <c r="H245">
        <v>6</v>
      </c>
      <c r="I245">
        <v>0</v>
      </c>
      <c r="J245">
        <v>2</v>
      </c>
      <c r="K245">
        <v>21</v>
      </c>
      <c r="L245">
        <v>60</v>
      </c>
    </row>
    <row r="246" spans="1:12" x14ac:dyDescent="0.25">
      <c r="A246" t="s">
        <v>1</v>
      </c>
      <c r="B246" t="s">
        <v>55</v>
      </c>
      <c r="C246">
        <v>2005</v>
      </c>
      <c r="D246">
        <v>3</v>
      </c>
      <c r="E246">
        <v>6</v>
      </c>
      <c r="F246">
        <v>13</v>
      </c>
      <c r="G246">
        <v>6</v>
      </c>
      <c r="H246">
        <v>5</v>
      </c>
      <c r="I246">
        <v>0</v>
      </c>
      <c r="J246">
        <v>0</v>
      </c>
      <c r="K246">
        <v>20</v>
      </c>
      <c r="L246">
        <v>53</v>
      </c>
    </row>
    <row r="247" spans="1:12" x14ac:dyDescent="0.25">
      <c r="A247" t="s">
        <v>1</v>
      </c>
      <c r="B247" t="s">
        <v>55</v>
      </c>
      <c r="C247">
        <v>2006</v>
      </c>
      <c r="D247">
        <v>2</v>
      </c>
      <c r="E247">
        <v>8</v>
      </c>
      <c r="F247">
        <v>14</v>
      </c>
      <c r="G247">
        <v>12</v>
      </c>
      <c r="H247">
        <v>7</v>
      </c>
      <c r="I247">
        <v>0</v>
      </c>
      <c r="J247">
        <v>0</v>
      </c>
      <c r="K247">
        <v>27</v>
      </c>
      <c r="L247">
        <v>70</v>
      </c>
    </row>
    <row r="248" spans="1:12" x14ac:dyDescent="0.25">
      <c r="A248" t="s">
        <v>1</v>
      </c>
      <c r="B248" t="s">
        <v>55</v>
      </c>
      <c r="C248">
        <v>2007</v>
      </c>
      <c r="D248">
        <v>2</v>
      </c>
      <c r="E248">
        <v>3</v>
      </c>
      <c r="F248">
        <v>11</v>
      </c>
      <c r="G248">
        <v>10</v>
      </c>
      <c r="H248">
        <v>4</v>
      </c>
      <c r="I248">
        <v>1</v>
      </c>
      <c r="J248">
        <v>1</v>
      </c>
      <c r="K248">
        <v>27</v>
      </c>
      <c r="L248">
        <v>59</v>
      </c>
    </row>
    <row r="249" spans="1:12" x14ac:dyDescent="0.25">
      <c r="A249" t="s">
        <v>1</v>
      </c>
      <c r="B249" t="s">
        <v>55</v>
      </c>
      <c r="C249">
        <v>2008</v>
      </c>
      <c r="D249">
        <v>2</v>
      </c>
      <c r="E249">
        <v>8</v>
      </c>
      <c r="F249">
        <v>17</v>
      </c>
      <c r="G249">
        <v>8</v>
      </c>
      <c r="H249">
        <v>5</v>
      </c>
      <c r="I249">
        <v>1</v>
      </c>
      <c r="J249">
        <v>2</v>
      </c>
      <c r="K249">
        <v>1</v>
      </c>
      <c r="L249">
        <v>44</v>
      </c>
    </row>
    <row r="250" spans="1:12" x14ac:dyDescent="0.25">
      <c r="A250" t="s">
        <v>1</v>
      </c>
      <c r="B250" t="s">
        <v>55</v>
      </c>
      <c r="C250">
        <v>2009</v>
      </c>
      <c r="D250">
        <v>2</v>
      </c>
      <c r="E250">
        <v>14</v>
      </c>
      <c r="F250">
        <v>21</v>
      </c>
      <c r="G250">
        <v>11</v>
      </c>
      <c r="H250">
        <v>5</v>
      </c>
      <c r="I250">
        <v>1</v>
      </c>
      <c r="J250">
        <v>1</v>
      </c>
      <c r="K250">
        <v>1</v>
      </c>
      <c r="L250">
        <v>56</v>
      </c>
    </row>
    <row r="251" spans="1:12" x14ac:dyDescent="0.25">
      <c r="A251" t="s">
        <v>1</v>
      </c>
      <c r="B251" t="s">
        <v>55</v>
      </c>
      <c r="C251">
        <v>2010</v>
      </c>
      <c r="D251">
        <v>4</v>
      </c>
      <c r="E251">
        <v>15</v>
      </c>
      <c r="F251">
        <v>32</v>
      </c>
      <c r="G251">
        <v>10</v>
      </c>
      <c r="H251">
        <v>5</v>
      </c>
      <c r="I251">
        <v>2</v>
      </c>
      <c r="J251">
        <v>0</v>
      </c>
      <c r="K251">
        <v>20</v>
      </c>
      <c r="L251">
        <v>88</v>
      </c>
    </row>
    <row r="252" spans="1:12" x14ac:dyDescent="0.25">
      <c r="A252" t="s">
        <v>1</v>
      </c>
      <c r="B252" t="s">
        <v>55</v>
      </c>
      <c r="C252">
        <v>2011</v>
      </c>
      <c r="D252">
        <v>4</v>
      </c>
      <c r="E252">
        <v>10</v>
      </c>
      <c r="F252">
        <v>39</v>
      </c>
      <c r="G252">
        <v>11</v>
      </c>
      <c r="H252">
        <v>8</v>
      </c>
      <c r="I252">
        <v>4</v>
      </c>
      <c r="J252">
        <v>1</v>
      </c>
      <c r="K252">
        <v>3</v>
      </c>
      <c r="L252">
        <v>80</v>
      </c>
    </row>
    <row r="253" spans="1:12" x14ac:dyDescent="0.25">
      <c r="A253" t="s">
        <v>1</v>
      </c>
      <c r="B253" t="s">
        <v>55</v>
      </c>
      <c r="C253">
        <v>2012</v>
      </c>
      <c r="D253">
        <v>3</v>
      </c>
      <c r="E253">
        <v>17</v>
      </c>
      <c r="F253">
        <v>42</v>
      </c>
      <c r="G253">
        <v>11</v>
      </c>
      <c r="H253">
        <v>6</v>
      </c>
      <c r="I253">
        <v>4</v>
      </c>
      <c r="J253">
        <v>1</v>
      </c>
      <c r="K253">
        <v>1</v>
      </c>
      <c r="L253">
        <v>85</v>
      </c>
    </row>
    <row r="254" spans="1:12" x14ac:dyDescent="0.25">
      <c r="A254" t="s">
        <v>1</v>
      </c>
      <c r="B254" t="s">
        <v>55</v>
      </c>
      <c r="C254">
        <v>2013</v>
      </c>
      <c r="D254">
        <v>3</v>
      </c>
      <c r="E254">
        <v>15</v>
      </c>
      <c r="F254">
        <v>45</v>
      </c>
      <c r="G254">
        <v>14</v>
      </c>
      <c r="H254">
        <v>8</v>
      </c>
      <c r="I254">
        <v>3</v>
      </c>
      <c r="J254">
        <v>1</v>
      </c>
      <c r="K254">
        <v>2</v>
      </c>
      <c r="L254">
        <v>91</v>
      </c>
    </row>
    <row r="255" spans="1:12" x14ac:dyDescent="0.25">
      <c r="A255" t="s">
        <v>1</v>
      </c>
      <c r="B255" t="s">
        <v>55</v>
      </c>
      <c r="C255">
        <v>2014</v>
      </c>
      <c r="D255">
        <v>3</v>
      </c>
      <c r="E255">
        <v>16</v>
      </c>
      <c r="F255">
        <v>50</v>
      </c>
      <c r="G255">
        <v>15</v>
      </c>
      <c r="H255">
        <v>10</v>
      </c>
      <c r="I255">
        <v>3</v>
      </c>
      <c r="J255">
        <v>2</v>
      </c>
      <c r="K255">
        <v>1</v>
      </c>
      <c r="L255">
        <v>100</v>
      </c>
    </row>
    <row r="256" spans="1:12" x14ac:dyDescent="0.25">
      <c r="A256" t="s">
        <v>1</v>
      </c>
      <c r="B256" t="s">
        <v>55</v>
      </c>
      <c r="C256">
        <v>2015</v>
      </c>
      <c r="D256">
        <v>10</v>
      </c>
      <c r="E256">
        <v>16</v>
      </c>
      <c r="F256">
        <v>53</v>
      </c>
      <c r="G256">
        <v>17</v>
      </c>
      <c r="H256">
        <v>11</v>
      </c>
      <c r="I256">
        <v>3</v>
      </c>
      <c r="J256">
        <v>2</v>
      </c>
      <c r="K256">
        <v>0</v>
      </c>
      <c r="L256">
        <v>112</v>
      </c>
    </row>
    <row r="257" spans="1:12" x14ac:dyDescent="0.25">
      <c r="A257" t="s">
        <v>1</v>
      </c>
      <c r="B257" t="s">
        <v>55</v>
      </c>
      <c r="C257">
        <v>2016</v>
      </c>
      <c r="D257">
        <v>7</v>
      </c>
      <c r="E257">
        <v>26</v>
      </c>
      <c r="F257">
        <v>67</v>
      </c>
      <c r="G257">
        <v>26</v>
      </c>
      <c r="H257">
        <v>13</v>
      </c>
      <c r="I257">
        <v>5</v>
      </c>
      <c r="J257">
        <v>1</v>
      </c>
      <c r="K257">
        <v>2</v>
      </c>
      <c r="L257">
        <v>147</v>
      </c>
    </row>
    <row r="258" spans="1:12" x14ac:dyDescent="0.25">
      <c r="A258" t="s">
        <v>1</v>
      </c>
      <c r="B258" t="s">
        <v>55</v>
      </c>
      <c r="C258">
        <v>2017</v>
      </c>
      <c r="D258">
        <v>12</v>
      </c>
      <c r="E258">
        <v>33</v>
      </c>
      <c r="F258">
        <v>67</v>
      </c>
      <c r="G258">
        <v>29</v>
      </c>
      <c r="H258">
        <v>12</v>
      </c>
      <c r="I258">
        <v>2</v>
      </c>
      <c r="J258">
        <v>2</v>
      </c>
      <c r="K258">
        <v>2</v>
      </c>
      <c r="L258">
        <v>159</v>
      </c>
    </row>
    <row r="259" spans="1:12" x14ac:dyDescent="0.25">
      <c r="A259" t="s">
        <v>1</v>
      </c>
      <c r="B259" t="s">
        <v>55</v>
      </c>
      <c r="C259">
        <v>2018</v>
      </c>
      <c r="D259">
        <v>6</v>
      </c>
      <c r="E259">
        <v>25</v>
      </c>
      <c r="F259">
        <v>94</v>
      </c>
      <c r="G259">
        <v>38</v>
      </c>
      <c r="H259">
        <v>21</v>
      </c>
      <c r="I259">
        <v>4</v>
      </c>
      <c r="J259">
        <v>2</v>
      </c>
      <c r="K259">
        <v>2</v>
      </c>
      <c r="L259">
        <v>192</v>
      </c>
    </row>
    <row r="260" spans="1:12" x14ac:dyDescent="0.25">
      <c r="A260" t="s">
        <v>1</v>
      </c>
      <c r="B260" t="s">
        <v>55</v>
      </c>
      <c r="C260">
        <v>2019</v>
      </c>
      <c r="D260">
        <v>15</v>
      </c>
      <c r="E260">
        <v>44</v>
      </c>
      <c r="F260">
        <v>100</v>
      </c>
      <c r="G260">
        <v>38</v>
      </c>
      <c r="H260">
        <v>23</v>
      </c>
      <c r="I260">
        <v>4</v>
      </c>
      <c r="J260">
        <v>5</v>
      </c>
      <c r="K260">
        <v>3</v>
      </c>
      <c r="L260">
        <v>232</v>
      </c>
    </row>
    <row r="261" spans="1:12" x14ac:dyDescent="0.25">
      <c r="A261" t="s">
        <v>1</v>
      </c>
      <c r="B261" t="s">
        <v>55</v>
      </c>
      <c r="C261">
        <v>2020</v>
      </c>
      <c r="D261">
        <v>15</v>
      </c>
      <c r="E261">
        <v>52</v>
      </c>
      <c r="F261">
        <v>98</v>
      </c>
      <c r="G261">
        <v>45</v>
      </c>
      <c r="H261">
        <v>30</v>
      </c>
      <c r="I261">
        <v>6</v>
      </c>
      <c r="J261">
        <v>5</v>
      </c>
      <c r="K261">
        <v>3</v>
      </c>
      <c r="L261">
        <v>254</v>
      </c>
    </row>
    <row r="262" spans="1:12" x14ac:dyDescent="0.25">
      <c r="A262" t="s">
        <v>1</v>
      </c>
      <c r="B262" t="s">
        <v>55</v>
      </c>
      <c r="C262">
        <v>2021</v>
      </c>
      <c r="D262">
        <v>12</v>
      </c>
      <c r="E262">
        <v>52</v>
      </c>
      <c r="F262">
        <v>95</v>
      </c>
      <c r="G262">
        <v>57</v>
      </c>
      <c r="H262">
        <v>28</v>
      </c>
      <c r="I262">
        <v>8</v>
      </c>
      <c r="J262">
        <v>4</v>
      </c>
      <c r="K262">
        <v>5</v>
      </c>
      <c r="L262">
        <v>261</v>
      </c>
    </row>
    <row r="263" spans="1:12" x14ac:dyDescent="0.25">
      <c r="A263" t="s">
        <v>1</v>
      </c>
      <c r="B263" t="s">
        <v>55</v>
      </c>
      <c r="C263">
        <v>2022</v>
      </c>
      <c r="D263">
        <v>19</v>
      </c>
      <c r="E263">
        <v>41</v>
      </c>
      <c r="F263">
        <v>105</v>
      </c>
      <c r="G263">
        <v>55</v>
      </c>
      <c r="H263">
        <v>20</v>
      </c>
      <c r="I263">
        <v>9</v>
      </c>
      <c r="J263">
        <v>5</v>
      </c>
      <c r="K263">
        <v>6</v>
      </c>
      <c r="L263">
        <v>260</v>
      </c>
    </row>
    <row r="264" spans="1:12" x14ac:dyDescent="0.25">
      <c r="A264" t="s">
        <v>1</v>
      </c>
      <c r="B264" t="s">
        <v>55</v>
      </c>
      <c r="C264">
        <v>2023</v>
      </c>
      <c r="D264">
        <v>8</v>
      </c>
      <c r="E264">
        <v>44</v>
      </c>
      <c r="F264">
        <v>123</v>
      </c>
      <c r="G264">
        <v>74</v>
      </c>
      <c r="H264">
        <v>26</v>
      </c>
      <c r="I264">
        <v>6</v>
      </c>
      <c r="J264">
        <v>5</v>
      </c>
      <c r="K264">
        <v>2</v>
      </c>
      <c r="L264">
        <v>288</v>
      </c>
    </row>
    <row r="265" spans="1:12" x14ac:dyDescent="0.25">
      <c r="A265" t="s">
        <v>1</v>
      </c>
      <c r="B265" t="s">
        <v>55</v>
      </c>
      <c r="C265">
        <v>2024</v>
      </c>
      <c r="D265">
        <v>18</v>
      </c>
      <c r="E265">
        <v>30</v>
      </c>
      <c r="F265">
        <v>116</v>
      </c>
      <c r="G265">
        <v>77</v>
      </c>
      <c r="H265">
        <v>31</v>
      </c>
      <c r="I265">
        <v>9</v>
      </c>
      <c r="J265">
        <v>3</v>
      </c>
      <c r="K265">
        <v>3</v>
      </c>
      <c r="L265">
        <v>287</v>
      </c>
    </row>
    <row r="266" spans="1:12" x14ac:dyDescent="0.25">
      <c r="A266" t="s">
        <v>1</v>
      </c>
      <c r="B266" t="s">
        <v>2</v>
      </c>
      <c r="C266">
        <v>2001</v>
      </c>
      <c r="D266">
        <v>628</v>
      </c>
      <c r="E266">
        <v>2552</v>
      </c>
      <c r="F266">
        <v>7434</v>
      </c>
      <c r="G266">
        <v>7967</v>
      </c>
      <c r="H266">
        <v>7630</v>
      </c>
      <c r="I266">
        <v>3422</v>
      </c>
      <c r="J266">
        <v>1730</v>
      </c>
      <c r="K266">
        <v>227</v>
      </c>
      <c r="L266">
        <v>31590</v>
      </c>
    </row>
    <row r="267" spans="1:12" x14ac:dyDescent="0.25">
      <c r="A267" t="s">
        <v>1</v>
      </c>
      <c r="B267" t="s">
        <v>2</v>
      </c>
      <c r="C267">
        <v>2002</v>
      </c>
      <c r="D267">
        <v>700</v>
      </c>
      <c r="E267">
        <v>2534</v>
      </c>
      <c r="F267">
        <v>7418</v>
      </c>
      <c r="G267">
        <v>8067</v>
      </c>
      <c r="H267">
        <v>7536</v>
      </c>
      <c r="I267">
        <v>3462</v>
      </c>
      <c r="J267">
        <v>1931</v>
      </c>
      <c r="K267">
        <v>304</v>
      </c>
      <c r="L267">
        <v>31952</v>
      </c>
    </row>
    <row r="268" spans="1:12" x14ac:dyDescent="0.25">
      <c r="A268" t="s">
        <v>1</v>
      </c>
      <c r="B268" t="s">
        <v>2</v>
      </c>
      <c r="C268">
        <v>2003</v>
      </c>
      <c r="D268">
        <v>616</v>
      </c>
      <c r="E268">
        <v>2287</v>
      </c>
      <c r="F268">
        <v>7265</v>
      </c>
      <c r="G268">
        <v>8069</v>
      </c>
      <c r="H268">
        <v>7504</v>
      </c>
      <c r="I268">
        <v>3575</v>
      </c>
      <c r="J268">
        <v>2082</v>
      </c>
      <c r="K268">
        <v>257</v>
      </c>
      <c r="L268">
        <v>31655</v>
      </c>
    </row>
    <row r="269" spans="1:12" x14ac:dyDescent="0.25">
      <c r="A269" t="s">
        <v>1</v>
      </c>
      <c r="B269" t="s">
        <v>2</v>
      </c>
      <c r="C269">
        <v>2004</v>
      </c>
      <c r="D269">
        <v>541</v>
      </c>
      <c r="E269">
        <v>2292</v>
      </c>
      <c r="F269">
        <v>7177</v>
      </c>
      <c r="G269">
        <v>8093</v>
      </c>
      <c r="H269">
        <v>7409</v>
      </c>
      <c r="I269">
        <v>3610</v>
      </c>
      <c r="J269">
        <v>2354</v>
      </c>
      <c r="K269">
        <v>366</v>
      </c>
      <c r="L269">
        <v>31842</v>
      </c>
    </row>
    <row r="270" spans="1:12" x14ac:dyDescent="0.25">
      <c r="A270" t="s">
        <v>1</v>
      </c>
      <c r="B270" t="s">
        <v>2</v>
      </c>
      <c r="C270">
        <v>2005</v>
      </c>
      <c r="D270">
        <v>553</v>
      </c>
      <c r="E270">
        <v>2245</v>
      </c>
      <c r="F270">
        <v>7122</v>
      </c>
      <c r="G270">
        <v>8293</v>
      </c>
      <c r="H270">
        <v>7510</v>
      </c>
      <c r="I270">
        <v>3609</v>
      </c>
      <c r="J270">
        <v>2513</v>
      </c>
      <c r="K270">
        <v>384</v>
      </c>
      <c r="L270">
        <v>32229</v>
      </c>
    </row>
    <row r="271" spans="1:12" x14ac:dyDescent="0.25">
      <c r="A271" t="s">
        <v>1</v>
      </c>
      <c r="B271" t="s">
        <v>2</v>
      </c>
      <c r="C271">
        <v>2006</v>
      </c>
      <c r="D271">
        <v>574</v>
      </c>
      <c r="E271">
        <v>2522</v>
      </c>
      <c r="F271">
        <v>7332</v>
      </c>
      <c r="G271">
        <v>8490</v>
      </c>
      <c r="H271">
        <v>7508</v>
      </c>
      <c r="I271">
        <v>3622</v>
      </c>
      <c r="J271">
        <v>2623</v>
      </c>
      <c r="K271">
        <v>432</v>
      </c>
      <c r="L271">
        <v>33103</v>
      </c>
    </row>
    <row r="272" spans="1:12" x14ac:dyDescent="0.25">
      <c r="A272" t="s">
        <v>1</v>
      </c>
      <c r="B272" t="s">
        <v>2</v>
      </c>
      <c r="C272">
        <v>2007</v>
      </c>
      <c r="D272">
        <v>560</v>
      </c>
      <c r="E272">
        <v>2682</v>
      </c>
      <c r="F272">
        <v>7315</v>
      </c>
      <c r="G272">
        <v>8572</v>
      </c>
      <c r="H272">
        <v>7671</v>
      </c>
      <c r="I272">
        <v>3614</v>
      </c>
      <c r="J272">
        <v>2785</v>
      </c>
      <c r="K272">
        <v>518</v>
      </c>
      <c r="L272">
        <v>33717</v>
      </c>
    </row>
    <row r="273" spans="1:12" x14ac:dyDescent="0.25">
      <c r="A273" t="s">
        <v>1</v>
      </c>
      <c r="B273" t="s">
        <v>2</v>
      </c>
      <c r="C273">
        <v>2008</v>
      </c>
      <c r="D273">
        <v>545</v>
      </c>
      <c r="E273">
        <v>2550</v>
      </c>
      <c r="F273">
        <v>7307</v>
      </c>
      <c r="G273">
        <v>8750</v>
      </c>
      <c r="H273">
        <v>7682</v>
      </c>
      <c r="I273">
        <v>3614</v>
      </c>
      <c r="J273">
        <v>2895</v>
      </c>
      <c r="K273">
        <v>562</v>
      </c>
      <c r="L273">
        <v>33905</v>
      </c>
    </row>
    <row r="274" spans="1:12" x14ac:dyDescent="0.25">
      <c r="A274" t="s">
        <v>1</v>
      </c>
      <c r="B274" t="s">
        <v>2</v>
      </c>
      <c r="C274">
        <v>2009</v>
      </c>
      <c r="D274">
        <v>533</v>
      </c>
      <c r="E274">
        <v>2442</v>
      </c>
      <c r="F274">
        <v>7042</v>
      </c>
      <c r="G274">
        <v>8692</v>
      </c>
      <c r="H274">
        <v>7842</v>
      </c>
      <c r="I274">
        <v>3436</v>
      </c>
      <c r="J274">
        <v>2999</v>
      </c>
      <c r="K274">
        <v>693</v>
      </c>
      <c r="L274">
        <v>33679</v>
      </c>
    </row>
    <row r="275" spans="1:12" x14ac:dyDescent="0.25">
      <c r="A275" t="s">
        <v>1</v>
      </c>
      <c r="B275" t="s">
        <v>2</v>
      </c>
      <c r="C275">
        <v>2010</v>
      </c>
      <c r="D275">
        <v>588</v>
      </c>
      <c r="E275">
        <v>2658</v>
      </c>
      <c r="F275">
        <v>7221</v>
      </c>
      <c r="G275">
        <v>8668</v>
      </c>
      <c r="H275">
        <v>8084</v>
      </c>
      <c r="I275">
        <v>3485</v>
      </c>
      <c r="J275">
        <v>3015</v>
      </c>
      <c r="K275">
        <v>714</v>
      </c>
      <c r="L275">
        <v>34433</v>
      </c>
    </row>
    <row r="276" spans="1:12" x14ac:dyDescent="0.25">
      <c r="A276" t="s">
        <v>1</v>
      </c>
      <c r="B276" t="s">
        <v>2</v>
      </c>
      <c r="C276">
        <v>2011</v>
      </c>
      <c r="D276">
        <v>570</v>
      </c>
      <c r="E276">
        <v>2659</v>
      </c>
      <c r="F276">
        <v>7278</v>
      </c>
      <c r="G276">
        <v>8623</v>
      </c>
      <c r="H276">
        <v>8317</v>
      </c>
      <c r="I276">
        <v>3496</v>
      </c>
      <c r="J276">
        <v>2948</v>
      </c>
      <c r="K276">
        <v>844</v>
      </c>
      <c r="L276">
        <v>34735</v>
      </c>
    </row>
    <row r="277" spans="1:12" x14ac:dyDescent="0.25">
      <c r="A277" t="s">
        <v>1</v>
      </c>
      <c r="B277" t="s">
        <v>2</v>
      </c>
      <c r="C277">
        <v>2012</v>
      </c>
      <c r="D277">
        <v>623</v>
      </c>
      <c r="E277">
        <v>2885</v>
      </c>
      <c r="F277">
        <v>7423</v>
      </c>
      <c r="G277">
        <v>8634</v>
      </c>
      <c r="H277">
        <v>8504</v>
      </c>
      <c r="I277">
        <v>3554</v>
      </c>
      <c r="J277">
        <v>2960</v>
      </c>
      <c r="K277">
        <v>935</v>
      </c>
      <c r="L277">
        <v>35518</v>
      </c>
    </row>
    <row r="278" spans="1:12" x14ac:dyDescent="0.25">
      <c r="A278" t="s">
        <v>1</v>
      </c>
      <c r="B278" t="s">
        <v>2</v>
      </c>
      <c r="C278">
        <v>2013</v>
      </c>
      <c r="D278">
        <v>627</v>
      </c>
      <c r="E278">
        <v>3144</v>
      </c>
      <c r="F278">
        <v>7505</v>
      </c>
      <c r="G278">
        <v>8657</v>
      </c>
      <c r="H278">
        <v>8585</v>
      </c>
      <c r="I278">
        <v>3592</v>
      </c>
      <c r="J278">
        <v>2995</v>
      </c>
      <c r="K278">
        <v>1077</v>
      </c>
      <c r="L278">
        <v>36182</v>
      </c>
    </row>
    <row r="279" spans="1:12" x14ac:dyDescent="0.25">
      <c r="A279" t="s">
        <v>1</v>
      </c>
      <c r="B279" t="s">
        <v>2</v>
      </c>
      <c r="C279">
        <v>2014</v>
      </c>
      <c r="D279">
        <v>553</v>
      </c>
      <c r="E279">
        <v>3175</v>
      </c>
      <c r="F279">
        <v>7803</v>
      </c>
      <c r="G279">
        <v>8887</v>
      </c>
      <c r="H279">
        <v>8864</v>
      </c>
      <c r="I279">
        <v>3670</v>
      </c>
      <c r="J279">
        <v>2964</v>
      </c>
      <c r="K279">
        <v>1145</v>
      </c>
      <c r="L279">
        <v>37061</v>
      </c>
    </row>
    <row r="280" spans="1:12" x14ac:dyDescent="0.25">
      <c r="A280" t="s">
        <v>1</v>
      </c>
      <c r="B280" t="s">
        <v>2</v>
      </c>
      <c r="C280">
        <v>2015</v>
      </c>
      <c r="D280">
        <v>634</v>
      </c>
      <c r="E280">
        <v>3383</v>
      </c>
      <c r="F280">
        <v>8236</v>
      </c>
      <c r="G280">
        <v>8943</v>
      </c>
      <c r="H280">
        <v>9085</v>
      </c>
      <c r="I280">
        <v>3732</v>
      </c>
      <c r="J280">
        <v>2972</v>
      </c>
      <c r="K280">
        <v>1194</v>
      </c>
      <c r="L280">
        <v>38179</v>
      </c>
    </row>
    <row r="281" spans="1:12" x14ac:dyDescent="0.25">
      <c r="A281" t="s">
        <v>1</v>
      </c>
      <c r="B281" t="s">
        <v>2</v>
      </c>
      <c r="C281">
        <v>2016</v>
      </c>
      <c r="D281">
        <v>725</v>
      </c>
      <c r="E281">
        <v>3538</v>
      </c>
      <c r="F281">
        <v>8690</v>
      </c>
      <c r="G281">
        <v>8959</v>
      </c>
      <c r="H281">
        <v>9317</v>
      </c>
      <c r="I281">
        <v>3773</v>
      </c>
      <c r="J281">
        <v>3016</v>
      </c>
      <c r="K281">
        <v>1183</v>
      </c>
      <c r="L281">
        <v>39201</v>
      </c>
    </row>
    <row r="282" spans="1:12" x14ac:dyDescent="0.25">
      <c r="A282" t="s">
        <v>1</v>
      </c>
      <c r="B282" t="s">
        <v>2</v>
      </c>
      <c r="C282">
        <v>2017</v>
      </c>
      <c r="D282">
        <v>771</v>
      </c>
      <c r="E282">
        <v>3463</v>
      </c>
      <c r="F282">
        <v>8986</v>
      </c>
      <c r="G282">
        <v>9002</v>
      </c>
      <c r="H282">
        <v>9339</v>
      </c>
      <c r="I282">
        <v>3872</v>
      </c>
      <c r="J282">
        <v>3051</v>
      </c>
      <c r="K282">
        <v>1286</v>
      </c>
      <c r="L282">
        <v>39770</v>
      </c>
    </row>
    <row r="283" spans="1:12" x14ac:dyDescent="0.25">
      <c r="A283" t="s">
        <v>1</v>
      </c>
      <c r="B283" t="s">
        <v>2</v>
      </c>
      <c r="C283">
        <v>2018</v>
      </c>
      <c r="D283">
        <v>790</v>
      </c>
      <c r="E283">
        <v>3183</v>
      </c>
      <c r="F283">
        <v>9494</v>
      </c>
      <c r="G283">
        <v>9100</v>
      </c>
      <c r="H283">
        <v>9525</v>
      </c>
      <c r="I283">
        <v>3932</v>
      </c>
      <c r="J283">
        <v>3171</v>
      </c>
      <c r="K283">
        <v>1374</v>
      </c>
      <c r="L283">
        <v>40569</v>
      </c>
    </row>
    <row r="284" spans="1:12" x14ac:dyDescent="0.25">
      <c r="A284" t="s">
        <v>1</v>
      </c>
      <c r="B284" t="s">
        <v>2</v>
      </c>
      <c r="C284">
        <v>2019</v>
      </c>
      <c r="D284">
        <v>1218</v>
      </c>
      <c r="E284">
        <v>3489</v>
      </c>
      <c r="F284">
        <v>10061</v>
      </c>
      <c r="G284">
        <v>9184</v>
      </c>
      <c r="H284">
        <v>9663</v>
      </c>
      <c r="I284">
        <v>4232</v>
      </c>
      <c r="J284">
        <v>3214</v>
      </c>
      <c r="K284">
        <v>1735</v>
      </c>
      <c r="L284">
        <v>42796</v>
      </c>
    </row>
    <row r="285" spans="1:12" x14ac:dyDescent="0.25">
      <c r="A285" t="s">
        <v>1</v>
      </c>
      <c r="B285" t="s">
        <v>2</v>
      </c>
      <c r="C285">
        <v>2020</v>
      </c>
      <c r="D285">
        <v>1102</v>
      </c>
      <c r="E285">
        <v>3287</v>
      </c>
      <c r="F285">
        <v>10266</v>
      </c>
      <c r="G285">
        <v>9197</v>
      </c>
      <c r="H285">
        <v>9554</v>
      </c>
      <c r="I285">
        <v>4363</v>
      </c>
      <c r="J285">
        <v>3210</v>
      </c>
      <c r="K285">
        <v>1505</v>
      </c>
      <c r="L285">
        <v>42484</v>
      </c>
    </row>
    <row r="286" spans="1:12" x14ac:dyDescent="0.25">
      <c r="A286" t="s">
        <v>1</v>
      </c>
      <c r="B286" t="s">
        <v>2</v>
      </c>
      <c r="C286">
        <v>2021</v>
      </c>
      <c r="D286">
        <v>1210</v>
      </c>
      <c r="E286">
        <v>3395</v>
      </c>
      <c r="F286">
        <v>10302</v>
      </c>
      <c r="G286">
        <v>9336</v>
      </c>
      <c r="H286">
        <v>9662</v>
      </c>
      <c r="I286">
        <v>4671</v>
      </c>
      <c r="J286">
        <v>3253</v>
      </c>
      <c r="K286">
        <v>1700</v>
      </c>
      <c r="L286">
        <v>43529</v>
      </c>
    </row>
    <row r="287" spans="1:12" x14ac:dyDescent="0.25">
      <c r="A287" t="s">
        <v>1</v>
      </c>
      <c r="B287" t="s">
        <v>2</v>
      </c>
      <c r="C287">
        <v>2022</v>
      </c>
      <c r="D287">
        <v>1332</v>
      </c>
      <c r="E287">
        <v>3561</v>
      </c>
      <c r="F287">
        <v>10559</v>
      </c>
      <c r="G287">
        <v>9583</v>
      </c>
      <c r="H287">
        <v>9698</v>
      </c>
      <c r="I287">
        <v>4755</v>
      </c>
      <c r="J287">
        <v>3388</v>
      </c>
      <c r="K287">
        <v>1810</v>
      </c>
      <c r="L287">
        <v>44686</v>
      </c>
    </row>
    <row r="288" spans="1:12" x14ac:dyDescent="0.25">
      <c r="A288" t="s">
        <v>1</v>
      </c>
      <c r="B288" t="s">
        <v>2</v>
      </c>
      <c r="C288">
        <v>2023</v>
      </c>
      <c r="D288">
        <v>1384</v>
      </c>
      <c r="E288">
        <v>3719</v>
      </c>
      <c r="F288">
        <v>10515</v>
      </c>
      <c r="G288">
        <v>9897</v>
      </c>
      <c r="H288">
        <v>9702</v>
      </c>
      <c r="I288">
        <v>4779</v>
      </c>
      <c r="J288">
        <v>3486</v>
      </c>
      <c r="K288">
        <v>1978</v>
      </c>
      <c r="L288">
        <v>45460</v>
      </c>
    </row>
    <row r="289" spans="1:12" x14ac:dyDescent="0.25">
      <c r="A289" t="s">
        <v>1</v>
      </c>
      <c r="B289" t="s">
        <v>2</v>
      </c>
      <c r="C289">
        <v>2024</v>
      </c>
      <c r="D289">
        <v>1368</v>
      </c>
      <c r="E289">
        <v>3469</v>
      </c>
      <c r="F289">
        <v>10134</v>
      </c>
      <c r="G289">
        <v>9975</v>
      </c>
      <c r="H289">
        <v>9717</v>
      </c>
      <c r="I289">
        <v>4688</v>
      </c>
      <c r="J289">
        <v>3677</v>
      </c>
      <c r="K289">
        <v>2027</v>
      </c>
      <c r="L289">
        <v>45055</v>
      </c>
    </row>
    <row r="290" spans="1:12" x14ac:dyDescent="0.25">
      <c r="A290" t="s">
        <v>2</v>
      </c>
      <c r="B290" t="s">
        <v>51</v>
      </c>
      <c r="C290">
        <v>2001</v>
      </c>
      <c r="D290">
        <v>442</v>
      </c>
      <c r="E290">
        <v>399</v>
      </c>
      <c r="F290">
        <v>747</v>
      </c>
      <c r="G290">
        <v>1644</v>
      </c>
      <c r="H290">
        <v>2407</v>
      </c>
      <c r="I290">
        <v>1661</v>
      </c>
      <c r="J290">
        <v>1055</v>
      </c>
      <c r="K290">
        <v>194</v>
      </c>
      <c r="L290">
        <v>8549</v>
      </c>
    </row>
    <row r="291" spans="1:12" x14ac:dyDescent="0.25">
      <c r="A291" t="s">
        <v>2</v>
      </c>
      <c r="B291" t="s">
        <v>51</v>
      </c>
      <c r="C291">
        <v>2002</v>
      </c>
      <c r="D291">
        <v>519</v>
      </c>
      <c r="E291">
        <v>396</v>
      </c>
      <c r="F291">
        <v>720</v>
      </c>
      <c r="G291">
        <v>1474</v>
      </c>
      <c r="H291">
        <v>2252</v>
      </c>
      <c r="I291">
        <v>1604</v>
      </c>
      <c r="J291">
        <v>1117</v>
      </c>
      <c r="K291">
        <v>253</v>
      </c>
      <c r="L291">
        <v>8335</v>
      </c>
    </row>
    <row r="292" spans="1:12" x14ac:dyDescent="0.25">
      <c r="A292" t="s">
        <v>2</v>
      </c>
      <c r="B292" t="s">
        <v>51</v>
      </c>
      <c r="C292">
        <v>2003</v>
      </c>
      <c r="D292">
        <v>446</v>
      </c>
      <c r="E292">
        <v>344</v>
      </c>
      <c r="F292">
        <v>743</v>
      </c>
      <c r="G292">
        <v>1362</v>
      </c>
      <c r="H292">
        <v>2145</v>
      </c>
      <c r="I292">
        <v>1527</v>
      </c>
      <c r="J292">
        <v>1171</v>
      </c>
      <c r="K292">
        <v>177</v>
      </c>
      <c r="L292">
        <v>7915</v>
      </c>
    </row>
    <row r="293" spans="1:12" x14ac:dyDescent="0.25">
      <c r="A293" t="s">
        <v>2</v>
      </c>
      <c r="B293" t="s">
        <v>51</v>
      </c>
      <c r="C293">
        <v>2004</v>
      </c>
      <c r="D293">
        <v>389</v>
      </c>
      <c r="E293">
        <v>282</v>
      </c>
      <c r="F293">
        <v>696</v>
      </c>
      <c r="G293">
        <v>1205</v>
      </c>
      <c r="H293">
        <v>2015</v>
      </c>
      <c r="I293">
        <v>1436</v>
      </c>
      <c r="J293">
        <v>1241</v>
      </c>
      <c r="K293">
        <v>263</v>
      </c>
      <c r="L293">
        <v>7527</v>
      </c>
    </row>
    <row r="294" spans="1:12" x14ac:dyDescent="0.25">
      <c r="A294" t="s">
        <v>2</v>
      </c>
      <c r="B294" t="s">
        <v>51</v>
      </c>
      <c r="C294">
        <v>2005</v>
      </c>
      <c r="D294">
        <v>396</v>
      </c>
      <c r="E294">
        <v>260</v>
      </c>
      <c r="F294">
        <v>640</v>
      </c>
      <c r="G294">
        <v>1118</v>
      </c>
      <c r="H294">
        <v>1922</v>
      </c>
      <c r="I294">
        <v>1360</v>
      </c>
      <c r="J294">
        <v>1242</v>
      </c>
      <c r="K294">
        <v>230</v>
      </c>
      <c r="L294">
        <v>7168</v>
      </c>
    </row>
    <row r="295" spans="1:12" x14ac:dyDescent="0.25">
      <c r="A295" t="s">
        <v>2</v>
      </c>
      <c r="B295" t="s">
        <v>51</v>
      </c>
      <c r="C295">
        <v>2006</v>
      </c>
      <c r="D295">
        <v>354</v>
      </c>
      <c r="E295">
        <v>294</v>
      </c>
      <c r="F295">
        <v>654</v>
      </c>
      <c r="G295">
        <v>1066</v>
      </c>
      <c r="H295">
        <v>1827</v>
      </c>
      <c r="I295">
        <v>1200</v>
      </c>
      <c r="J295">
        <v>1277</v>
      </c>
      <c r="K295">
        <v>254</v>
      </c>
      <c r="L295">
        <v>6926</v>
      </c>
    </row>
    <row r="296" spans="1:12" x14ac:dyDescent="0.25">
      <c r="A296" t="s">
        <v>2</v>
      </c>
      <c r="B296" t="s">
        <v>51</v>
      </c>
      <c r="C296">
        <v>2007</v>
      </c>
      <c r="D296">
        <v>316</v>
      </c>
      <c r="E296">
        <v>303</v>
      </c>
      <c r="F296">
        <v>725</v>
      </c>
      <c r="G296">
        <v>1027</v>
      </c>
      <c r="H296">
        <v>1752</v>
      </c>
      <c r="I296">
        <v>1137</v>
      </c>
      <c r="J296">
        <v>1297</v>
      </c>
      <c r="K296">
        <v>303</v>
      </c>
      <c r="L296">
        <v>6860</v>
      </c>
    </row>
    <row r="297" spans="1:12" x14ac:dyDescent="0.25">
      <c r="A297" t="s">
        <v>2</v>
      </c>
      <c r="B297" t="s">
        <v>51</v>
      </c>
      <c r="C297">
        <v>2008</v>
      </c>
      <c r="D297">
        <v>369</v>
      </c>
      <c r="E297">
        <v>328</v>
      </c>
      <c r="F297">
        <v>729</v>
      </c>
      <c r="G297">
        <v>967</v>
      </c>
      <c r="H297">
        <v>1686</v>
      </c>
      <c r="I297">
        <v>1073</v>
      </c>
      <c r="J297">
        <v>1247</v>
      </c>
      <c r="K297">
        <v>346</v>
      </c>
      <c r="L297">
        <v>6745</v>
      </c>
    </row>
    <row r="298" spans="1:12" x14ac:dyDescent="0.25">
      <c r="A298" t="s">
        <v>2</v>
      </c>
      <c r="B298" t="s">
        <v>51</v>
      </c>
      <c r="C298">
        <v>2009</v>
      </c>
      <c r="D298">
        <v>318</v>
      </c>
      <c r="E298">
        <v>277</v>
      </c>
      <c r="F298">
        <v>693</v>
      </c>
      <c r="G298">
        <v>849</v>
      </c>
      <c r="H298">
        <v>1591</v>
      </c>
      <c r="I298">
        <v>982</v>
      </c>
      <c r="J298">
        <v>1160</v>
      </c>
      <c r="K298">
        <v>415</v>
      </c>
      <c r="L298">
        <v>6285</v>
      </c>
    </row>
    <row r="299" spans="1:12" x14ac:dyDescent="0.25">
      <c r="A299" t="s">
        <v>2</v>
      </c>
      <c r="B299" t="s">
        <v>51</v>
      </c>
      <c r="C299">
        <v>2010</v>
      </c>
      <c r="D299">
        <v>363</v>
      </c>
      <c r="E299">
        <v>306</v>
      </c>
      <c r="F299">
        <v>761</v>
      </c>
      <c r="G299">
        <v>794</v>
      </c>
      <c r="H299">
        <v>1527</v>
      </c>
      <c r="I299">
        <v>938</v>
      </c>
      <c r="J299">
        <v>1090</v>
      </c>
      <c r="K299">
        <v>337</v>
      </c>
      <c r="L299">
        <v>6116</v>
      </c>
    </row>
    <row r="300" spans="1:12" x14ac:dyDescent="0.25">
      <c r="A300" t="s">
        <v>2</v>
      </c>
      <c r="B300" t="s">
        <v>51</v>
      </c>
      <c r="C300">
        <v>2011</v>
      </c>
      <c r="D300">
        <v>389</v>
      </c>
      <c r="E300">
        <v>325</v>
      </c>
      <c r="F300">
        <v>803</v>
      </c>
      <c r="G300">
        <v>791</v>
      </c>
      <c r="H300">
        <v>1465</v>
      </c>
      <c r="I300">
        <v>948</v>
      </c>
      <c r="J300">
        <v>970</v>
      </c>
      <c r="K300">
        <v>491</v>
      </c>
      <c r="L300">
        <v>6182</v>
      </c>
    </row>
    <row r="301" spans="1:12" x14ac:dyDescent="0.25">
      <c r="A301" t="s">
        <v>2</v>
      </c>
      <c r="B301" t="s">
        <v>51</v>
      </c>
      <c r="C301">
        <v>2012</v>
      </c>
      <c r="D301">
        <v>422</v>
      </c>
      <c r="E301">
        <v>347</v>
      </c>
      <c r="F301">
        <v>829</v>
      </c>
      <c r="G301">
        <v>799</v>
      </c>
      <c r="H301">
        <v>1377</v>
      </c>
      <c r="I301">
        <v>907</v>
      </c>
      <c r="J301">
        <v>933</v>
      </c>
      <c r="K301">
        <v>474</v>
      </c>
      <c r="L301">
        <v>6088</v>
      </c>
    </row>
    <row r="302" spans="1:12" x14ac:dyDescent="0.25">
      <c r="A302" t="s">
        <v>2</v>
      </c>
      <c r="B302" t="s">
        <v>51</v>
      </c>
      <c r="C302">
        <v>2013</v>
      </c>
      <c r="D302">
        <v>382</v>
      </c>
      <c r="E302">
        <v>405</v>
      </c>
      <c r="F302">
        <v>816</v>
      </c>
      <c r="G302">
        <v>841</v>
      </c>
      <c r="H302">
        <v>1285</v>
      </c>
      <c r="I302">
        <v>861</v>
      </c>
      <c r="J302">
        <v>853</v>
      </c>
      <c r="K302">
        <v>528</v>
      </c>
      <c r="L302">
        <v>5971</v>
      </c>
    </row>
    <row r="303" spans="1:12" x14ac:dyDescent="0.25">
      <c r="A303" t="s">
        <v>2</v>
      </c>
      <c r="B303" t="s">
        <v>51</v>
      </c>
      <c r="C303">
        <v>2014</v>
      </c>
      <c r="D303">
        <v>358</v>
      </c>
      <c r="E303">
        <v>436</v>
      </c>
      <c r="F303">
        <v>814</v>
      </c>
      <c r="G303">
        <v>874</v>
      </c>
      <c r="H303">
        <v>1270</v>
      </c>
      <c r="I303">
        <v>860</v>
      </c>
      <c r="J303">
        <v>825</v>
      </c>
      <c r="K303">
        <v>508</v>
      </c>
      <c r="L303">
        <v>5945</v>
      </c>
    </row>
    <row r="304" spans="1:12" x14ac:dyDescent="0.25">
      <c r="A304" t="s">
        <v>2</v>
      </c>
      <c r="B304" t="s">
        <v>51</v>
      </c>
      <c r="C304">
        <v>2015</v>
      </c>
      <c r="D304">
        <v>367</v>
      </c>
      <c r="E304">
        <v>453</v>
      </c>
      <c r="F304">
        <v>887</v>
      </c>
      <c r="G304">
        <v>916</v>
      </c>
      <c r="H304">
        <v>1226</v>
      </c>
      <c r="I304">
        <v>849</v>
      </c>
      <c r="J304">
        <v>777</v>
      </c>
      <c r="K304">
        <v>484</v>
      </c>
      <c r="L304">
        <v>5959</v>
      </c>
    </row>
    <row r="305" spans="1:12" x14ac:dyDescent="0.25">
      <c r="A305" t="s">
        <v>2</v>
      </c>
      <c r="B305" t="s">
        <v>51</v>
      </c>
      <c r="C305">
        <v>2016</v>
      </c>
      <c r="D305">
        <v>523</v>
      </c>
      <c r="E305">
        <v>463</v>
      </c>
      <c r="F305">
        <v>952</v>
      </c>
      <c r="G305">
        <v>985</v>
      </c>
      <c r="H305">
        <v>1189</v>
      </c>
      <c r="I305">
        <v>796</v>
      </c>
      <c r="J305">
        <v>803</v>
      </c>
      <c r="K305">
        <v>456</v>
      </c>
      <c r="L305">
        <v>6167</v>
      </c>
    </row>
    <row r="306" spans="1:12" x14ac:dyDescent="0.25">
      <c r="A306" t="s">
        <v>2</v>
      </c>
      <c r="B306" t="s">
        <v>51</v>
      </c>
      <c r="C306">
        <v>2017</v>
      </c>
      <c r="D306">
        <v>584</v>
      </c>
      <c r="E306">
        <v>463</v>
      </c>
      <c r="F306">
        <v>996</v>
      </c>
      <c r="G306">
        <v>972</v>
      </c>
      <c r="H306">
        <v>1106</v>
      </c>
      <c r="I306">
        <v>768</v>
      </c>
      <c r="J306">
        <v>801</v>
      </c>
      <c r="K306">
        <v>456</v>
      </c>
      <c r="L306">
        <v>6146</v>
      </c>
    </row>
    <row r="307" spans="1:12" x14ac:dyDescent="0.25">
      <c r="A307" t="s">
        <v>2</v>
      </c>
      <c r="B307" t="s">
        <v>51</v>
      </c>
      <c r="C307">
        <v>2018</v>
      </c>
      <c r="D307">
        <v>654</v>
      </c>
      <c r="E307">
        <v>446</v>
      </c>
      <c r="F307">
        <v>1079</v>
      </c>
      <c r="G307">
        <v>1009</v>
      </c>
      <c r="H307">
        <v>1081</v>
      </c>
      <c r="I307">
        <v>728</v>
      </c>
      <c r="J307">
        <v>777</v>
      </c>
      <c r="K307">
        <v>467</v>
      </c>
      <c r="L307">
        <v>6241</v>
      </c>
    </row>
    <row r="308" spans="1:12" x14ac:dyDescent="0.25">
      <c r="A308" t="s">
        <v>2</v>
      </c>
      <c r="B308" t="s">
        <v>51</v>
      </c>
      <c r="C308">
        <v>2019</v>
      </c>
      <c r="D308">
        <v>1209</v>
      </c>
      <c r="E308">
        <v>513</v>
      </c>
      <c r="F308">
        <v>1088</v>
      </c>
      <c r="G308">
        <v>1057</v>
      </c>
      <c r="H308">
        <v>1061</v>
      </c>
      <c r="I308">
        <v>750</v>
      </c>
      <c r="J308">
        <v>743</v>
      </c>
      <c r="K308">
        <v>533</v>
      </c>
      <c r="L308">
        <v>6954</v>
      </c>
    </row>
    <row r="309" spans="1:12" x14ac:dyDescent="0.25">
      <c r="A309" t="s">
        <v>2</v>
      </c>
      <c r="B309" t="s">
        <v>51</v>
      </c>
      <c r="C309">
        <v>2020</v>
      </c>
      <c r="D309">
        <v>1002</v>
      </c>
      <c r="E309">
        <v>462</v>
      </c>
      <c r="F309">
        <v>1070</v>
      </c>
      <c r="G309">
        <v>1033</v>
      </c>
      <c r="H309">
        <v>960</v>
      </c>
      <c r="I309">
        <v>721</v>
      </c>
      <c r="J309">
        <v>719</v>
      </c>
      <c r="K309">
        <v>454</v>
      </c>
      <c r="L309">
        <v>6421</v>
      </c>
    </row>
    <row r="310" spans="1:12" x14ac:dyDescent="0.25">
      <c r="A310" t="s">
        <v>2</v>
      </c>
      <c r="B310" t="s">
        <v>51</v>
      </c>
      <c r="C310">
        <v>2021</v>
      </c>
      <c r="D310">
        <v>1204</v>
      </c>
      <c r="E310">
        <v>429</v>
      </c>
      <c r="F310">
        <v>1067</v>
      </c>
      <c r="G310">
        <v>1106</v>
      </c>
      <c r="H310">
        <v>955</v>
      </c>
      <c r="I310">
        <v>682</v>
      </c>
      <c r="J310">
        <v>658</v>
      </c>
      <c r="K310">
        <v>461</v>
      </c>
      <c r="L310">
        <v>6562</v>
      </c>
    </row>
    <row r="311" spans="1:12" x14ac:dyDescent="0.25">
      <c r="A311" t="s">
        <v>2</v>
      </c>
      <c r="B311" t="s">
        <v>51</v>
      </c>
      <c r="C311">
        <v>2022</v>
      </c>
      <c r="D311">
        <v>1395</v>
      </c>
      <c r="E311">
        <v>443</v>
      </c>
      <c r="F311">
        <v>1155</v>
      </c>
      <c r="G311">
        <v>1136</v>
      </c>
      <c r="H311">
        <v>951</v>
      </c>
      <c r="I311">
        <v>633</v>
      </c>
      <c r="J311">
        <v>640</v>
      </c>
      <c r="K311">
        <v>463</v>
      </c>
      <c r="L311">
        <v>6816</v>
      </c>
    </row>
    <row r="312" spans="1:12" x14ac:dyDescent="0.25">
      <c r="A312" t="s">
        <v>2</v>
      </c>
      <c r="B312" t="s">
        <v>51</v>
      </c>
      <c r="C312">
        <v>2023</v>
      </c>
      <c r="D312">
        <v>1438</v>
      </c>
      <c r="E312">
        <v>436</v>
      </c>
      <c r="F312">
        <v>1178</v>
      </c>
      <c r="G312">
        <v>1125</v>
      </c>
      <c r="H312">
        <v>1024</v>
      </c>
      <c r="I312">
        <v>578</v>
      </c>
      <c r="J312">
        <v>625</v>
      </c>
      <c r="K312">
        <v>477</v>
      </c>
      <c r="L312">
        <v>6881</v>
      </c>
    </row>
    <row r="313" spans="1:12" x14ac:dyDescent="0.25">
      <c r="A313" t="s">
        <v>2</v>
      </c>
      <c r="B313" t="s">
        <v>51</v>
      </c>
      <c r="C313">
        <v>2024</v>
      </c>
      <c r="D313">
        <v>1399</v>
      </c>
      <c r="E313">
        <v>350</v>
      </c>
      <c r="F313">
        <v>1126</v>
      </c>
      <c r="G313">
        <v>1056</v>
      </c>
      <c r="H313">
        <v>1007</v>
      </c>
      <c r="I313">
        <v>524</v>
      </c>
      <c r="J313">
        <v>641</v>
      </c>
      <c r="K313">
        <v>478</v>
      </c>
      <c r="L313">
        <v>6581</v>
      </c>
    </row>
    <row r="314" spans="1:12" x14ac:dyDescent="0.25">
      <c r="A314" t="s">
        <v>2</v>
      </c>
      <c r="B314" t="s">
        <v>52</v>
      </c>
      <c r="C314">
        <v>2001</v>
      </c>
      <c r="D314">
        <v>572</v>
      </c>
      <c r="E314">
        <v>3446</v>
      </c>
      <c r="F314">
        <v>8162</v>
      </c>
      <c r="G314">
        <v>8148</v>
      </c>
      <c r="H314">
        <v>6835</v>
      </c>
      <c r="I314">
        <v>3049</v>
      </c>
      <c r="J314">
        <v>1278</v>
      </c>
      <c r="K314">
        <v>220</v>
      </c>
      <c r="L314">
        <v>31710</v>
      </c>
    </row>
    <row r="315" spans="1:12" x14ac:dyDescent="0.25">
      <c r="A315" t="s">
        <v>2</v>
      </c>
      <c r="B315" t="s">
        <v>52</v>
      </c>
      <c r="C315">
        <v>2002</v>
      </c>
      <c r="D315">
        <v>676</v>
      </c>
      <c r="E315">
        <v>3432</v>
      </c>
      <c r="F315">
        <v>7800</v>
      </c>
      <c r="G315">
        <v>8460</v>
      </c>
      <c r="H315">
        <v>6879</v>
      </c>
      <c r="I315">
        <v>3123</v>
      </c>
      <c r="J315">
        <v>1534</v>
      </c>
      <c r="K315">
        <v>283</v>
      </c>
      <c r="L315">
        <v>32187</v>
      </c>
    </row>
    <row r="316" spans="1:12" x14ac:dyDescent="0.25">
      <c r="A316" t="s">
        <v>2</v>
      </c>
      <c r="B316" t="s">
        <v>52</v>
      </c>
      <c r="C316">
        <v>2003</v>
      </c>
      <c r="D316">
        <v>591</v>
      </c>
      <c r="E316">
        <v>3270</v>
      </c>
      <c r="F316">
        <v>7264</v>
      </c>
      <c r="G316">
        <v>8460</v>
      </c>
      <c r="H316">
        <v>6899</v>
      </c>
      <c r="I316">
        <v>3226</v>
      </c>
      <c r="J316">
        <v>1678</v>
      </c>
      <c r="K316">
        <v>207</v>
      </c>
      <c r="L316">
        <v>31595</v>
      </c>
    </row>
    <row r="317" spans="1:12" x14ac:dyDescent="0.25">
      <c r="A317" t="s">
        <v>2</v>
      </c>
      <c r="B317" t="s">
        <v>52</v>
      </c>
      <c r="C317">
        <v>2004</v>
      </c>
      <c r="D317">
        <v>562</v>
      </c>
      <c r="E317">
        <v>3158</v>
      </c>
      <c r="F317">
        <v>6834</v>
      </c>
      <c r="G317">
        <v>8421</v>
      </c>
      <c r="H317">
        <v>6847</v>
      </c>
      <c r="I317">
        <v>3277</v>
      </c>
      <c r="J317">
        <v>1963</v>
      </c>
      <c r="K317">
        <v>317</v>
      </c>
      <c r="L317">
        <v>31379</v>
      </c>
    </row>
    <row r="318" spans="1:12" x14ac:dyDescent="0.25">
      <c r="A318" t="s">
        <v>2</v>
      </c>
      <c r="B318" t="s">
        <v>52</v>
      </c>
      <c r="C318">
        <v>2005</v>
      </c>
      <c r="D318">
        <v>592</v>
      </c>
      <c r="E318">
        <v>3052</v>
      </c>
      <c r="F318">
        <v>6532</v>
      </c>
      <c r="G318">
        <v>8452</v>
      </c>
      <c r="H318">
        <v>7014</v>
      </c>
      <c r="I318">
        <v>3244</v>
      </c>
      <c r="J318">
        <v>2136</v>
      </c>
      <c r="K318">
        <v>340</v>
      </c>
      <c r="L318">
        <v>31362</v>
      </c>
    </row>
    <row r="319" spans="1:12" x14ac:dyDescent="0.25">
      <c r="A319" t="s">
        <v>2</v>
      </c>
      <c r="B319" t="s">
        <v>52</v>
      </c>
      <c r="C319">
        <v>2006</v>
      </c>
      <c r="D319">
        <v>662</v>
      </c>
      <c r="E319">
        <v>3272</v>
      </c>
      <c r="F319">
        <v>6338</v>
      </c>
      <c r="G319">
        <v>8557</v>
      </c>
      <c r="H319">
        <v>7073</v>
      </c>
      <c r="I319">
        <v>3212</v>
      </c>
      <c r="J319">
        <v>2344</v>
      </c>
      <c r="K319">
        <v>364</v>
      </c>
      <c r="L319">
        <v>31822</v>
      </c>
    </row>
    <row r="320" spans="1:12" x14ac:dyDescent="0.25">
      <c r="A320" t="s">
        <v>2</v>
      </c>
      <c r="B320" t="s">
        <v>52</v>
      </c>
      <c r="C320">
        <v>2007</v>
      </c>
      <c r="D320">
        <v>724</v>
      </c>
      <c r="E320">
        <v>3477</v>
      </c>
      <c r="F320">
        <v>6204</v>
      </c>
      <c r="G320">
        <v>8562</v>
      </c>
      <c r="H320">
        <v>7277</v>
      </c>
      <c r="I320">
        <v>3220</v>
      </c>
      <c r="J320">
        <v>2507</v>
      </c>
      <c r="K320">
        <v>498</v>
      </c>
      <c r="L320">
        <v>32469</v>
      </c>
    </row>
    <row r="321" spans="1:12" x14ac:dyDescent="0.25">
      <c r="A321" t="s">
        <v>2</v>
      </c>
      <c r="B321" t="s">
        <v>52</v>
      </c>
      <c r="C321">
        <v>2008</v>
      </c>
      <c r="D321">
        <v>670</v>
      </c>
      <c r="E321">
        <v>3542</v>
      </c>
      <c r="F321">
        <v>5992</v>
      </c>
      <c r="G321">
        <v>8525</v>
      </c>
      <c r="H321">
        <v>7381</v>
      </c>
      <c r="I321">
        <v>3148</v>
      </c>
      <c r="J321">
        <v>2565</v>
      </c>
      <c r="K321">
        <v>595</v>
      </c>
      <c r="L321">
        <v>32418</v>
      </c>
    </row>
    <row r="322" spans="1:12" x14ac:dyDescent="0.25">
      <c r="A322" t="s">
        <v>2</v>
      </c>
      <c r="B322" t="s">
        <v>52</v>
      </c>
      <c r="C322">
        <v>2009</v>
      </c>
      <c r="D322">
        <v>605</v>
      </c>
      <c r="E322">
        <v>3241</v>
      </c>
      <c r="F322">
        <v>5581</v>
      </c>
      <c r="G322">
        <v>8155</v>
      </c>
      <c r="H322">
        <v>7594</v>
      </c>
      <c r="I322">
        <v>3024</v>
      </c>
      <c r="J322">
        <v>2601</v>
      </c>
      <c r="K322">
        <v>678</v>
      </c>
      <c r="L322">
        <v>31479</v>
      </c>
    </row>
    <row r="323" spans="1:12" x14ac:dyDescent="0.25">
      <c r="A323" t="s">
        <v>2</v>
      </c>
      <c r="B323" t="s">
        <v>52</v>
      </c>
      <c r="C323">
        <v>2010</v>
      </c>
      <c r="D323">
        <v>717</v>
      </c>
      <c r="E323">
        <v>3530</v>
      </c>
      <c r="F323">
        <v>5589</v>
      </c>
      <c r="G323">
        <v>7893</v>
      </c>
      <c r="H323">
        <v>7827</v>
      </c>
      <c r="I323">
        <v>3099</v>
      </c>
      <c r="J323">
        <v>2591</v>
      </c>
      <c r="K323">
        <v>659</v>
      </c>
      <c r="L323">
        <v>31905</v>
      </c>
    </row>
    <row r="324" spans="1:12" x14ac:dyDescent="0.25">
      <c r="A324" t="s">
        <v>2</v>
      </c>
      <c r="B324" t="s">
        <v>52</v>
      </c>
      <c r="C324">
        <v>2011</v>
      </c>
      <c r="D324">
        <v>724</v>
      </c>
      <c r="E324">
        <v>3857</v>
      </c>
      <c r="F324">
        <v>5658</v>
      </c>
      <c r="G324">
        <v>7671</v>
      </c>
      <c r="H324">
        <v>8035</v>
      </c>
      <c r="I324">
        <v>3159</v>
      </c>
      <c r="J324">
        <v>2529</v>
      </c>
      <c r="K324">
        <v>894</v>
      </c>
      <c r="L324">
        <v>32527</v>
      </c>
    </row>
    <row r="325" spans="1:12" x14ac:dyDescent="0.25">
      <c r="A325" t="s">
        <v>2</v>
      </c>
      <c r="B325" t="s">
        <v>52</v>
      </c>
      <c r="C325">
        <v>2012</v>
      </c>
      <c r="D325">
        <v>750</v>
      </c>
      <c r="E325">
        <v>3972</v>
      </c>
      <c r="F325">
        <v>5628</v>
      </c>
      <c r="G325">
        <v>7392</v>
      </c>
      <c r="H325">
        <v>8218</v>
      </c>
      <c r="I325">
        <v>3282</v>
      </c>
      <c r="J325">
        <v>2558</v>
      </c>
      <c r="K325">
        <v>949</v>
      </c>
      <c r="L325">
        <v>32749</v>
      </c>
    </row>
    <row r="326" spans="1:12" x14ac:dyDescent="0.25">
      <c r="A326" t="s">
        <v>2</v>
      </c>
      <c r="B326" t="s">
        <v>52</v>
      </c>
      <c r="C326">
        <v>2013</v>
      </c>
      <c r="D326">
        <v>760</v>
      </c>
      <c r="E326">
        <v>4089</v>
      </c>
      <c r="F326">
        <v>5772</v>
      </c>
      <c r="G326">
        <v>7085</v>
      </c>
      <c r="H326">
        <v>8278</v>
      </c>
      <c r="I326">
        <v>3407</v>
      </c>
      <c r="J326">
        <v>2554</v>
      </c>
      <c r="K326">
        <v>1055</v>
      </c>
      <c r="L326">
        <v>33000</v>
      </c>
    </row>
    <row r="327" spans="1:12" x14ac:dyDescent="0.25">
      <c r="A327" t="s">
        <v>2</v>
      </c>
      <c r="B327" t="s">
        <v>52</v>
      </c>
      <c r="C327">
        <v>2014</v>
      </c>
      <c r="D327">
        <v>674</v>
      </c>
      <c r="E327">
        <v>4320</v>
      </c>
      <c r="F327">
        <v>6072</v>
      </c>
      <c r="G327">
        <v>6982</v>
      </c>
      <c r="H327">
        <v>8459</v>
      </c>
      <c r="I327">
        <v>3534</v>
      </c>
      <c r="J327">
        <v>2569</v>
      </c>
      <c r="K327">
        <v>1059</v>
      </c>
      <c r="L327">
        <v>33669</v>
      </c>
    </row>
    <row r="328" spans="1:12" x14ac:dyDescent="0.25">
      <c r="A328" t="s">
        <v>2</v>
      </c>
      <c r="B328" t="s">
        <v>52</v>
      </c>
      <c r="C328">
        <v>2015</v>
      </c>
      <c r="D328">
        <v>741</v>
      </c>
      <c r="E328">
        <v>4426</v>
      </c>
      <c r="F328">
        <v>6374</v>
      </c>
      <c r="G328">
        <v>6802</v>
      </c>
      <c r="H328">
        <v>8579</v>
      </c>
      <c r="I328">
        <v>3544</v>
      </c>
      <c r="J328">
        <v>2674</v>
      </c>
      <c r="K328">
        <v>1100</v>
      </c>
      <c r="L328">
        <v>34240</v>
      </c>
    </row>
    <row r="329" spans="1:12" x14ac:dyDescent="0.25">
      <c r="A329" t="s">
        <v>2</v>
      </c>
      <c r="B329" t="s">
        <v>52</v>
      </c>
      <c r="C329">
        <v>2016</v>
      </c>
      <c r="D329">
        <v>788</v>
      </c>
      <c r="E329">
        <v>4323</v>
      </c>
      <c r="F329">
        <v>6752</v>
      </c>
      <c r="G329">
        <v>6539</v>
      </c>
      <c r="H329">
        <v>8656</v>
      </c>
      <c r="I329">
        <v>3555</v>
      </c>
      <c r="J329">
        <v>2775</v>
      </c>
      <c r="K329">
        <v>1087</v>
      </c>
      <c r="L329">
        <v>34475</v>
      </c>
    </row>
    <row r="330" spans="1:12" x14ac:dyDescent="0.25">
      <c r="A330" t="s">
        <v>2</v>
      </c>
      <c r="B330" t="s">
        <v>52</v>
      </c>
      <c r="C330">
        <v>2017</v>
      </c>
      <c r="D330">
        <v>826</v>
      </c>
      <c r="E330">
        <v>4335</v>
      </c>
      <c r="F330">
        <v>6941</v>
      </c>
      <c r="G330">
        <v>6350</v>
      </c>
      <c r="H330">
        <v>8671</v>
      </c>
      <c r="I330">
        <v>3568</v>
      </c>
      <c r="J330">
        <v>2815</v>
      </c>
      <c r="K330">
        <v>1218</v>
      </c>
      <c r="L330">
        <v>34724</v>
      </c>
    </row>
    <row r="331" spans="1:12" x14ac:dyDescent="0.25">
      <c r="A331" t="s">
        <v>2</v>
      </c>
      <c r="B331" t="s">
        <v>52</v>
      </c>
      <c r="C331">
        <v>2018</v>
      </c>
      <c r="D331">
        <v>828</v>
      </c>
      <c r="E331">
        <v>4234</v>
      </c>
      <c r="F331">
        <v>7154</v>
      </c>
      <c r="G331">
        <v>6289</v>
      </c>
      <c r="H331">
        <v>8588</v>
      </c>
      <c r="I331">
        <v>3653</v>
      </c>
      <c r="J331">
        <v>2971</v>
      </c>
      <c r="K331">
        <v>1284</v>
      </c>
      <c r="L331">
        <v>35001</v>
      </c>
    </row>
    <row r="332" spans="1:12" x14ac:dyDescent="0.25">
      <c r="A332" t="s">
        <v>2</v>
      </c>
      <c r="B332" t="s">
        <v>52</v>
      </c>
      <c r="C332">
        <v>2019</v>
      </c>
      <c r="D332">
        <v>931</v>
      </c>
      <c r="E332">
        <v>4137</v>
      </c>
      <c r="F332">
        <v>7522</v>
      </c>
      <c r="G332">
        <v>6166</v>
      </c>
      <c r="H332">
        <v>8548</v>
      </c>
      <c r="I332">
        <v>3895</v>
      </c>
      <c r="J332">
        <v>3035</v>
      </c>
      <c r="K332">
        <v>1487</v>
      </c>
      <c r="L332">
        <v>35721</v>
      </c>
    </row>
    <row r="333" spans="1:12" x14ac:dyDescent="0.25">
      <c r="A333" t="s">
        <v>2</v>
      </c>
      <c r="B333" t="s">
        <v>52</v>
      </c>
      <c r="C333">
        <v>2020</v>
      </c>
      <c r="D333">
        <v>891</v>
      </c>
      <c r="E333">
        <v>4122</v>
      </c>
      <c r="F333">
        <v>7470</v>
      </c>
      <c r="G333">
        <v>6000</v>
      </c>
      <c r="H333">
        <v>8139</v>
      </c>
      <c r="I333">
        <v>4048</v>
      </c>
      <c r="J333">
        <v>2953</v>
      </c>
      <c r="K333">
        <v>1381</v>
      </c>
      <c r="L333">
        <v>35004</v>
      </c>
    </row>
    <row r="334" spans="1:12" x14ac:dyDescent="0.25">
      <c r="A334" t="s">
        <v>2</v>
      </c>
      <c r="B334" t="s">
        <v>52</v>
      </c>
      <c r="C334">
        <v>2021</v>
      </c>
      <c r="D334">
        <v>946</v>
      </c>
      <c r="E334">
        <v>4315</v>
      </c>
      <c r="F334">
        <v>7566</v>
      </c>
      <c r="G334">
        <v>5955</v>
      </c>
      <c r="H334">
        <v>7937</v>
      </c>
      <c r="I334">
        <v>4285</v>
      </c>
      <c r="J334">
        <v>2997</v>
      </c>
      <c r="K334">
        <v>1455</v>
      </c>
      <c r="L334">
        <v>35456</v>
      </c>
    </row>
    <row r="335" spans="1:12" x14ac:dyDescent="0.25">
      <c r="A335" t="s">
        <v>2</v>
      </c>
      <c r="B335" t="s">
        <v>52</v>
      </c>
      <c r="C335">
        <v>2022</v>
      </c>
      <c r="D335">
        <v>1021</v>
      </c>
      <c r="E335">
        <v>4352</v>
      </c>
      <c r="F335">
        <v>7490</v>
      </c>
      <c r="G335">
        <v>6038</v>
      </c>
      <c r="H335">
        <v>7684</v>
      </c>
      <c r="I335">
        <v>4453</v>
      </c>
      <c r="J335">
        <v>3059</v>
      </c>
      <c r="K335">
        <v>1567</v>
      </c>
      <c r="L335">
        <v>35664</v>
      </c>
    </row>
    <row r="336" spans="1:12" x14ac:dyDescent="0.25">
      <c r="A336" t="s">
        <v>2</v>
      </c>
      <c r="B336" t="s">
        <v>52</v>
      </c>
      <c r="C336">
        <v>2023</v>
      </c>
      <c r="D336">
        <v>981</v>
      </c>
      <c r="E336">
        <v>4428</v>
      </c>
      <c r="F336">
        <v>7393</v>
      </c>
      <c r="G336">
        <v>6181</v>
      </c>
      <c r="H336">
        <v>7347</v>
      </c>
      <c r="I336">
        <v>4486</v>
      </c>
      <c r="J336">
        <v>3215</v>
      </c>
      <c r="K336">
        <v>1672</v>
      </c>
      <c r="L336">
        <v>35703</v>
      </c>
    </row>
    <row r="337" spans="1:12" x14ac:dyDescent="0.25">
      <c r="A337" t="s">
        <v>2</v>
      </c>
      <c r="B337" t="s">
        <v>52</v>
      </c>
      <c r="C337">
        <v>2024</v>
      </c>
      <c r="D337">
        <v>926</v>
      </c>
      <c r="E337">
        <v>4253</v>
      </c>
      <c r="F337">
        <v>7227</v>
      </c>
      <c r="G337">
        <v>6123</v>
      </c>
      <c r="H337">
        <v>7022</v>
      </c>
      <c r="I337">
        <v>4378</v>
      </c>
      <c r="J337">
        <v>3407</v>
      </c>
      <c r="K337">
        <v>1776</v>
      </c>
      <c r="L337">
        <v>35112</v>
      </c>
    </row>
    <row r="338" spans="1:12" x14ac:dyDescent="0.25">
      <c r="A338" t="s">
        <v>2</v>
      </c>
      <c r="B338" t="s">
        <v>53</v>
      </c>
      <c r="C338">
        <v>2001</v>
      </c>
      <c r="D338">
        <v>0</v>
      </c>
      <c r="E338">
        <v>802</v>
      </c>
      <c r="F338">
        <v>2872</v>
      </c>
      <c r="G338">
        <v>3095</v>
      </c>
      <c r="H338">
        <v>2575</v>
      </c>
      <c r="I338">
        <v>916</v>
      </c>
      <c r="J338">
        <v>431</v>
      </c>
      <c r="K338">
        <v>61</v>
      </c>
      <c r="L338">
        <v>10752</v>
      </c>
    </row>
    <row r="339" spans="1:12" x14ac:dyDescent="0.25">
      <c r="A339" t="s">
        <v>2</v>
      </c>
      <c r="B339" t="s">
        <v>53</v>
      </c>
      <c r="C339">
        <v>2002</v>
      </c>
      <c r="D339">
        <v>3</v>
      </c>
      <c r="E339">
        <v>813</v>
      </c>
      <c r="F339">
        <v>2659</v>
      </c>
      <c r="G339">
        <v>3231</v>
      </c>
      <c r="H339">
        <v>2651</v>
      </c>
      <c r="I339">
        <v>978</v>
      </c>
      <c r="J339">
        <v>494</v>
      </c>
      <c r="K339">
        <v>88</v>
      </c>
      <c r="L339">
        <v>10917</v>
      </c>
    </row>
    <row r="340" spans="1:12" x14ac:dyDescent="0.25">
      <c r="A340" t="s">
        <v>2</v>
      </c>
      <c r="B340" t="s">
        <v>53</v>
      </c>
      <c r="C340">
        <v>2003</v>
      </c>
      <c r="D340">
        <v>0</v>
      </c>
      <c r="E340">
        <v>698</v>
      </c>
      <c r="F340">
        <v>2384</v>
      </c>
      <c r="G340">
        <v>3315</v>
      </c>
      <c r="H340">
        <v>2738</v>
      </c>
      <c r="I340">
        <v>1008</v>
      </c>
      <c r="J340">
        <v>554</v>
      </c>
      <c r="K340">
        <v>87</v>
      </c>
      <c r="L340">
        <v>10784</v>
      </c>
    </row>
    <row r="341" spans="1:12" x14ac:dyDescent="0.25">
      <c r="A341" t="s">
        <v>2</v>
      </c>
      <c r="B341" t="s">
        <v>53</v>
      </c>
      <c r="C341">
        <v>2004</v>
      </c>
      <c r="D341">
        <v>0</v>
      </c>
      <c r="E341">
        <v>721</v>
      </c>
      <c r="F341">
        <v>2269</v>
      </c>
      <c r="G341">
        <v>3341</v>
      </c>
      <c r="H341">
        <v>2736</v>
      </c>
      <c r="I341">
        <v>1064</v>
      </c>
      <c r="J341">
        <v>628</v>
      </c>
      <c r="K341">
        <v>109</v>
      </c>
      <c r="L341">
        <v>10868</v>
      </c>
    </row>
    <row r="342" spans="1:12" x14ac:dyDescent="0.25">
      <c r="A342" t="s">
        <v>2</v>
      </c>
      <c r="B342" t="s">
        <v>53</v>
      </c>
      <c r="C342">
        <v>2005</v>
      </c>
      <c r="D342">
        <v>2</v>
      </c>
      <c r="E342">
        <v>679</v>
      </c>
      <c r="F342">
        <v>2074</v>
      </c>
      <c r="G342">
        <v>3327</v>
      </c>
      <c r="H342">
        <v>2676</v>
      </c>
      <c r="I342">
        <v>1121</v>
      </c>
      <c r="J342">
        <v>687</v>
      </c>
      <c r="K342">
        <v>127</v>
      </c>
      <c r="L342">
        <v>10693</v>
      </c>
    </row>
    <row r="343" spans="1:12" x14ac:dyDescent="0.25">
      <c r="A343" t="s">
        <v>2</v>
      </c>
      <c r="B343" t="s">
        <v>53</v>
      </c>
      <c r="C343">
        <v>2006</v>
      </c>
      <c r="D343">
        <v>1</v>
      </c>
      <c r="E343">
        <v>868</v>
      </c>
      <c r="F343">
        <v>2036</v>
      </c>
      <c r="G343">
        <v>3328</v>
      </c>
      <c r="H343">
        <v>2695</v>
      </c>
      <c r="I343">
        <v>1206</v>
      </c>
      <c r="J343">
        <v>709</v>
      </c>
      <c r="K343">
        <v>136</v>
      </c>
      <c r="L343">
        <v>10979</v>
      </c>
    </row>
    <row r="344" spans="1:12" x14ac:dyDescent="0.25">
      <c r="A344" t="s">
        <v>2</v>
      </c>
      <c r="B344" t="s">
        <v>53</v>
      </c>
      <c r="C344">
        <v>2007</v>
      </c>
      <c r="D344">
        <v>2</v>
      </c>
      <c r="E344">
        <v>994</v>
      </c>
      <c r="F344">
        <v>1914</v>
      </c>
      <c r="G344">
        <v>3353</v>
      </c>
      <c r="H344">
        <v>2669</v>
      </c>
      <c r="I344">
        <v>1238</v>
      </c>
      <c r="J344">
        <v>801</v>
      </c>
      <c r="K344">
        <v>158</v>
      </c>
      <c r="L344">
        <v>11129</v>
      </c>
    </row>
    <row r="345" spans="1:12" x14ac:dyDescent="0.25">
      <c r="A345" t="s">
        <v>2</v>
      </c>
      <c r="B345" t="s">
        <v>53</v>
      </c>
      <c r="C345">
        <v>2008</v>
      </c>
      <c r="D345">
        <v>1</v>
      </c>
      <c r="E345">
        <v>948</v>
      </c>
      <c r="F345">
        <v>1898</v>
      </c>
      <c r="G345">
        <v>3327</v>
      </c>
      <c r="H345">
        <v>2763</v>
      </c>
      <c r="I345">
        <v>1281</v>
      </c>
      <c r="J345">
        <v>853</v>
      </c>
      <c r="K345">
        <v>200</v>
      </c>
      <c r="L345">
        <v>11271</v>
      </c>
    </row>
    <row r="346" spans="1:12" x14ac:dyDescent="0.25">
      <c r="A346" t="s">
        <v>2</v>
      </c>
      <c r="B346" t="s">
        <v>53</v>
      </c>
      <c r="C346">
        <v>2009</v>
      </c>
      <c r="D346">
        <v>3</v>
      </c>
      <c r="E346">
        <v>821</v>
      </c>
      <c r="F346">
        <v>1781</v>
      </c>
      <c r="G346">
        <v>3223</v>
      </c>
      <c r="H346">
        <v>2830</v>
      </c>
      <c r="I346">
        <v>1264</v>
      </c>
      <c r="J346">
        <v>928</v>
      </c>
      <c r="K346">
        <v>244</v>
      </c>
      <c r="L346">
        <v>11094</v>
      </c>
    </row>
    <row r="347" spans="1:12" x14ac:dyDescent="0.25">
      <c r="A347" t="s">
        <v>2</v>
      </c>
      <c r="B347" t="s">
        <v>53</v>
      </c>
      <c r="C347">
        <v>2010</v>
      </c>
      <c r="D347">
        <v>3</v>
      </c>
      <c r="E347">
        <v>1005</v>
      </c>
      <c r="F347">
        <v>1954</v>
      </c>
      <c r="G347">
        <v>3103</v>
      </c>
      <c r="H347">
        <v>2904</v>
      </c>
      <c r="I347">
        <v>1280</v>
      </c>
      <c r="J347">
        <v>1001</v>
      </c>
      <c r="K347">
        <v>236</v>
      </c>
      <c r="L347">
        <v>11486</v>
      </c>
    </row>
    <row r="348" spans="1:12" x14ac:dyDescent="0.25">
      <c r="A348" t="s">
        <v>2</v>
      </c>
      <c r="B348" t="s">
        <v>53</v>
      </c>
      <c r="C348">
        <v>2011</v>
      </c>
      <c r="D348">
        <v>8</v>
      </c>
      <c r="E348">
        <v>959</v>
      </c>
      <c r="F348">
        <v>2046</v>
      </c>
      <c r="G348">
        <v>2988</v>
      </c>
      <c r="H348">
        <v>3059</v>
      </c>
      <c r="I348">
        <v>1244</v>
      </c>
      <c r="J348">
        <v>1018</v>
      </c>
      <c r="K348">
        <v>292</v>
      </c>
      <c r="L348">
        <v>11614</v>
      </c>
    </row>
    <row r="349" spans="1:12" x14ac:dyDescent="0.25">
      <c r="A349" t="s">
        <v>2</v>
      </c>
      <c r="B349" t="s">
        <v>53</v>
      </c>
      <c r="C349">
        <v>2012</v>
      </c>
      <c r="D349">
        <v>4</v>
      </c>
      <c r="E349">
        <v>1111</v>
      </c>
      <c r="F349">
        <v>2124</v>
      </c>
      <c r="G349">
        <v>2838</v>
      </c>
      <c r="H349">
        <v>3217</v>
      </c>
      <c r="I349">
        <v>1217</v>
      </c>
      <c r="J349">
        <v>1054</v>
      </c>
      <c r="K349">
        <v>352</v>
      </c>
      <c r="L349">
        <v>11917</v>
      </c>
    </row>
    <row r="350" spans="1:12" x14ac:dyDescent="0.25">
      <c r="A350" t="s">
        <v>2</v>
      </c>
      <c r="B350" t="s">
        <v>53</v>
      </c>
      <c r="C350">
        <v>2013</v>
      </c>
      <c r="D350">
        <v>5</v>
      </c>
      <c r="E350">
        <v>1175</v>
      </c>
      <c r="F350">
        <v>2226</v>
      </c>
      <c r="G350">
        <v>2738</v>
      </c>
      <c r="H350">
        <v>3327</v>
      </c>
      <c r="I350">
        <v>1203</v>
      </c>
      <c r="J350">
        <v>1088</v>
      </c>
      <c r="K350">
        <v>365</v>
      </c>
      <c r="L350">
        <v>12127</v>
      </c>
    </row>
    <row r="351" spans="1:12" x14ac:dyDescent="0.25">
      <c r="A351" t="s">
        <v>2</v>
      </c>
      <c r="B351" t="s">
        <v>53</v>
      </c>
      <c r="C351">
        <v>2014</v>
      </c>
      <c r="D351">
        <v>5</v>
      </c>
      <c r="E351">
        <v>1152</v>
      </c>
      <c r="F351">
        <v>2403</v>
      </c>
      <c r="G351">
        <v>2695</v>
      </c>
      <c r="H351">
        <v>3434</v>
      </c>
      <c r="I351">
        <v>1217</v>
      </c>
      <c r="J351">
        <v>1072</v>
      </c>
      <c r="K351">
        <v>380</v>
      </c>
      <c r="L351">
        <v>12358</v>
      </c>
    </row>
    <row r="352" spans="1:12" x14ac:dyDescent="0.25">
      <c r="A352" t="s">
        <v>2</v>
      </c>
      <c r="B352" t="s">
        <v>53</v>
      </c>
      <c r="C352">
        <v>2015</v>
      </c>
      <c r="D352">
        <v>1</v>
      </c>
      <c r="E352">
        <v>1268</v>
      </c>
      <c r="F352">
        <v>2610</v>
      </c>
      <c r="G352">
        <v>2596</v>
      </c>
      <c r="H352">
        <v>3470</v>
      </c>
      <c r="I352">
        <v>1248</v>
      </c>
      <c r="J352">
        <v>1051</v>
      </c>
      <c r="K352">
        <v>412</v>
      </c>
      <c r="L352">
        <v>12656</v>
      </c>
    </row>
    <row r="353" spans="1:12" x14ac:dyDescent="0.25">
      <c r="A353" t="s">
        <v>2</v>
      </c>
      <c r="B353" t="s">
        <v>53</v>
      </c>
      <c r="C353">
        <v>2016</v>
      </c>
      <c r="D353">
        <v>2</v>
      </c>
      <c r="E353">
        <v>1404</v>
      </c>
      <c r="F353">
        <v>2866</v>
      </c>
      <c r="G353">
        <v>2547</v>
      </c>
      <c r="H353">
        <v>3475</v>
      </c>
      <c r="I353">
        <v>1322</v>
      </c>
      <c r="J353">
        <v>1048</v>
      </c>
      <c r="K353">
        <v>441</v>
      </c>
      <c r="L353">
        <v>13105</v>
      </c>
    </row>
    <row r="354" spans="1:12" x14ac:dyDescent="0.25">
      <c r="A354" t="s">
        <v>2</v>
      </c>
      <c r="B354" t="s">
        <v>53</v>
      </c>
      <c r="C354">
        <v>2017</v>
      </c>
      <c r="D354">
        <v>0</v>
      </c>
      <c r="E354">
        <v>1429</v>
      </c>
      <c r="F354">
        <v>3116</v>
      </c>
      <c r="G354">
        <v>2485</v>
      </c>
      <c r="H354">
        <v>3531</v>
      </c>
      <c r="I354">
        <v>1386</v>
      </c>
      <c r="J354">
        <v>1023</v>
      </c>
      <c r="K354">
        <v>476</v>
      </c>
      <c r="L354">
        <v>13446</v>
      </c>
    </row>
    <row r="355" spans="1:12" x14ac:dyDescent="0.25">
      <c r="A355" t="s">
        <v>2</v>
      </c>
      <c r="B355" t="s">
        <v>53</v>
      </c>
      <c r="C355">
        <v>2018</v>
      </c>
      <c r="D355">
        <v>1</v>
      </c>
      <c r="E355">
        <v>1146</v>
      </c>
      <c r="F355">
        <v>3414</v>
      </c>
      <c r="G355">
        <v>2534</v>
      </c>
      <c r="H355">
        <v>3543</v>
      </c>
      <c r="I355">
        <v>1497</v>
      </c>
      <c r="J355">
        <v>1041</v>
      </c>
      <c r="K355">
        <v>511</v>
      </c>
      <c r="L355">
        <v>13687</v>
      </c>
    </row>
    <row r="356" spans="1:12" x14ac:dyDescent="0.25">
      <c r="A356" t="s">
        <v>2</v>
      </c>
      <c r="B356" t="s">
        <v>53</v>
      </c>
      <c r="C356">
        <v>2019</v>
      </c>
      <c r="D356">
        <v>1</v>
      </c>
      <c r="E356">
        <v>1522</v>
      </c>
      <c r="F356">
        <v>3780</v>
      </c>
      <c r="G356">
        <v>2566</v>
      </c>
      <c r="H356">
        <v>3509</v>
      </c>
      <c r="I356">
        <v>1599</v>
      </c>
      <c r="J356">
        <v>1071</v>
      </c>
      <c r="K356">
        <v>616</v>
      </c>
      <c r="L356">
        <v>14664</v>
      </c>
    </row>
    <row r="357" spans="1:12" x14ac:dyDescent="0.25">
      <c r="A357" t="s">
        <v>2</v>
      </c>
      <c r="B357" t="s">
        <v>53</v>
      </c>
      <c r="C357">
        <v>2020</v>
      </c>
      <c r="D357">
        <v>2</v>
      </c>
      <c r="E357">
        <v>1404</v>
      </c>
      <c r="F357">
        <v>3748</v>
      </c>
      <c r="G357">
        <v>2665</v>
      </c>
      <c r="H357">
        <v>3409</v>
      </c>
      <c r="I357">
        <v>1697</v>
      </c>
      <c r="J357">
        <v>1089</v>
      </c>
      <c r="K357">
        <v>580</v>
      </c>
      <c r="L357">
        <v>14594</v>
      </c>
    </row>
    <row r="358" spans="1:12" x14ac:dyDescent="0.25">
      <c r="A358" t="s">
        <v>2</v>
      </c>
      <c r="B358" t="s">
        <v>53</v>
      </c>
      <c r="C358">
        <v>2021</v>
      </c>
      <c r="D358">
        <v>2</v>
      </c>
      <c r="E358">
        <v>1476</v>
      </c>
      <c r="F358">
        <v>3724</v>
      </c>
      <c r="G358">
        <v>2827</v>
      </c>
      <c r="H358">
        <v>3334</v>
      </c>
      <c r="I358">
        <v>1835</v>
      </c>
      <c r="J358">
        <v>1167</v>
      </c>
      <c r="K358">
        <v>639</v>
      </c>
      <c r="L358">
        <v>15004</v>
      </c>
    </row>
    <row r="359" spans="1:12" x14ac:dyDescent="0.25">
      <c r="A359" t="s">
        <v>2</v>
      </c>
      <c r="B359" t="s">
        <v>53</v>
      </c>
      <c r="C359">
        <v>2022</v>
      </c>
      <c r="D359">
        <v>5</v>
      </c>
      <c r="E359">
        <v>1824</v>
      </c>
      <c r="F359">
        <v>3966</v>
      </c>
      <c r="G359">
        <v>3027</v>
      </c>
      <c r="H359">
        <v>3251</v>
      </c>
      <c r="I359">
        <v>1935</v>
      </c>
      <c r="J359">
        <v>1265</v>
      </c>
      <c r="K359">
        <v>636</v>
      </c>
      <c r="L359">
        <v>15909</v>
      </c>
    </row>
    <row r="360" spans="1:12" x14ac:dyDescent="0.25">
      <c r="A360" t="s">
        <v>2</v>
      </c>
      <c r="B360" t="s">
        <v>53</v>
      </c>
      <c r="C360">
        <v>2023</v>
      </c>
      <c r="D360">
        <v>2</v>
      </c>
      <c r="E360">
        <v>1873</v>
      </c>
      <c r="F360">
        <v>4049</v>
      </c>
      <c r="G360">
        <v>3185</v>
      </c>
      <c r="H360">
        <v>3189</v>
      </c>
      <c r="I360">
        <v>1933</v>
      </c>
      <c r="J360">
        <v>1375</v>
      </c>
      <c r="K360">
        <v>731</v>
      </c>
      <c r="L360">
        <v>16337</v>
      </c>
    </row>
    <row r="361" spans="1:12" x14ac:dyDescent="0.25">
      <c r="A361" t="s">
        <v>2</v>
      </c>
      <c r="B361" t="s">
        <v>53</v>
      </c>
      <c r="C361">
        <v>2024</v>
      </c>
      <c r="D361">
        <v>4</v>
      </c>
      <c r="E361">
        <v>1635</v>
      </c>
      <c r="F361">
        <v>3980</v>
      </c>
      <c r="G361">
        <v>3386</v>
      </c>
      <c r="H361">
        <v>3113</v>
      </c>
      <c r="I361">
        <v>1893</v>
      </c>
      <c r="J361">
        <v>1453</v>
      </c>
      <c r="K361">
        <v>786</v>
      </c>
      <c r="L361">
        <v>16250</v>
      </c>
    </row>
    <row r="362" spans="1:12" x14ac:dyDescent="0.25">
      <c r="A362" t="s">
        <v>2</v>
      </c>
      <c r="B362" t="s">
        <v>54</v>
      </c>
      <c r="C362">
        <v>2001</v>
      </c>
      <c r="D362">
        <v>0</v>
      </c>
      <c r="E362">
        <v>438</v>
      </c>
      <c r="F362">
        <v>4991</v>
      </c>
      <c r="G362">
        <v>4071</v>
      </c>
      <c r="H362">
        <v>3730</v>
      </c>
      <c r="I362">
        <v>1564</v>
      </c>
      <c r="J362">
        <v>767</v>
      </c>
      <c r="K362">
        <v>180</v>
      </c>
      <c r="L362">
        <v>15741</v>
      </c>
    </row>
    <row r="363" spans="1:12" x14ac:dyDescent="0.25">
      <c r="A363" t="s">
        <v>2</v>
      </c>
      <c r="B363" t="s">
        <v>54</v>
      </c>
      <c r="C363">
        <v>2002</v>
      </c>
      <c r="D363">
        <v>0</v>
      </c>
      <c r="E363">
        <v>414</v>
      </c>
      <c r="F363">
        <v>5420</v>
      </c>
      <c r="G363">
        <v>4405</v>
      </c>
      <c r="H363">
        <v>3866</v>
      </c>
      <c r="I363">
        <v>1679</v>
      </c>
      <c r="J363">
        <v>866</v>
      </c>
      <c r="K363">
        <v>217</v>
      </c>
      <c r="L363">
        <v>16867</v>
      </c>
    </row>
    <row r="364" spans="1:12" x14ac:dyDescent="0.25">
      <c r="A364" t="s">
        <v>2</v>
      </c>
      <c r="B364" t="s">
        <v>54</v>
      </c>
      <c r="C364">
        <v>2003</v>
      </c>
      <c r="D364">
        <v>0</v>
      </c>
      <c r="E364">
        <v>324</v>
      </c>
      <c r="F364">
        <v>5539</v>
      </c>
      <c r="G364">
        <v>4476</v>
      </c>
      <c r="H364">
        <v>3909</v>
      </c>
      <c r="I364">
        <v>1734</v>
      </c>
      <c r="J364">
        <v>958</v>
      </c>
      <c r="K364">
        <v>206</v>
      </c>
      <c r="L364">
        <v>17146</v>
      </c>
    </row>
    <row r="365" spans="1:12" x14ac:dyDescent="0.25">
      <c r="A365" t="s">
        <v>2</v>
      </c>
      <c r="B365" t="s">
        <v>54</v>
      </c>
      <c r="C365">
        <v>2004</v>
      </c>
      <c r="D365">
        <v>0</v>
      </c>
      <c r="E365">
        <v>371</v>
      </c>
      <c r="F365">
        <v>5770</v>
      </c>
      <c r="G365">
        <v>4627</v>
      </c>
      <c r="H365">
        <v>3899</v>
      </c>
      <c r="I365">
        <v>1774</v>
      </c>
      <c r="J365">
        <v>1117</v>
      </c>
      <c r="K365">
        <v>270</v>
      </c>
      <c r="L365">
        <v>17828</v>
      </c>
    </row>
    <row r="366" spans="1:12" x14ac:dyDescent="0.25">
      <c r="A366" t="s">
        <v>2</v>
      </c>
      <c r="B366" t="s">
        <v>54</v>
      </c>
      <c r="C366">
        <v>2005</v>
      </c>
      <c r="D366">
        <v>0</v>
      </c>
      <c r="E366">
        <v>380</v>
      </c>
      <c r="F366">
        <v>6051</v>
      </c>
      <c r="G366">
        <v>4833</v>
      </c>
      <c r="H366">
        <v>3939</v>
      </c>
      <c r="I366">
        <v>1728</v>
      </c>
      <c r="J366">
        <v>1240</v>
      </c>
      <c r="K366">
        <v>307</v>
      </c>
      <c r="L366">
        <v>18478</v>
      </c>
    </row>
    <row r="367" spans="1:12" x14ac:dyDescent="0.25">
      <c r="A367" t="s">
        <v>2</v>
      </c>
      <c r="B367" t="s">
        <v>54</v>
      </c>
      <c r="C367">
        <v>2006</v>
      </c>
      <c r="D367">
        <v>0</v>
      </c>
      <c r="E367">
        <v>418</v>
      </c>
      <c r="F367">
        <v>6519</v>
      </c>
      <c r="G367">
        <v>5151</v>
      </c>
      <c r="H367">
        <v>4002</v>
      </c>
      <c r="I367">
        <v>1810</v>
      </c>
      <c r="J367">
        <v>1377</v>
      </c>
      <c r="K367">
        <v>329</v>
      </c>
      <c r="L367">
        <v>19606</v>
      </c>
    </row>
    <row r="368" spans="1:12" x14ac:dyDescent="0.25">
      <c r="A368" t="s">
        <v>2</v>
      </c>
      <c r="B368" t="s">
        <v>54</v>
      </c>
      <c r="C368">
        <v>2007</v>
      </c>
      <c r="D368">
        <v>0</v>
      </c>
      <c r="E368">
        <v>475</v>
      </c>
      <c r="F368">
        <v>6896</v>
      </c>
      <c r="G368">
        <v>5437</v>
      </c>
      <c r="H368">
        <v>4119</v>
      </c>
      <c r="I368">
        <v>1824</v>
      </c>
      <c r="J368">
        <v>1459</v>
      </c>
      <c r="K368">
        <v>391</v>
      </c>
      <c r="L368">
        <v>20601</v>
      </c>
    </row>
    <row r="369" spans="1:12" x14ac:dyDescent="0.25">
      <c r="A369" t="s">
        <v>2</v>
      </c>
      <c r="B369" t="s">
        <v>54</v>
      </c>
      <c r="C369">
        <v>2008</v>
      </c>
      <c r="D369">
        <v>0</v>
      </c>
      <c r="E369">
        <v>464</v>
      </c>
      <c r="F369">
        <v>7028</v>
      </c>
      <c r="G369">
        <v>5841</v>
      </c>
      <c r="H369">
        <v>4204</v>
      </c>
      <c r="I369">
        <v>1899</v>
      </c>
      <c r="J369">
        <v>1528</v>
      </c>
      <c r="K369">
        <v>444</v>
      </c>
      <c r="L369">
        <v>21408</v>
      </c>
    </row>
    <row r="370" spans="1:12" x14ac:dyDescent="0.25">
      <c r="A370" t="s">
        <v>2</v>
      </c>
      <c r="B370" t="s">
        <v>54</v>
      </c>
      <c r="C370">
        <v>2009</v>
      </c>
      <c r="D370">
        <v>0</v>
      </c>
      <c r="E370">
        <v>484</v>
      </c>
      <c r="F370">
        <v>6931</v>
      </c>
      <c r="G370">
        <v>6254</v>
      </c>
      <c r="H370">
        <v>4374</v>
      </c>
      <c r="I370">
        <v>1844</v>
      </c>
      <c r="J370">
        <v>1577</v>
      </c>
      <c r="K370">
        <v>558</v>
      </c>
      <c r="L370">
        <v>22022</v>
      </c>
    </row>
    <row r="371" spans="1:12" x14ac:dyDescent="0.25">
      <c r="A371" t="s">
        <v>2</v>
      </c>
      <c r="B371" t="s">
        <v>54</v>
      </c>
      <c r="C371">
        <v>2010</v>
      </c>
      <c r="D371">
        <v>0</v>
      </c>
      <c r="E371">
        <v>517</v>
      </c>
      <c r="F371">
        <v>7119</v>
      </c>
      <c r="G371">
        <v>6595</v>
      </c>
      <c r="H371">
        <v>4600</v>
      </c>
      <c r="I371">
        <v>1843</v>
      </c>
      <c r="J371">
        <v>1613</v>
      </c>
      <c r="K371">
        <v>617</v>
      </c>
      <c r="L371">
        <v>22904</v>
      </c>
    </row>
    <row r="372" spans="1:12" x14ac:dyDescent="0.25">
      <c r="A372" t="s">
        <v>2</v>
      </c>
      <c r="B372" t="s">
        <v>54</v>
      </c>
      <c r="C372">
        <v>2011</v>
      </c>
      <c r="D372">
        <v>0</v>
      </c>
      <c r="E372">
        <v>552</v>
      </c>
      <c r="F372">
        <v>7092</v>
      </c>
      <c r="G372">
        <v>7044</v>
      </c>
      <c r="H372">
        <v>4790</v>
      </c>
      <c r="I372">
        <v>1881</v>
      </c>
      <c r="J372">
        <v>1617</v>
      </c>
      <c r="K372">
        <v>753</v>
      </c>
      <c r="L372">
        <v>23729</v>
      </c>
    </row>
    <row r="373" spans="1:12" x14ac:dyDescent="0.25">
      <c r="A373" t="s">
        <v>2</v>
      </c>
      <c r="B373" t="s">
        <v>54</v>
      </c>
      <c r="C373">
        <v>2012</v>
      </c>
      <c r="D373">
        <v>0</v>
      </c>
      <c r="E373">
        <v>593</v>
      </c>
      <c r="F373">
        <v>7315</v>
      </c>
      <c r="G373">
        <v>7351</v>
      </c>
      <c r="H373">
        <v>5011</v>
      </c>
      <c r="I373">
        <v>1909</v>
      </c>
      <c r="J373">
        <v>1661</v>
      </c>
      <c r="K373">
        <v>829</v>
      </c>
      <c r="L373">
        <v>24669</v>
      </c>
    </row>
    <row r="374" spans="1:12" x14ac:dyDescent="0.25">
      <c r="A374" t="s">
        <v>2</v>
      </c>
      <c r="B374" t="s">
        <v>54</v>
      </c>
      <c r="C374">
        <v>2013</v>
      </c>
      <c r="D374">
        <v>0</v>
      </c>
      <c r="E374">
        <v>708</v>
      </c>
      <c r="F374">
        <v>7485</v>
      </c>
      <c r="G374">
        <v>7740</v>
      </c>
      <c r="H374">
        <v>5202</v>
      </c>
      <c r="I374">
        <v>1935</v>
      </c>
      <c r="J374">
        <v>1713</v>
      </c>
      <c r="K374">
        <v>943</v>
      </c>
      <c r="L374">
        <v>25726</v>
      </c>
    </row>
    <row r="375" spans="1:12" x14ac:dyDescent="0.25">
      <c r="A375" t="s">
        <v>2</v>
      </c>
      <c r="B375" t="s">
        <v>54</v>
      </c>
      <c r="C375">
        <v>2014</v>
      </c>
      <c r="D375">
        <v>0</v>
      </c>
      <c r="E375">
        <v>694</v>
      </c>
      <c r="F375">
        <v>7596</v>
      </c>
      <c r="G375">
        <v>8171</v>
      </c>
      <c r="H375">
        <v>5457</v>
      </c>
      <c r="I375">
        <v>2022</v>
      </c>
      <c r="J375">
        <v>1643</v>
      </c>
      <c r="K375">
        <v>1045</v>
      </c>
      <c r="L375">
        <v>26628</v>
      </c>
    </row>
    <row r="376" spans="1:12" x14ac:dyDescent="0.25">
      <c r="A376" t="s">
        <v>2</v>
      </c>
      <c r="B376" t="s">
        <v>54</v>
      </c>
      <c r="C376">
        <v>2015</v>
      </c>
      <c r="D376">
        <v>0</v>
      </c>
      <c r="E376">
        <v>685</v>
      </c>
      <c r="F376">
        <v>7750</v>
      </c>
      <c r="G376">
        <v>8508</v>
      </c>
      <c r="H376">
        <v>5703</v>
      </c>
      <c r="I376">
        <v>2125</v>
      </c>
      <c r="J376">
        <v>1692</v>
      </c>
      <c r="K376">
        <v>1067</v>
      </c>
      <c r="L376">
        <v>27530</v>
      </c>
    </row>
    <row r="377" spans="1:12" x14ac:dyDescent="0.25">
      <c r="A377" t="s">
        <v>2</v>
      </c>
      <c r="B377" t="s">
        <v>54</v>
      </c>
      <c r="C377">
        <v>2016</v>
      </c>
      <c r="D377">
        <v>0</v>
      </c>
      <c r="E377">
        <v>822</v>
      </c>
      <c r="F377">
        <v>8080</v>
      </c>
      <c r="G377">
        <v>8775</v>
      </c>
      <c r="H377">
        <v>6012</v>
      </c>
      <c r="I377">
        <v>2175</v>
      </c>
      <c r="J377">
        <v>1724</v>
      </c>
      <c r="K377">
        <v>1072</v>
      </c>
      <c r="L377">
        <v>28660</v>
      </c>
    </row>
    <row r="378" spans="1:12" x14ac:dyDescent="0.25">
      <c r="A378" t="s">
        <v>2</v>
      </c>
      <c r="B378" t="s">
        <v>54</v>
      </c>
      <c r="C378">
        <v>2017</v>
      </c>
      <c r="D378">
        <v>0</v>
      </c>
      <c r="E378">
        <v>810</v>
      </c>
      <c r="F378">
        <v>8282</v>
      </c>
      <c r="G378">
        <v>8971</v>
      </c>
      <c r="H378">
        <v>6341</v>
      </c>
      <c r="I378">
        <v>2260</v>
      </c>
      <c r="J378">
        <v>1730</v>
      </c>
      <c r="K378">
        <v>1138</v>
      </c>
      <c r="L378">
        <v>29532</v>
      </c>
    </row>
    <row r="379" spans="1:12" x14ac:dyDescent="0.25">
      <c r="A379" t="s">
        <v>2</v>
      </c>
      <c r="B379" t="s">
        <v>54</v>
      </c>
      <c r="C379">
        <v>2018</v>
      </c>
      <c r="D379">
        <v>0</v>
      </c>
      <c r="E379">
        <v>836</v>
      </c>
      <c r="F379">
        <v>8689</v>
      </c>
      <c r="G379">
        <v>9188</v>
      </c>
      <c r="H379">
        <v>6754</v>
      </c>
      <c r="I379">
        <v>2288</v>
      </c>
      <c r="J379">
        <v>1781</v>
      </c>
      <c r="K379">
        <v>1189</v>
      </c>
      <c r="L379">
        <v>30725</v>
      </c>
    </row>
    <row r="380" spans="1:12" x14ac:dyDescent="0.25">
      <c r="A380" t="s">
        <v>2</v>
      </c>
      <c r="B380" t="s">
        <v>54</v>
      </c>
      <c r="C380">
        <v>2019</v>
      </c>
      <c r="D380">
        <v>0</v>
      </c>
      <c r="E380">
        <v>849</v>
      </c>
      <c r="F380">
        <v>9199</v>
      </c>
      <c r="G380">
        <v>9334</v>
      </c>
      <c r="H380">
        <v>7124</v>
      </c>
      <c r="I380">
        <v>2425</v>
      </c>
      <c r="J380">
        <v>1820</v>
      </c>
      <c r="K380">
        <v>1235</v>
      </c>
      <c r="L380">
        <v>31986</v>
      </c>
    </row>
    <row r="381" spans="1:12" x14ac:dyDescent="0.25">
      <c r="A381" t="s">
        <v>2</v>
      </c>
      <c r="B381" t="s">
        <v>54</v>
      </c>
      <c r="C381">
        <v>2020</v>
      </c>
      <c r="D381">
        <v>0</v>
      </c>
      <c r="E381">
        <v>790</v>
      </c>
      <c r="F381">
        <v>9543</v>
      </c>
      <c r="G381">
        <v>9378</v>
      </c>
      <c r="H381">
        <v>7442</v>
      </c>
      <c r="I381">
        <v>2513</v>
      </c>
      <c r="J381">
        <v>1862</v>
      </c>
      <c r="K381">
        <v>1142</v>
      </c>
      <c r="L381">
        <v>32670</v>
      </c>
    </row>
    <row r="382" spans="1:12" x14ac:dyDescent="0.25">
      <c r="A382" t="s">
        <v>2</v>
      </c>
      <c r="B382" t="s">
        <v>54</v>
      </c>
      <c r="C382">
        <v>2021</v>
      </c>
      <c r="D382">
        <v>0</v>
      </c>
      <c r="E382">
        <v>834</v>
      </c>
      <c r="F382">
        <v>9587</v>
      </c>
      <c r="G382">
        <v>9516</v>
      </c>
      <c r="H382">
        <v>7892</v>
      </c>
      <c r="I382">
        <v>2709</v>
      </c>
      <c r="J382">
        <v>1902</v>
      </c>
      <c r="K382">
        <v>1262</v>
      </c>
      <c r="L382">
        <v>33702</v>
      </c>
    </row>
    <row r="383" spans="1:12" x14ac:dyDescent="0.25">
      <c r="A383" t="s">
        <v>2</v>
      </c>
      <c r="B383" t="s">
        <v>54</v>
      </c>
      <c r="C383">
        <v>2022</v>
      </c>
      <c r="D383">
        <v>0</v>
      </c>
      <c r="E383">
        <v>811</v>
      </c>
      <c r="F383">
        <v>9751</v>
      </c>
      <c r="G383">
        <v>9657</v>
      </c>
      <c r="H383">
        <v>8288</v>
      </c>
      <c r="I383">
        <v>2895</v>
      </c>
      <c r="J383">
        <v>1998</v>
      </c>
      <c r="K383">
        <v>1373</v>
      </c>
      <c r="L383">
        <v>34773</v>
      </c>
    </row>
    <row r="384" spans="1:12" x14ac:dyDescent="0.25">
      <c r="A384" t="s">
        <v>2</v>
      </c>
      <c r="B384" t="s">
        <v>54</v>
      </c>
      <c r="C384">
        <v>2023</v>
      </c>
      <c r="D384">
        <v>1</v>
      </c>
      <c r="E384">
        <v>902</v>
      </c>
      <c r="F384">
        <v>9818</v>
      </c>
      <c r="G384">
        <v>9937</v>
      </c>
      <c r="H384">
        <v>8531</v>
      </c>
      <c r="I384">
        <v>2988</v>
      </c>
      <c r="J384">
        <v>2073</v>
      </c>
      <c r="K384">
        <v>1445</v>
      </c>
      <c r="L384">
        <v>35695</v>
      </c>
    </row>
    <row r="385" spans="1:12" x14ac:dyDescent="0.25">
      <c r="A385" t="s">
        <v>2</v>
      </c>
      <c r="B385" t="s">
        <v>54</v>
      </c>
      <c r="C385">
        <v>2024</v>
      </c>
      <c r="D385">
        <v>0</v>
      </c>
      <c r="E385">
        <v>958</v>
      </c>
      <c r="F385">
        <v>9488</v>
      </c>
      <c r="G385">
        <v>9991</v>
      </c>
      <c r="H385">
        <v>8886</v>
      </c>
      <c r="I385">
        <v>3005</v>
      </c>
      <c r="J385">
        <v>2206</v>
      </c>
      <c r="K385">
        <v>1528</v>
      </c>
      <c r="L385">
        <v>36062</v>
      </c>
    </row>
    <row r="386" spans="1:12" x14ac:dyDescent="0.25">
      <c r="A386" t="s">
        <v>2</v>
      </c>
      <c r="B386" t="s">
        <v>55</v>
      </c>
      <c r="C386">
        <v>2001</v>
      </c>
      <c r="D386">
        <v>18</v>
      </c>
      <c r="E386">
        <v>27</v>
      </c>
      <c r="F386">
        <v>64</v>
      </c>
      <c r="G386">
        <v>40</v>
      </c>
      <c r="H386">
        <v>19</v>
      </c>
      <c r="I386">
        <v>7</v>
      </c>
      <c r="J386">
        <v>6</v>
      </c>
      <c r="K386">
        <v>52</v>
      </c>
      <c r="L386">
        <v>233</v>
      </c>
    </row>
    <row r="387" spans="1:12" x14ac:dyDescent="0.25">
      <c r="A387" t="s">
        <v>2</v>
      </c>
      <c r="B387" t="s">
        <v>55</v>
      </c>
      <c r="C387">
        <v>2002</v>
      </c>
      <c r="D387">
        <v>8</v>
      </c>
      <c r="E387">
        <v>17</v>
      </c>
      <c r="F387">
        <v>43</v>
      </c>
      <c r="G387">
        <v>23</v>
      </c>
      <c r="H387">
        <v>12</v>
      </c>
      <c r="I387">
        <v>12</v>
      </c>
      <c r="J387">
        <v>5</v>
      </c>
      <c r="K387">
        <v>53</v>
      </c>
      <c r="L387">
        <v>173</v>
      </c>
    </row>
    <row r="388" spans="1:12" x14ac:dyDescent="0.25">
      <c r="A388" t="s">
        <v>2</v>
      </c>
      <c r="B388" t="s">
        <v>55</v>
      </c>
      <c r="C388">
        <v>2003</v>
      </c>
      <c r="D388">
        <v>13</v>
      </c>
      <c r="E388">
        <v>14</v>
      </c>
      <c r="F388">
        <v>48</v>
      </c>
      <c r="G388">
        <v>30</v>
      </c>
      <c r="H388">
        <v>17</v>
      </c>
      <c r="I388">
        <v>7</v>
      </c>
      <c r="J388">
        <v>4</v>
      </c>
      <c r="K388">
        <v>36</v>
      </c>
      <c r="L388">
        <v>169</v>
      </c>
    </row>
    <row r="389" spans="1:12" x14ac:dyDescent="0.25">
      <c r="A389" t="s">
        <v>2</v>
      </c>
      <c r="B389" t="s">
        <v>55</v>
      </c>
      <c r="C389">
        <v>2004</v>
      </c>
      <c r="D389">
        <v>9</v>
      </c>
      <c r="E389">
        <v>12</v>
      </c>
      <c r="F389">
        <v>47</v>
      </c>
      <c r="G389">
        <v>21</v>
      </c>
      <c r="H389">
        <v>20</v>
      </c>
      <c r="I389">
        <v>6</v>
      </c>
      <c r="J389">
        <v>6</v>
      </c>
      <c r="K389">
        <v>105</v>
      </c>
      <c r="L389">
        <v>226</v>
      </c>
    </row>
    <row r="390" spans="1:12" x14ac:dyDescent="0.25">
      <c r="A390" t="s">
        <v>2</v>
      </c>
      <c r="B390" t="s">
        <v>55</v>
      </c>
      <c r="C390">
        <v>2005</v>
      </c>
      <c r="D390">
        <v>9</v>
      </c>
      <c r="E390">
        <v>19</v>
      </c>
      <c r="F390">
        <v>45</v>
      </c>
      <c r="G390">
        <v>20</v>
      </c>
      <c r="H390">
        <v>18</v>
      </c>
      <c r="I390">
        <v>2</v>
      </c>
      <c r="J390">
        <v>4</v>
      </c>
      <c r="K390">
        <v>84</v>
      </c>
      <c r="L390">
        <v>201</v>
      </c>
    </row>
    <row r="391" spans="1:12" x14ac:dyDescent="0.25">
      <c r="A391" t="s">
        <v>2</v>
      </c>
      <c r="B391" t="s">
        <v>55</v>
      </c>
      <c r="C391">
        <v>2006</v>
      </c>
      <c r="D391">
        <v>11</v>
      </c>
      <c r="E391">
        <v>30</v>
      </c>
      <c r="F391">
        <v>44</v>
      </c>
      <c r="G391">
        <v>24</v>
      </c>
      <c r="H391">
        <v>22</v>
      </c>
      <c r="I391">
        <v>3</v>
      </c>
      <c r="J391">
        <v>2</v>
      </c>
      <c r="K391">
        <v>105</v>
      </c>
      <c r="L391">
        <v>241</v>
      </c>
    </row>
    <row r="392" spans="1:12" x14ac:dyDescent="0.25">
      <c r="A392" t="s">
        <v>2</v>
      </c>
      <c r="B392" t="s">
        <v>55</v>
      </c>
      <c r="C392">
        <v>2007</v>
      </c>
      <c r="D392">
        <v>4</v>
      </c>
      <c r="E392">
        <v>23</v>
      </c>
      <c r="F392">
        <v>58</v>
      </c>
      <c r="G392">
        <v>25</v>
      </c>
      <c r="H392">
        <v>18</v>
      </c>
      <c r="I392">
        <v>4</v>
      </c>
      <c r="J392">
        <v>3</v>
      </c>
      <c r="K392">
        <v>85</v>
      </c>
      <c r="L392">
        <v>220</v>
      </c>
    </row>
    <row r="393" spans="1:12" x14ac:dyDescent="0.25">
      <c r="A393" t="s">
        <v>2</v>
      </c>
      <c r="B393" t="s">
        <v>55</v>
      </c>
      <c r="C393">
        <v>2008</v>
      </c>
      <c r="D393">
        <v>8</v>
      </c>
      <c r="E393">
        <v>26</v>
      </c>
      <c r="F393">
        <v>68</v>
      </c>
      <c r="G393">
        <v>37</v>
      </c>
      <c r="H393">
        <v>17</v>
      </c>
      <c r="I393">
        <v>8</v>
      </c>
      <c r="J393">
        <v>5</v>
      </c>
      <c r="K393">
        <v>1</v>
      </c>
      <c r="L393">
        <v>170</v>
      </c>
    </row>
    <row r="394" spans="1:12" x14ac:dyDescent="0.25">
      <c r="A394" t="s">
        <v>2</v>
      </c>
      <c r="B394" t="s">
        <v>55</v>
      </c>
      <c r="C394">
        <v>2009</v>
      </c>
      <c r="D394">
        <v>5</v>
      </c>
      <c r="E394">
        <v>34</v>
      </c>
      <c r="F394">
        <v>93</v>
      </c>
      <c r="G394">
        <v>45</v>
      </c>
      <c r="H394">
        <v>19</v>
      </c>
      <c r="I394">
        <v>7</v>
      </c>
      <c r="J394">
        <v>4</v>
      </c>
      <c r="K394">
        <v>2</v>
      </c>
      <c r="L394">
        <v>209</v>
      </c>
    </row>
    <row r="395" spans="1:12" x14ac:dyDescent="0.25">
      <c r="A395" t="s">
        <v>2</v>
      </c>
      <c r="B395" t="s">
        <v>55</v>
      </c>
      <c r="C395">
        <v>2010</v>
      </c>
      <c r="D395">
        <v>9</v>
      </c>
      <c r="E395">
        <v>36</v>
      </c>
      <c r="F395">
        <v>106</v>
      </c>
      <c r="G395">
        <v>51</v>
      </c>
      <c r="H395">
        <v>23</v>
      </c>
      <c r="I395">
        <v>9</v>
      </c>
      <c r="J395">
        <v>4</v>
      </c>
      <c r="K395">
        <v>83</v>
      </c>
      <c r="L395">
        <v>321</v>
      </c>
    </row>
    <row r="396" spans="1:12" x14ac:dyDescent="0.25">
      <c r="A396" t="s">
        <v>2</v>
      </c>
      <c r="B396" t="s">
        <v>55</v>
      </c>
      <c r="C396">
        <v>2011</v>
      </c>
      <c r="D396">
        <v>9</v>
      </c>
      <c r="E396">
        <v>33</v>
      </c>
      <c r="F396">
        <v>117</v>
      </c>
      <c r="G396">
        <v>59</v>
      </c>
      <c r="H396">
        <v>41</v>
      </c>
      <c r="I396">
        <v>9</v>
      </c>
      <c r="J396">
        <v>2</v>
      </c>
      <c r="K396">
        <v>6</v>
      </c>
      <c r="L396">
        <v>276</v>
      </c>
    </row>
    <row r="397" spans="1:12" x14ac:dyDescent="0.25">
      <c r="A397" t="s">
        <v>2</v>
      </c>
      <c r="B397" t="s">
        <v>55</v>
      </c>
      <c r="C397">
        <v>2012</v>
      </c>
      <c r="D397">
        <v>9</v>
      </c>
      <c r="E397">
        <v>39</v>
      </c>
      <c r="F397">
        <v>138</v>
      </c>
      <c r="G397">
        <v>68</v>
      </c>
      <c r="H397">
        <v>36</v>
      </c>
      <c r="I397">
        <v>13</v>
      </c>
      <c r="J397">
        <v>2</v>
      </c>
      <c r="K397">
        <v>4</v>
      </c>
      <c r="L397">
        <v>309</v>
      </c>
    </row>
    <row r="398" spans="1:12" x14ac:dyDescent="0.25">
      <c r="A398" t="s">
        <v>2</v>
      </c>
      <c r="B398" t="s">
        <v>55</v>
      </c>
      <c r="C398">
        <v>2013</v>
      </c>
      <c r="D398">
        <v>12</v>
      </c>
      <c r="E398">
        <v>43</v>
      </c>
      <c r="F398">
        <v>157</v>
      </c>
      <c r="G398">
        <v>82</v>
      </c>
      <c r="H398">
        <v>30</v>
      </c>
      <c r="I398">
        <v>12</v>
      </c>
      <c r="J398">
        <v>4</v>
      </c>
      <c r="K398">
        <v>5</v>
      </c>
      <c r="L398">
        <v>345</v>
      </c>
    </row>
    <row r="399" spans="1:12" x14ac:dyDescent="0.25">
      <c r="A399" t="s">
        <v>2</v>
      </c>
      <c r="B399" t="s">
        <v>55</v>
      </c>
      <c r="C399">
        <v>2014</v>
      </c>
      <c r="D399">
        <v>8</v>
      </c>
      <c r="E399">
        <v>45</v>
      </c>
      <c r="F399">
        <v>194</v>
      </c>
      <c r="G399">
        <v>106</v>
      </c>
      <c r="H399">
        <v>51</v>
      </c>
      <c r="I399">
        <v>13</v>
      </c>
      <c r="J399">
        <v>7</v>
      </c>
      <c r="K399">
        <v>4</v>
      </c>
      <c r="L399">
        <v>428</v>
      </c>
    </row>
    <row r="400" spans="1:12" x14ac:dyDescent="0.25">
      <c r="A400" t="s">
        <v>2</v>
      </c>
      <c r="B400" t="s">
        <v>55</v>
      </c>
      <c r="C400">
        <v>2015</v>
      </c>
      <c r="D400">
        <v>16</v>
      </c>
      <c r="E400">
        <v>50</v>
      </c>
      <c r="F400">
        <v>217</v>
      </c>
      <c r="G400">
        <v>120</v>
      </c>
      <c r="H400">
        <v>56</v>
      </c>
      <c r="I400">
        <v>16</v>
      </c>
      <c r="J400">
        <v>8</v>
      </c>
      <c r="K400">
        <v>4</v>
      </c>
      <c r="L400">
        <v>487</v>
      </c>
    </row>
    <row r="401" spans="1:12" x14ac:dyDescent="0.25">
      <c r="A401" t="s">
        <v>2</v>
      </c>
      <c r="B401" t="s">
        <v>55</v>
      </c>
      <c r="C401">
        <v>2016</v>
      </c>
      <c r="D401">
        <v>16</v>
      </c>
      <c r="E401">
        <v>69</v>
      </c>
      <c r="F401">
        <v>257</v>
      </c>
      <c r="G401">
        <v>160</v>
      </c>
      <c r="H401">
        <v>77</v>
      </c>
      <c r="I401">
        <v>12</v>
      </c>
      <c r="J401">
        <v>8</v>
      </c>
      <c r="K401">
        <v>7</v>
      </c>
      <c r="L401">
        <v>606</v>
      </c>
    </row>
    <row r="402" spans="1:12" x14ac:dyDescent="0.25">
      <c r="A402" t="s">
        <v>2</v>
      </c>
      <c r="B402" t="s">
        <v>55</v>
      </c>
      <c r="C402">
        <v>2017</v>
      </c>
      <c r="D402">
        <v>29</v>
      </c>
      <c r="E402">
        <v>99</v>
      </c>
      <c r="F402">
        <v>275</v>
      </c>
      <c r="G402">
        <v>191</v>
      </c>
      <c r="H402">
        <v>81</v>
      </c>
      <c r="I402">
        <v>13</v>
      </c>
      <c r="J402">
        <v>7</v>
      </c>
      <c r="K402">
        <v>5</v>
      </c>
      <c r="L402">
        <v>700</v>
      </c>
    </row>
    <row r="403" spans="1:12" x14ac:dyDescent="0.25">
      <c r="A403" t="s">
        <v>2</v>
      </c>
      <c r="B403" t="s">
        <v>55</v>
      </c>
      <c r="C403">
        <v>2018</v>
      </c>
      <c r="D403">
        <v>29</v>
      </c>
      <c r="E403">
        <v>80</v>
      </c>
      <c r="F403">
        <v>297</v>
      </c>
      <c r="G403">
        <v>178</v>
      </c>
      <c r="H403">
        <v>100</v>
      </c>
      <c r="I403">
        <v>15</v>
      </c>
      <c r="J403">
        <v>9</v>
      </c>
      <c r="K403">
        <v>4</v>
      </c>
      <c r="L403">
        <v>712</v>
      </c>
    </row>
    <row r="404" spans="1:12" x14ac:dyDescent="0.25">
      <c r="A404" t="s">
        <v>2</v>
      </c>
      <c r="B404" t="s">
        <v>55</v>
      </c>
      <c r="C404">
        <v>2019</v>
      </c>
      <c r="D404">
        <v>37</v>
      </c>
      <c r="E404">
        <v>142</v>
      </c>
      <c r="F404">
        <v>336</v>
      </c>
      <c r="G404">
        <v>196</v>
      </c>
      <c r="H404">
        <v>86</v>
      </c>
      <c r="I404">
        <v>13</v>
      </c>
      <c r="J404">
        <v>14</v>
      </c>
      <c r="K404">
        <v>7</v>
      </c>
      <c r="L404">
        <v>831</v>
      </c>
    </row>
    <row r="405" spans="1:12" x14ac:dyDescent="0.25">
      <c r="A405" t="s">
        <v>2</v>
      </c>
      <c r="B405" t="s">
        <v>55</v>
      </c>
      <c r="C405">
        <v>2020</v>
      </c>
      <c r="D405">
        <v>28</v>
      </c>
      <c r="E405">
        <v>144</v>
      </c>
      <c r="F405">
        <v>323</v>
      </c>
      <c r="G405">
        <v>208</v>
      </c>
      <c r="H405">
        <v>81</v>
      </c>
      <c r="I405">
        <v>16</v>
      </c>
      <c r="J405">
        <v>13</v>
      </c>
      <c r="K405">
        <v>9</v>
      </c>
      <c r="L405">
        <v>822</v>
      </c>
    </row>
    <row r="406" spans="1:12" x14ac:dyDescent="0.25">
      <c r="A406" t="s">
        <v>2</v>
      </c>
      <c r="B406" t="s">
        <v>55</v>
      </c>
      <c r="C406">
        <v>2021</v>
      </c>
      <c r="D406">
        <v>24</v>
      </c>
      <c r="E406">
        <v>136</v>
      </c>
      <c r="F406">
        <v>322</v>
      </c>
      <c r="G406">
        <v>223</v>
      </c>
      <c r="H406">
        <v>82</v>
      </c>
      <c r="I406">
        <v>25</v>
      </c>
      <c r="J406">
        <v>12</v>
      </c>
      <c r="K406">
        <v>10</v>
      </c>
      <c r="L406">
        <v>834</v>
      </c>
    </row>
    <row r="407" spans="1:12" x14ac:dyDescent="0.25">
      <c r="A407" t="s">
        <v>2</v>
      </c>
      <c r="B407" t="s">
        <v>55</v>
      </c>
      <c r="C407">
        <v>2022</v>
      </c>
      <c r="D407">
        <v>33</v>
      </c>
      <c r="E407">
        <v>130</v>
      </c>
      <c r="F407">
        <v>342</v>
      </c>
      <c r="G407">
        <v>218</v>
      </c>
      <c r="H407">
        <v>77</v>
      </c>
      <c r="I407">
        <v>20</v>
      </c>
      <c r="J407">
        <v>14</v>
      </c>
      <c r="K407">
        <v>10</v>
      </c>
      <c r="L407">
        <v>844</v>
      </c>
    </row>
    <row r="408" spans="1:12" x14ac:dyDescent="0.25">
      <c r="A408" t="s">
        <v>2</v>
      </c>
      <c r="B408" t="s">
        <v>55</v>
      </c>
      <c r="C408">
        <v>2023</v>
      </c>
      <c r="D408">
        <v>29</v>
      </c>
      <c r="E408">
        <v>141</v>
      </c>
      <c r="F408">
        <v>360</v>
      </c>
      <c r="G408">
        <v>270</v>
      </c>
      <c r="H408">
        <v>104</v>
      </c>
      <c r="I408">
        <v>24</v>
      </c>
      <c r="J408">
        <v>16</v>
      </c>
      <c r="K408">
        <v>9</v>
      </c>
      <c r="L408">
        <v>953</v>
      </c>
    </row>
    <row r="409" spans="1:12" x14ac:dyDescent="0.25">
      <c r="A409" t="s">
        <v>2</v>
      </c>
      <c r="B409" t="s">
        <v>55</v>
      </c>
      <c r="C409">
        <v>2024</v>
      </c>
      <c r="D409">
        <v>38</v>
      </c>
      <c r="E409">
        <v>89</v>
      </c>
      <c r="F409">
        <v>336</v>
      </c>
      <c r="G409">
        <v>239</v>
      </c>
      <c r="H409">
        <v>107</v>
      </c>
      <c r="I409">
        <v>29</v>
      </c>
      <c r="J409">
        <v>16</v>
      </c>
      <c r="K409">
        <v>11</v>
      </c>
      <c r="L409">
        <v>865</v>
      </c>
    </row>
    <row r="410" spans="1:12" x14ac:dyDescent="0.25">
      <c r="A410" t="s">
        <v>2</v>
      </c>
      <c r="B410" t="s">
        <v>2</v>
      </c>
      <c r="C410">
        <v>2001</v>
      </c>
      <c r="D410">
        <v>1032</v>
      </c>
      <c r="E410">
        <v>5112</v>
      </c>
      <c r="F410">
        <v>16836</v>
      </c>
      <c r="G410">
        <v>16998</v>
      </c>
      <c r="H410">
        <v>15566</v>
      </c>
      <c r="I410">
        <v>7197</v>
      </c>
      <c r="J410">
        <v>3537</v>
      </c>
      <c r="K410">
        <v>707</v>
      </c>
      <c r="L410">
        <v>66985</v>
      </c>
    </row>
    <row r="411" spans="1:12" x14ac:dyDescent="0.25">
      <c r="A411" t="s">
        <v>2</v>
      </c>
      <c r="B411" t="s">
        <v>2</v>
      </c>
      <c r="C411">
        <v>2002</v>
      </c>
      <c r="D411">
        <v>1206</v>
      </c>
      <c r="E411">
        <v>5072</v>
      </c>
      <c r="F411">
        <v>16642</v>
      </c>
      <c r="G411">
        <v>17593</v>
      </c>
      <c r="H411">
        <v>15660</v>
      </c>
      <c r="I411">
        <v>7396</v>
      </c>
      <c r="J411">
        <v>4016</v>
      </c>
      <c r="K411">
        <v>894</v>
      </c>
      <c r="L411">
        <v>68479</v>
      </c>
    </row>
    <row r="412" spans="1:12" x14ac:dyDescent="0.25">
      <c r="A412" t="s">
        <v>2</v>
      </c>
      <c r="B412" t="s">
        <v>2</v>
      </c>
      <c r="C412">
        <v>2003</v>
      </c>
      <c r="D412">
        <v>1050</v>
      </c>
      <c r="E412">
        <v>4650</v>
      </c>
      <c r="F412">
        <v>15978</v>
      </c>
      <c r="G412">
        <v>17643</v>
      </c>
      <c r="H412">
        <v>15708</v>
      </c>
      <c r="I412">
        <v>7502</v>
      </c>
      <c r="J412">
        <v>4365</v>
      </c>
      <c r="K412">
        <v>713</v>
      </c>
      <c r="L412">
        <v>67609</v>
      </c>
    </row>
    <row r="413" spans="1:12" x14ac:dyDescent="0.25">
      <c r="A413" t="s">
        <v>2</v>
      </c>
      <c r="B413" t="s">
        <v>2</v>
      </c>
      <c r="C413">
        <v>2004</v>
      </c>
      <c r="D413">
        <v>960</v>
      </c>
      <c r="E413">
        <v>4544</v>
      </c>
      <c r="F413">
        <v>15616</v>
      </c>
      <c r="G413">
        <v>17615</v>
      </c>
      <c r="H413">
        <v>15517</v>
      </c>
      <c r="I413">
        <v>7557</v>
      </c>
      <c r="J413">
        <v>4955</v>
      </c>
      <c r="K413">
        <v>1064</v>
      </c>
      <c r="L413">
        <v>67828</v>
      </c>
    </row>
    <row r="414" spans="1:12" x14ac:dyDescent="0.25">
      <c r="A414" t="s">
        <v>2</v>
      </c>
      <c r="B414" t="s">
        <v>2</v>
      </c>
      <c r="C414">
        <v>2005</v>
      </c>
      <c r="D414">
        <v>999</v>
      </c>
      <c r="E414">
        <v>4390</v>
      </c>
      <c r="F414">
        <v>15342</v>
      </c>
      <c r="G414">
        <v>17750</v>
      </c>
      <c r="H414">
        <v>15569</v>
      </c>
      <c r="I414">
        <v>7455</v>
      </c>
      <c r="J414">
        <v>5309</v>
      </c>
      <c r="K414">
        <v>1088</v>
      </c>
      <c r="L414">
        <v>67902</v>
      </c>
    </row>
    <row r="415" spans="1:12" x14ac:dyDescent="0.25">
      <c r="A415" t="s">
        <v>2</v>
      </c>
      <c r="B415" t="s">
        <v>2</v>
      </c>
      <c r="C415">
        <v>2006</v>
      </c>
      <c r="D415">
        <v>1028</v>
      </c>
      <c r="E415">
        <v>4882</v>
      </c>
      <c r="F415">
        <v>15591</v>
      </c>
      <c r="G415">
        <v>18126</v>
      </c>
      <c r="H415">
        <v>15619</v>
      </c>
      <c r="I415">
        <v>7431</v>
      </c>
      <c r="J415">
        <v>5709</v>
      </c>
      <c r="K415">
        <v>1188</v>
      </c>
      <c r="L415">
        <v>69574</v>
      </c>
    </row>
    <row r="416" spans="1:12" x14ac:dyDescent="0.25">
      <c r="A416" t="s">
        <v>2</v>
      </c>
      <c r="B416" t="s">
        <v>2</v>
      </c>
      <c r="C416">
        <v>2007</v>
      </c>
      <c r="D416">
        <v>1046</v>
      </c>
      <c r="E416">
        <v>5272</v>
      </c>
      <c r="F416">
        <v>15797</v>
      </c>
      <c r="G416">
        <v>18404</v>
      </c>
      <c r="H416">
        <v>15835</v>
      </c>
      <c r="I416">
        <v>7423</v>
      </c>
      <c r="J416">
        <v>6067</v>
      </c>
      <c r="K416">
        <v>1435</v>
      </c>
      <c r="L416">
        <v>71279</v>
      </c>
    </row>
    <row r="417" spans="1:12" x14ac:dyDescent="0.25">
      <c r="A417" t="s">
        <v>2</v>
      </c>
      <c r="B417" t="s">
        <v>2</v>
      </c>
      <c r="C417">
        <v>2008</v>
      </c>
      <c r="D417">
        <v>1048</v>
      </c>
      <c r="E417">
        <v>5308</v>
      </c>
      <c r="F417">
        <v>15715</v>
      </c>
      <c r="G417">
        <v>18697</v>
      </c>
      <c r="H417">
        <v>16051</v>
      </c>
      <c r="I417">
        <v>7409</v>
      </c>
      <c r="J417">
        <v>6198</v>
      </c>
      <c r="K417">
        <v>1586</v>
      </c>
      <c r="L417">
        <v>72012</v>
      </c>
    </row>
    <row r="418" spans="1:12" x14ac:dyDescent="0.25">
      <c r="A418" t="s">
        <v>2</v>
      </c>
      <c r="B418" t="s">
        <v>2</v>
      </c>
      <c r="C418">
        <v>2009</v>
      </c>
      <c r="D418">
        <v>931</v>
      </c>
      <c r="E418">
        <v>4857</v>
      </c>
      <c r="F418">
        <v>15079</v>
      </c>
      <c r="G418">
        <v>18526</v>
      </c>
      <c r="H418">
        <v>16408</v>
      </c>
      <c r="I418">
        <v>7121</v>
      </c>
      <c r="J418">
        <v>6270</v>
      </c>
      <c r="K418">
        <v>1897</v>
      </c>
      <c r="L418">
        <v>71089</v>
      </c>
    </row>
    <row r="419" spans="1:12" x14ac:dyDescent="0.25">
      <c r="A419" t="s">
        <v>2</v>
      </c>
      <c r="B419" t="s">
        <v>2</v>
      </c>
      <c r="C419">
        <v>2010</v>
      </c>
      <c r="D419">
        <v>1092</v>
      </c>
      <c r="E419">
        <v>5394</v>
      </c>
      <c r="F419">
        <v>15529</v>
      </c>
      <c r="G419">
        <v>18436</v>
      </c>
      <c r="H419">
        <v>16881</v>
      </c>
      <c r="I419">
        <v>7169</v>
      </c>
      <c r="J419">
        <v>6299</v>
      </c>
      <c r="K419">
        <v>1932</v>
      </c>
      <c r="L419">
        <v>72732</v>
      </c>
    </row>
    <row r="420" spans="1:12" x14ac:dyDescent="0.25">
      <c r="A420" t="s">
        <v>2</v>
      </c>
      <c r="B420" t="s">
        <v>2</v>
      </c>
      <c r="C420">
        <v>2011</v>
      </c>
      <c r="D420">
        <v>1130</v>
      </c>
      <c r="E420">
        <v>5726</v>
      </c>
      <c r="F420">
        <v>15716</v>
      </c>
      <c r="G420">
        <v>18553</v>
      </c>
      <c r="H420">
        <v>17390</v>
      </c>
      <c r="I420">
        <v>7241</v>
      </c>
      <c r="J420">
        <v>6136</v>
      </c>
      <c r="K420">
        <v>2436</v>
      </c>
      <c r="L420">
        <v>74328</v>
      </c>
    </row>
    <row r="421" spans="1:12" x14ac:dyDescent="0.25">
      <c r="A421" t="s">
        <v>2</v>
      </c>
      <c r="B421" t="s">
        <v>2</v>
      </c>
      <c r="C421">
        <v>2012</v>
      </c>
      <c r="D421">
        <v>1185</v>
      </c>
      <c r="E421">
        <v>6062</v>
      </c>
      <c r="F421">
        <v>16034</v>
      </c>
      <c r="G421">
        <v>18448</v>
      </c>
      <c r="H421">
        <v>17859</v>
      </c>
      <c r="I421">
        <v>7328</v>
      </c>
      <c r="J421">
        <v>6208</v>
      </c>
      <c r="K421">
        <v>2608</v>
      </c>
      <c r="L421">
        <v>75732</v>
      </c>
    </row>
    <row r="422" spans="1:12" x14ac:dyDescent="0.25">
      <c r="A422" t="s">
        <v>2</v>
      </c>
      <c r="B422" t="s">
        <v>2</v>
      </c>
      <c r="C422">
        <v>2013</v>
      </c>
      <c r="D422">
        <v>1159</v>
      </c>
      <c r="E422">
        <v>6420</v>
      </c>
      <c r="F422">
        <v>16456</v>
      </c>
      <c r="G422">
        <v>18486</v>
      </c>
      <c r="H422">
        <v>18122</v>
      </c>
      <c r="I422">
        <v>7418</v>
      </c>
      <c r="J422">
        <v>6212</v>
      </c>
      <c r="K422">
        <v>2896</v>
      </c>
      <c r="L422">
        <v>77169</v>
      </c>
    </row>
    <row r="423" spans="1:12" x14ac:dyDescent="0.25">
      <c r="A423" t="s">
        <v>2</v>
      </c>
      <c r="B423" t="s">
        <v>2</v>
      </c>
      <c r="C423">
        <v>2014</v>
      </c>
      <c r="D423">
        <v>1045</v>
      </c>
      <c r="E423">
        <v>6647</v>
      </c>
      <c r="F423">
        <v>17079</v>
      </c>
      <c r="G423">
        <v>18828</v>
      </c>
      <c r="H423">
        <v>18671</v>
      </c>
      <c r="I423">
        <v>7646</v>
      </c>
      <c r="J423">
        <v>6116</v>
      </c>
      <c r="K423">
        <v>2996</v>
      </c>
      <c r="L423">
        <v>79028</v>
      </c>
    </row>
    <row r="424" spans="1:12" x14ac:dyDescent="0.25">
      <c r="A424" t="s">
        <v>2</v>
      </c>
      <c r="B424" t="s">
        <v>2</v>
      </c>
      <c r="C424">
        <v>2015</v>
      </c>
      <c r="D424">
        <v>1125</v>
      </c>
      <c r="E424">
        <v>6882</v>
      </c>
      <c r="F424">
        <v>17838</v>
      </c>
      <c r="G424">
        <v>18942</v>
      </c>
      <c r="H424">
        <v>19034</v>
      </c>
      <c r="I424">
        <v>7782</v>
      </c>
      <c r="J424">
        <v>6202</v>
      </c>
      <c r="K424">
        <v>3067</v>
      </c>
      <c r="L424">
        <v>80872</v>
      </c>
    </row>
    <row r="425" spans="1:12" x14ac:dyDescent="0.25">
      <c r="A425" t="s">
        <v>2</v>
      </c>
      <c r="B425" t="s">
        <v>2</v>
      </c>
      <c r="C425">
        <v>2016</v>
      </c>
      <c r="D425">
        <v>1329</v>
      </c>
      <c r="E425">
        <v>7081</v>
      </c>
      <c r="F425">
        <v>18907</v>
      </c>
      <c r="G425">
        <v>19006</v>
      </c>
      <c r="H425">
        <v>19409</v>
      </c>
      <c r="I425">
        <v>7860</v>
      </c>
      <c r="J425">
        <v>6358</v>
      </c>
      <c r="K425">
        <v>3063</v>
      </c>
      <c r="L425">
        <v>83013</v>
      </c>
    </row>
    <row r="426" spans="1:12" x14ac:dyDescent="0.25">
      <c r="A426" t="s">
        <v>2</v>
      </c>
      <c r="B426" t="s">
        <v>2</v>
      </c>
      <c r="C426">
        <v>2017</v>
      </c>
      <c r="D426">
        <v>1439</v>
      </c>
      <c r="E426">
        <v>7136</v>
      </c>
      <c r="F426">
        <v>19610</v>
      </c>
      <c r="G426">
        <v>18969</v>
      </c>
      <c r="H426">
        <v>19730</v>
      </c>
      <c r="I426">
        <v>7995</v>
      </c>
      <c r="J426">
        <v>6376</v>
      </c>
      <c r="K426">
        <v>3293</v>
      </c>
      <c r="L426">
        <v>84548</v>
      </c>
    </row>
    <row r="427" spans="1:12" x14ac:dyDescent="0.25">
      <c r="A427" t="s">
        <v>2</v>
      </c>
      <c r="B427" t="s">
        <v>2</v>
      </c>
      <c r="C427">
        <v>2018</v>
      </c>
      <c r="D427">
        <v>1512</v>
      </c>
      <c r="E427">
        <v>6742</v>
      </c>
      <c r="F427">
        <v>20633</v>
      </c>
      <c r="G427">
        <v>19198</v>
      </c>
      <c r="H427">
        <v>20066</v>
      </c>
      <c r="I427">
        <v>8181</v>
      </c>
      <c r="J427">
        <v>6579</v>
      </c>
      <c r="K427">
        <v>3455</v>
      </c>
      <c r="L427">
        <v>86366</v>
      </c>
    </row>
    <row r="428" spans="1:12" x14ac:dyDescent="0.25">
      <c r="A428" t="s">
        <v>2</v>
      </c>
      <c r="B428" t="s">
        <v>2</v>
      </c>
      <c r="C428">
        <v>2019</v>
      </c>
      <c r="D428">
        <v>2178</v>
      </c>
      <c r="E428">
        <v>7163</v>
      </c>
      <c r="F428">
        <v>21925</v>
      </c>
      <c r="G428">
        <v>19319</v>
      </c>
      <c r="H428">
        <v>20328</v>
      </c>
      <c r="I428">
        <v>8682</v>
      </c>
      <c r="J428">
        <v>6683</v>
      </c>
      <c r="K428">
        <v>3878</v>
      </c>
      <c r="L428">
        <v>90156</v>
      </c>
    </row>
    <row r="429" spans="1:12" x14ac:dyDescent="0.25">
      <c r="A429" t="s">
        <v>2</v>
      </c>
      <c r="B429" t="s">
        <v>2</v>
      </c>
      <c r="C429">
        <v>2020</v>
      </c>
      <c r="D429">
        <v>1923</v>
      </c>
      <c r="E429">
        <v>6922</v>
      </c>
      <c r="F429">
        <v>22154</v>
      </c>
      <c r="G429">
        <v>19284</v>
      </c>
      <c r="H429">
        <v>20031</v>
      </c>
      <c r="I429">
        <v>8995</v>
      </c>
      <c r="J429">
        <v>6636</v>
      </c>
      <c r="K429">
        <v>3566</v>
      </c>
      <c r="L429">
        <v>89511</v>
      </c>
    </row>
    <row r="430" spans="1:12" x14ac:dyDescent="0.25">
      <c r="A430" t="s">
        <v>2</v>
      </c>
      <c r="B430" t="s">
        <v>2</v>
      </c>
      <c r="C430">
        <v>2021</v>
      </c>
      <c r="D430">
        <v>2176</v>
      </c>
      <c r="E430">
        <v>7190</v>
      </c>
      <c r="F430">
        <v>22266</v>
      </c>
      <c r="G430">
        <v>19627</v>
      </c>
      <c r="H430">
        <v>20200</v>
      </c>
      <c r="I430">
        <v>9536</v>
      </c>
      <c r="J430">
        <v>6736</v>
      </c>
      <c r="K430">
        <v>3827</v>
      </c>
      <c r="L430">
        <v>91558</v>
      </c>
    </row>
    <row r="431" spans="1:12" x14ac:dyDescent="0.25">
      <c r="A431" t="s">
        <v>2</v>
      </c>
      <c r="B431" t="s">
        <v>2</v>
      </c>
      <c r="C431">
        <v>2022</v>
      </c>
      <c r="D431">
        <v>2454</v>
      </c>
      <c r="E431">
        <v>7560</v>
      </c>
      <c r="F431">
        <v>22704</v>
      </c>
      <c r="G431">
        <v>20076</v>
      </c>
      <c r="H431">
        <v>20251</v>
      </c>
      <c r="I431">
        <v>9936</v>
      </c>
      <c r="J431">
        <v>6976</v>
      </c>
      <c r="K431">
        <v>4049</v>
      </c>
      <c r="L431">
        <v>94006</v>
      </c>
    </row>
    <row r="432" spans="1:12" x14ac:dyDescent="0.25">
      <c r="A432" t="s">
        <v>2</v>
      </c>
      <c r="B432" t="s">
        <v>2</v>
      </c>
      <c r="C432">
        <v>2023</v>
      </c>
      <c r="D432">
        <v>2451</v>
      </c>
      <c r="E432">
        <v>7780</v>
      </c>
      <c r="F432">
        <v>22798</v>
      </c>
      <c r="G432">
        <v>20698</v>
      </c>
      <c r="H432">
        <v>20195</v>
      </c>
      <c r="I432">
        <v>10009</v>
      </c>
      <c r="J432">
        <v>7304</v>
      </c>
      <c r="K432">
        <v>4334</v>
      </c>
      <c r="L432">
        <v>95569</v>
      </c>
    </row>
    <row r="433" spans="1:12" x14ac:dyDescent="0.25">
      <c r="A433" t="s">
        <v>2</v>
      </c>
      <c r="B433" t="s">
        <v>2</v>
      </c>
      <c r="C433">
        <v>2024</v>
      </c>
      <c r="D433">
        <v>2367</v>
      </c>
      <c r="E433">
        <v>7285</v>
      </c>
      <c r="F433">
        <v>22157</v>
      </c>
      <c r="G433">
        <v>20795</v>
      </c>
      <c r="H433">
        <v>20135</v>
      </c>
      <c r="I433">
        <v>9829</v>
      </c>
      <c r="J433">
        <v>7723</v>
      </c>
      <c r="K433">
        <v>4579</v>
      </c>
      <c r="L433">
        <v>94870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3DDC-A5BF-4A44-9D34-29C90330C9D4}">
  <dimension ref="A1:L433"/>
  <sheetViews>
    <sheetView workbookViewId="0"/>
  </sheetViews>
  <sheetFormatPr defaultRowHeight="15" x14ac:dyDescent="0.25"/>
  <cols>
    <col min="2" max="2" width="19" bestFit="1" customWidth="1"/>
  </cols>
  <sheetData>
    <row r="1" spans="1:12" x14ac:dyDescent="0.25">
      <c r="A1" s="4" t="s">
        <v>22</v>
      </c>
      <c r="B1" s="4" t="s">
        <v>56</v>
      </c>
      <c r="C1" s="4" t="s">
        <v>6</v>
      </c>
      <c r="D1" s="5" t="s">
        <v>7</v>
      </c>
      <c r="E1" s="5" t="s">
        <v>8</v>
      </c>
      <c r="F1" s="5" t="s">
        <v>47</v>
      </c>
      <c r="G1" s="5" t="s">
        <v>48</v>
      </c>
      <c r="H1" s="5" t="s">
        <v>49</v>
      </c>
      <c r="I1" s="5" t="s">
        <v>15</v>
      </c>
      <c r="J1" s="5" t="s">
        <v>16</v>
      </c>
      <c r="K1" s="5" t="s">
        <v>50</v>
      </c>
      <c r="L1" s="5" t="s">
        <v>43</v>
      </c>
    </row>
    <row r="2" spans="1:12" x14ac:dyDescent="0.25">
      <c r="A2" t="s">
        <v>0</v>
      </c>
      <c r="B2" t="s">
        <v>51</v>
      </c>
      <c r="C2">
        <v>2001</v>
      </c>
      <c r="D2">
        <v>160</v>
      </c>
      <c r="E2">
        <v>191</v>
      </c>
      <c r="F2">
        <v>371</v>
      </c>
      <c r="G2">
        <v>783</v>
      </c>
      <c r="H2">
        <v>1138</v>
      </c>
      <c r="I2">
        <v>759</v>
      </c>
      <c r="J2">
        <v>521</v>
      </c>
      <c r="K2">
        <v>130</v>
      </c>
      <c r="L2">
        <v>4053</v>
      </c>
    </row>
    <row r="3" spans="1:12" x14ac:dyDescent="0.25">
      <c r="A3" t="s">
        <v>0</v>
      </c>
      <c r="B3" t="s">
        <v>51</v>
      </c>
      <c r="C3">
        <v>2002</v>
      </c>
      <c r="D3">
        <v>195</v>
      </c>
      <c r="E3">
        <v>188</v>
      </c>
      <c r="F3">
        <v>367</v>
      </c>
      <c r="G3">
        <v>715</v>
      </c>
      <c r="H3">
        <v>1108</v>
      </c>
      <c r="I3">
        <v>739</v>
      </c>
      <c r="J3">
        <v>550</v>
      </c>
      <c r="K3">
        <v>173</v>
      </c>
      <c r="L3">
        <v>4035</v>
      </c>
    </row>
    <row r="4" spans="1:12" x14ac:dyDescent="0.25">
      <c r="A4" t="s">
        <v>0</v>
      </c>
      <c r="B4" t="s">
        <v>51</v>
      </c>
      <c r="C4">
        <v>2003</v>
      </c>
      <c r="D4">
        <v>166</v>
      </c>
      <c r="E4">
        <v>182</v>
      </c>
      <c r="F4">
        <v>376</v>
      </c>
      <c r="G4">
        <v>646</v>
      </c>
      <c r="H4">
        <v>1027</v>
      </c>
      <c r="I4">
        <v>726</v>
      </c>
      <c r="J4">
        <v>564</v>
      </c>
      <c r="K4">
        <v>113</v>
      </c>
      <c r="L4">
        <v>3800</v>
      </c>
    </row>
    <row r="5" spans="1:12" x14ac:dyDescent="0.25">
      <c r="A5" t="s">
        <v>0</v>
      </c>
      <c r="B5" t="s">
        <v>51</v>
      </c>
      <c r="C5">
        <v>2004</v>
      </c>
      <c r="D5">
        <v>163</v>
      </c>
      <c r="E5">
        <v>150</v>
      </c>
      <c r="F5">
        <v>381</v>
      </c>
      <c r="G5">
        <v>606</v>
      </c>
      <c r="H5">
        <v>968</v>
      </c>
      <c r="I5">
        <v>704</v>
      </c>
      <c r="J5">
        <v>577</v>
      </c>
      <c r="K5">
        <v>171</v>
      </c>
      <c r="L5">
        <v>3720</v>
      </c>
    </row>
    <row r="6" spans="1:12" x14ac:dyDescent="0.25">
      <c r="A6" t="s">
        <v>0</v>
      </c>
      <c r="B6" t="s">
        <v>51</v>
      </c>
      <c r="C6">
        <v>2005</v>
      </c>
      <c r="D6">
        <v>166</v>
      </c>
      <c r="E6">
        <v>151</v>
      </c>
      <c r="F6">
        <v>362</v>
      </c>
      <c r="G6">
        <v>563</v>
      </c>
      <c r="H6">
        <v>932</v>
      </c>
      <c r="I6">
        <v>643</v>
      </c>
      <c r="J6">
        <v>573</v>
      </c>
      <c r="K6">
        <v>154</v>
      </c>
      <c r="L6">
        <v>3544</v>
      </c>
    </row>
    <row r="7" spans="1:12" x14ac:dyDescent="0.25">
      <c r="A7" t="s">
        <v>0</v>
      </c>
      <c r="B7" t="s">
        <v>51</v>
      </c>
      <c r="C7">
        <v>2006</v>
      </c>
      <c r="D7">
        <v>164</v>
      </c>
      <c r="E7">
        <v>150</v>
      </c>
      <c r="F7">
        <v>371</v>
      </c>
      <c r="G7">
        <v>526</v>
      </c>
      <c r="H7">
        <v>902</v>
      </c>
      <c r="I7">
        <v>569</v>
      </c>
      <c r="J7">
        <v>602</v>
      </c>
      <c r="K7">
        <v>167</v>
      </c>
      <c r="L7">
        <v>3451</v>
      </c>
    </row>
    <row r="8" spans="1:12" x14ac:dyDescent="0.25">
      <c r="A8" t="s">
        <v>0</v>
      </c>
      <c r="B8" t="s">
        <v>51</v>
      </c>
      <c r="C8">
        <v>2007</v>
      </c>
      <c r="D8">
        <v>136</v>
      </c>
      <c r="E8">
        <v>172</v>
      </c>
      <c r="F8">
        <v>439</v>
      </c>
      <c r="G8">
        <v>527</v>
      </c>
      <c r="H8">
        <v>861</v>
      </c>
      <c r="I8">
        <v>551</v>
      </c>
      <c r="J8">
        <v>610</v>
      </c>
      <c r="K8">
        <v>203</v>
      </c>
      <c r="L8">
        <v>3499</v>
      </c>
    </row>
    <row r="9" spans="1:12" x14ac:dyDescent="0.25">
      <c r="A9" t="s">
        <v>0</v>
      </c>
      <c r="B9" t="s">
        <v>51</v>
      </c>
      <c r="C9">
        <v>2008</v>
      </c>
      <c r="D9">
        <v>143</v>
      </c>
      <c r="E9">
        <v>187</v>
      </c>
      <c r="F9">
        <v>435</v>
      </c>
      <c r="G9">
        <v>493</v>
      </c>
      <c r="H9">
        <v>838</v>
      </c>
      <c r="I9">
        <v>506</v>
      </c>
      <c r="J9">
        <v>613</v>
      </c>
      <c r="K9">
        <v>215</v>
      </c>
      <c r="L9">
        <v>3430</v>
      </c>
    </row>
    <row r="10" spans="1:12" x14ac:dyDescent="0.25">
      <c r="A10" t="s">
        <v>0</v>
      </c>
      <c r="B10" t="s">
        <v>51</v>
      </c>
      <c r="C10">
        <v>2009</v>
      </c>
      <c r="D10">
        <v>132</v>
      </c>
      <c r="E10">
        <v>145</v>
      </c>
      <c r="F10">
        <v>418</v>
      </c>
      <c r="G10">
        <v>414</v>
      </c>
      <c r="H10">
        <v>791</v>
      </c>
      <c r="I10">
        <v>472</v>
      </c>
      <c r="J10">
        <v>562</v>
      </c>
      <c r="K10">
        <v>264</v>
      </c>
      <c r="L10">
        <v>3198</v>
      </c>
    </row>
    <row r="11" spans="1:12" x14ac:dyDescent="0.25">
      <c r="A11" t="s">
        <v>0</v>
      </c>
      <c r="B11" t="s">
        <v>51</v>
      </c>
      <c r="C11">
        <v>2010</v>
      </c>
      <c r="D11">
        <v>148</v>
      </c>
      <c r="E11">
        <v>180</v>
      </c>
      <c r="F11">
        <v>469</v>
      </c>
      <c r="G11">
        <v>411</v>
      </c>
      <c r="H11">
        <v>757</v>
      </c>
      <c r="I11">
        <v>464</v>
      </c>
      <c r="J11">
        <v>518</v>
      </c>
      <c r="K11">
        <v>213</v>
      </c>
      <c r="L11">
        <v>3160</v>
      </c>
    </row>
    <row r="12" spans="1:12" x14ac:dyDescent="0.25">
      <c r="A12" t="s">
        <v>0</v>
      </c>
      <c r="B12" t="s">
        <v>51</v>
      </c>
      <c r="C12">
        <v>2011</v>
      </c>
      <c r="D12">
        <v>180</v>
      </c>
      <c r="E12">
        <v>187</v>
      </c>
      <c r="F12">
        <v>510</v>
      </c>
      <c r="G12">
        <v>429</v>
      </c>
      <c r="H12">
        <v>725</v>
      </c>
      <c r="I12">
        <v>452</v>
      </c>
      <c r="J12">
        <v>480</v>
      </c>
      <c r="K12">
        <v>304</v>
      </c>
      <c r="L12">
        <v>3267</v>
      </c>
    </row>
    <row r="13" spans="1:12" x14ac:dyDescent="0.25">
      <c r="A13" t="s">
        <v>0</v>
      </c>
      <c r="B13" t="s">
        <v>51</v>
      </c>
      <c r="C13">
        <v>2012</v>
      </c>
      <c r="D13">
        <v>190</v>
      </c>
      <c r="E13">
        <v>184</v>
      </c>
      <c r="F13">
        <v>513</v>
      </c>
      <c r="G13">
        <v>449</v>
      </c>
      <c r="H13">
        <v>677</v>
      </c>
      <c r="I13">
        <v>443</v>
      </c>
      <c r="J13">
        <v>459</v>
      </c>
      <c r="K13">
        <v>311</v>
      </c>
      <c r="L13">
        <v>3226</v>
      </c>
    </row>
    <row r="14" spans="1:12" x14ac:dyDescent="0.25">
      <c r="A14" t="s">
        <v>0</v>
      </c>
      <c r="B14" t="s">
        <v>51</v>
      </c>
      <c r="C14">
        <v>2013</v>
      </c>
      <c r="D14">
        <v>165</v>
      </c>
      <c r="E14">
        <v>211</v>
      </c>
      <c r="F14">
        <v>538</v>
      </c>
      <c r="G14">
        <v>495</v>
      </c>
      <c r="H14">
        <v>632</v>
      </c>
      <c r="I14">
        <v>422</v>
      </c>
      <c r="J14">
        <v>423</v>
      </c>
      <c r="K14">
        <v>330</v>
      </c>
      <c r="L14">
        <v>3216</v>
      </c>
    </row>
    <row r="15" spans="1:12" x14ac:dyDescent="0.25">
      <c r="A15" t="s">
        <v>0</v>
      </c>
      <c r="B15" t="s">
        <v>51</v>
      </c>
      <c r="C15">
        <v>2014</v>
      </c>
      <c r="D15">
        <v>164</v>
      </c>
      <c r="E15">
        <v>240</v>
      </c>
      <c r="F15">
        <v>521</v>
      </c>
      <c r="G15">
        <v>518</v>
      </c>
      <c r="H15">
        <v>622</v>
      </c>
      <c r="I15">
        <v>404</v>
      </c>
      <c r="J15">
        <v>415</v>
      </c>
      <c r="K15">
        <v>313</v>
      </c>
      <c r="L15">
        <v>3197</v>
      </c>
    </row>
    <row r="16" spans="1:12" x14ac:dyDescent="0.25">
      <c r="A16" t="s">
        <v>0</v>
      </c>
      <c r="B16" t="s">
        <v>51</v>
      </c>
      <c r="C16">
        <v>2015</v>
      </c>
      <c r="D16">
        <v>153</v>
      </c>
      <c r="E16">
        <v>243</v>
      </c>
      <c r="F16">
        <v>526</v>
      </c>
      <c r="G16">
        <v>546</v>
      </c>
      <c r="H16">
        <v>592</v>
      </c>
      <c r="I16">
        <v>414</v>
      </c>
      <c r="J16">
        <v>407</v>
      </c>
      <c r="K16">
        <v>291</v>
      </c>
      <c r="L16">
        <v>3172</v>
      </c>
    </row>
    <row r="17" spans="1:12" x14ac:dyDescent="0.25">
      <c r="A17" t="s">
        <v>0</v>
      </c>
      <c r="B17" t="s">
        <v>51</v>
      </c>
      <c r="C17">
        <v>2016</v>
      </c>
      <c r="D17">
        <v>199</v>
      </c>
      <c r="E17">
        <v>259</v>
      </c>
      <c r="F17">
        <v>533</v>
      </c>
      <c r="G17">
        <v>569</v>
      </c>
      <c r="H17">
        <v>581</v>
      </c>
      <c r="I17">
        <v>393</v>
      </c>
      <c r="J17">
        <v>410</v>
      </c>
      <c r="K17">
        <v>291</v>
      </c>
      <c r="L17">
        <v>3235</v>
      </c>
    </row>
    <row r="18" spans="1:12" x14ac:dyDescent="0.25">
      <c r="A18" t="s">
        <v>0</v>
      </c>
      <c r="B18" t="s">
        <v>51</v>
      </c>
      <c r="C18">
        <v>2017</v>
      </c>
      <c r="D18">
        <v>239</v>
      </c>
      <c r="E18">
        <v>264</v>
      </c>
      <c r="F18">
        <v>598</v>
      </c>
      <c r="G18">
        <v>566</v>
      </c>
      <c r="H18">
        <v>568</v>
      </c>
      <c r="I18">
        <v>358</v>
      </c>
      <c r="J18">
        <v>400</v>
      </c>
      <c r="K18">
        <v>292</v>
      </c>
      <c r="L18">
        <v>3285</v>
      </c>
    </row>
    <row r="19" spans="1:12" x14ac:dyDescent="0.25">
      <c r="A19" t="s">
        <v>0</v>
      </c>
      <c r="B19" t="s">
        <v>51</v>
      </c>
      <c r="C19">
        <v>2018</v>
      </c>
      <c r="D19">
        <v>269</v>
      </c>
      <c r="E19">
        <v>270</v>
      </c>
      <c r="F19">
        <v>650</v>
      </c>
      <c r="G19">
        <v>594</v>
      </c>
      <c r="H19">
        <v>546</v>
      </c>
      <c r="I19">
        <v>347</v>
      </c>
      <c r="J19">
        <v>377</v>
      </c>
      <c r="K19">
        <v>281</v>
      </c>
      <c r="L19">
        <v>3334</v>
      </c>
    </row>
    <row r="20" spans="1:12" x14ac:dyDescent="0.25">
      <c r="A20" t="s">
        <v>0</v>
      </c>
      <c r="B20" t="s">
        <v>51</v>
      </c>
      <c r="C20">
        <v>2019</v>
      </c>
      <c r="D20">
        <v>413</v>
      </c>
      <c r="E20">
        <v>286</v>
      </c>
      <c r="F20">
        <v>669</v>
      </c>
      <c r="G20">
        <v>598</v>
      </c>
      <c r="H20">
        <v>522</v>
      </c>
      <c r="I20">
        <v>358</v>
      </c>
      <c r="J20">
        <v>360</v>
      </c>
      <c r="K20">
        <v>312</v>
      </c>
      <c r="L20">
        <v>3518</v>
      </c>
    </row>
    <row r="21" spans="1:12" x14ac:dyDescent="0.25">
      <c r="A21" t="s">
        <v>0</v>
      </c>
      <c r="B21" t="s">
        <v>51</v>
      </c>
      <c r="C21">
        <v>2020</v>
      </c>
      <c r="D21">
        <v>402</v>
      </c>
      <c r="E21">
        <v>248</v>
      </c>
      <c r="F21">
        <v>663</v>
      </c>
      <c r="G21">
        <v>598</v>
      </c>
      <c r="H21">
        <v>485</v>
      </c>
      <c r="I21">
        <v>331</v>
      </c>
      <c r="J21">
        <v>353</v>
      </c>
      <c r="K21">
        <v>281</v>
      </c>
      <c r="L21">
        <v>3361</v>
      </c>
    </row>
    <row r="22" spans="1:12" x14ac:dyDescent="0.25">
      <c r="A22" t="s">
        <v>0</v>
      </c>
      <c r="B22" t="s">
        <v>51</v>
      </c>
      <c r="C22">
        <v>2021</v>
      </c>
      <c r="D22">
        <v>454</v>
      </c>
      <c r="E22">
        <v>242</v>
      </c>
      <c r="F22">
        <v>673</v>
      </c>
      <c r="G22">
        <v>661</v>
      </c>
      <c r="H22">
        <v>481</v>
      </c>
      <c r="I22">
        <v>313</v>
      </c>
      <c r="J22">
        <v>334</v>
      </c>
      <c r="K22">
        <v>279</v>
      </c>
      <c r="L22">
        <v>3437</v>
      </c>
    </row>
    <row r="23" spans="1:12" x14ac:dyDescent="0.25">
      <c r="A23" t="s">
        <v>0</v>
      </c>
      <c r="B23" t="s">
        <v>51</v>
      </c>
      <c r="C23">
        <v>2022</v>
      </c>
      <c r="D23">
        <v>562</v>
      </c>
      <c r="E23">
        <v>251</v>
      </c>
      <c r="F23">
        <v>674</v>
      </c>
      <c r="G23">
        <v>689</v>
      </c>
      <c r="H23">
        <v>521</v>
      </c>
      <c r="I23">
        <v>311</v>
      </c>
      <c r="J23">
        <v>319</v>
      </c>
      <c r="K23">
        <v>295</v>
      </c>
      <c r="L23">
        <v>3622</v>
      </c>
    </row>
    <row r="24" spans="1:12" x14ac:dyDescent="0.25">
      <c r="A24" t="s">
        <v>0</v>
      </c>
      <c r="B24" t="s">
        <v>51</v>
      </c>
      <c r="C24">
        <v>2023</v>
      </c>
      <c r="D24">
        <v>541</v>
      </c>
      <c r="E24">
        <v>227</v>
      </c>
      <c r="F24">
        <v>677</v>
      </c>
      <c r="G24">
        <v>688</v>
      </c>
      <c r="H24">
        <v>544</v>
      </c>
      <c r="I24">
        <v>276</v>
      </c>
      <c r="J24">
        <v>325</v>
      </c>
      <c r="K24">
        <v>280</v>
      </c>
      <c r="L24">
        <v>3558</v>
      </c>
    </row>
    <row r="25" spans="1:12" x14ac:dyDescent="0.25">
      <c r="A25" t="s">
        <v>0</v>
      </c>
      <c r="B25" t="s">
        <v>51</v>
      </c>
      <c r="C25">
        <v>2024</v>
      </c>
      <c r="D25">
        <v>531</v>
      </c>
      <c r="E25">
        <v>207</v>
      </c>
      <c r="F25">
        <v>667</v>
      </c>
      <c r="G25">
        <v>654</v>
      </c>
      <c r="H25">
        <v>563</v>
      </c>
      <c r="I25">
        <v>250</v>
      </c>
      <c r="J25">
        <v>330</v>
      </c>
      <c r="K25">
        <v>297</v>
      </c>
      <c r="L25">
        <v>3499</v>
      </c>
    </row>
    <row r="26" spans="1:12" x14ac:dyDescent="0.25">
      <c r="A26" t="s">
        <v>0</v>
      </c>
      <c r="B26" t="s">
        <v>52</v>
      </c>
      <c r="C26">
        <v>2001</v>
      </c>
      <c r="D26">
        <v>205</v>
      </c>
      <c r="E26">
        <v>1747</v>
      </c>
      <c r="F26">
        <v>4015</v>
      </c>
      <c r="G26">
        <v>3651</v>
      </c>
      <c r="H26">
        <v>2989</v>
      </c>
      <c r="I26">
        <v>1409</v>
      </c>
      <c r="J26">
        <v>599</v>
      </c>
      <c r="K26">
        <v>146</v>
      </c>
      <c r="L26">
        <v>14761</v>
      </c>
    </row>
    <row r="27" spans="1:12" x14ac:dyDescent="0.25">
      <c r="A27" t="s">
        <v>0</v>
      </c>
      <c r="B27" t="s">
        <v>52</v>
      </c>
      <c r="C27">
        <v>2002</v>
      </c>
      <c r="D27">
        <v>291</v>
      </c>
      <c r="E27">
        <v>1712</v>
      </c>
      <c r="F27">
        <v>3808</v>
      </c>
      <c r="G27">
        <v>3780</v>
      </c>
      <c r="H27">
        <v>2996</v>
      </c>
      <c r="I27">
        <v>1441</v>
      </c>
      <c r="J27">
        <v>725</v>
      </c>
      <c r="K27">
        <v>175</v>
      </c>
      <c r="L27">
        <v>14928</v>
      </c>
    </row>
    <row r="28" spans="1:12" x14ac:dyDescent="0.25">
      <c r="A28" t="s">
        <v>0</v>
      </c>
      <c r="B28" t="s">
        <v>52</v>
      </c>
      <c r="C28">
        <v>2003</v>
      </c>
      <c r="D28">
        <v>239</v>
      </c>
      <c r="E28">
        <v>1660</v>
      </c>
      <c r="F28">
        <v>3523</v>
      </c>
      <c r="G28">
        <v>3746</v>
      </c>
      <c r="H28">
        <v>3048</v>
      </c>
      <c r="I28">
        <v>1450</v>
      </c>
      <c r="J28">
        <v>766</v>
      </c>
      <c r="K28">
        <v>129</v>
      </c>
      <c r="L28">
        <v>14561</v>
      </c>
    </row>
    <row r="29" spans="1:12" x14ac:dyDescent="0.25">
      <c r="A29" t="s">
        <v>0</v>
      </c>
      <c r="B29" t="s">
        <v>52</v>
      </c>
      <c r="C29">
        <v>2004</v>
      </c>
      <c r="D29">
        <v>246</v>
      </c>
      <c r="E29">
        <v>1701</v>
      </c>
      <c r="F29">
        <v>3308</v>
      </c>
      <c r="G29">
        <v>3750</v>
      </c>
      <c r="H29">
        <v>3017</v>
      </c>
      <c r="I29">
        <v>1461</v>
      </c>
      <c r="J29">
        <v>900</v>
      </c>
      <c r="K29">
        <v>192</v>
      </c>
      <c r="L29">
        <v>14575</v>
      </c>
    </row>
    <row r="30" spans="1:12" x14ac:dyDescent="0.25">
      <c r="A30" t="s">
        <v>0</v>
      </c>
      <c r="B30" t="s">
        <v>52</v>
      </c>
      <c r="C30">
        <v>2005</v>
      </c>
      <c r="D30">
        <v>268</v>
      </c>
      <c r="E30">
        <v>1651</v>
      </c>
      <c r="F30">
        <v>3223</v>
      </c>
      <c r="G30">
        <v>3732</v>
      </c>
      <c r="H30">
        <v>3029</v>
      </c>
      <c r="I30">
        <v>1446</v>
      </c>
      <c r="J30">
        <v>998</v>
      </c>
      <c r="K30">
        <v>181</v>
      </c>
      <c r="L30">
        <v>14528</v>
      </c>
    </row>
    <row r="31" spans="1:12" x14ac:dyDescent="0.25">
      <c r="A31" t="s">
        <v>0</v>
      </c>
      <c r="B31" t="s">
        <v>52</v>
      </c>
      <c r="C31">
        <v>2006</v>
      </c>
      <c r="D31">
        <v>304</v>
      </c>
      <c r="E31">
        <v>1747</v>
      </c>
      <c r="F31">
        <v>3145</v>
      </c>
      <c r="G31">
        <v>3781</v>
      </c>
      <c r="H31">
        <v>3097</v>
      </c>
      <c r="I31">
        <v>1385</v>
      </c>
      <c r="J31">
        <v>1095</v>
      </c>
      <c r="K31">
        <v>205</v>
      </c>
      <c r="L31">
        <v>14759</v>
      </c>
    </row>
    <row r="32" spans="1:12" x14ac:dyDescent="0.25">
      <c r="A32" t="s">
        <v>0</v>
      </c>
      <c r="B32" t="s">
        <v>52</v>
      </c>
      <c r="C32">
        <v>2007</v>
      </c>
      <c r="D32">
        <v>348</v>
      </c>
      <c r="E32">
        <v>1957</v>
      </c>
      <c r="F32">
        <v>3114</v>
      </c>
      <c r="G32">
        <v>3835</v>
      </c>
      <c r="H32">
        <v>3166</v>
      </c>
      <c r="I32">
        <v>1381</v>
      </c>
      <c r="J32">
        <v>1176</v>
      </c>
      <c r="K32">
        <v>304</v>
      </c>
      <c r="L32">
        <v>15281</v>
      </c>
    </row>
    <row r="33" spans="1:12" x14ac:dyDescent="0.25">
      <c r="A33" t="s">
        <v>0</v>
      </c>
      <c r="B33" t="s">
        <v>52</v>
      </c>
      <c r="C33">
        <v>2008</v>
      </c>
      <c r="D33">
        <v>360</v>
      </c>
      <c r="E33">
        <v>2000</v>
      </c>
      <c r="F33">
        <v>3081</v>
      </c>
      <c r="G33">
        <v>3830</v>
      </c>
      <c r="H33">
        <v>3273</v>
      </c>
      <c r="I33">
        <v>1328</v>
      </c>
      <c r="J33">
        <v>1169</v>
      </c>
      <c r="K33">
        <v>370</v>
      </c>
      <c r="L33">
        <v>15411</v>
      </c>
    </row>
    <row r="34" spans="1:12" x14ac:dyDescent="0.25">
      <c r="A34" t="s">
        <v>0</v>
      </c>
      <c r="B34" t="s">
        <v>52</v>
      </c>
      <c r="C34">
        <v>2009</v>
      </c>
      <c r="D34">
        <v>279</v>
      </c>
      <c r="E34">
        <v>1834</v>
      </c>
      <c r="F34">
        <v>2886</v>
      </c>
      <c r="G34">
        <v>3641</v>
      </c>
      <c r="H34">
        <v>3315</v>
      </c>
      <c r="I34">
        <v>1289</v>
      </c>
      <c r="J34">
        <v>1154</v>
      </c>
      <c r="K34">
        <v>418</v>
      </c>
      <c r="L34">
        <v>14816</v>
      </c>
    </row>
    <row r="35" spans="1:12" x14ac:dyDescent="0.25">
      <c r="A35" t="s">
        <v>0</v>
      </c>
      <c r="B35" t="s">
        <v>52</v>
      </c>
      <c r="C35">
        <v>2010</v>
      </c>
      <c r="D35">
        <v>364</v>
      </c>
      <c r="E35">
        <v>1916</v>
      </c>
      <c r="F35">
        <v>2918</v>
      </c>
      <c r="G35">
        <v>3542</v>
      </c>
      <c r="H35">
        <v>3427</v>
      </c>
      <c r="I35">
        <v>1328</v>
      </c>
      <c r="J35">
        <v>1165</v>
      </c>
      <c r="K35">
        <v>394</v>
      </c>
      <c r="L35">
        <v>15054</v>
      </c>
    </row>
    <row r="36" spans="1:12" x14ac:dyDescent="0.25">
      <c r="A36" t="s">
        <v>0</v>
      </c>
      <c r="B36" t="s">
        <v>52</v>
      </c>
      <c r="C36">
        <v>2011</v>
      </c>
      <c r="D36">
        <v>353</v>
      </c>
      <c r="E36">
        <v>2140</v>
      </c>
      <c r="F36">
        <v>2987</v>
      </c>
      <c r="G36">
        <v>3515</v>
      </c>
      <c r="H36">
        <v>3480</v>
      </c>
      <c r="I36">
        <v>1387</v>
      </c>
      <c r="J36">
        <v>1109</v>
      </c>
      <c r="K36">
        <v>557</v>
      </c>
      <c r="L36">
        <v>15528</v>
      </c>
    </row>
    <row r="37" spans="1:12" x14ac:dyDescent="0.25">
      <c r="A37" t="s">
        <v>0</v>
      </c>
      <c r="B37" t="s">
        <v>52</v>
      </c>
      <c r="C37">
        <v>2012</v>
      </c>
      <c r="D37">
        <v>329</v>
      </c>
      <c r="E37">
        <v>2112</v>
      </c>
      <c r="F37">
        <v>3026</v>
      </c>
      <c r="G37">
        <v>3400</v>
      </c>
      <c r="H37">
        <v>3541</v>
      </c>
      <c r="I37">
        <v>1427</v>
      </c>
      <c r="J37">
        <v>1102</v>
      </c>
      <c r="K37">
        <v>594</v>
      </c>
      <c r="L37">
        <v>15531</v>
      </c>
    </row>
    <row r="38" spans="1:12" x14ac:dyDescent="0.25">
      <c r="A38" t="s">
        <v>0</v>
      </c>
      <c r="B38" t="s">
        <v>52</v>
      </c>
      <c r="C38">
        <v>2013</v>
      </c>
      <c r="D38">
        <v>331</v>
      </c>
      <c r="E38">
        <v>2130</v>
      </c>
      <c r="F38">
        <v>3136</v>
      </c>
      <c r="G38">
        <v>3313</v>
      </c>
      <c r="H38">
        <v>3588</v>
      </c>
      <c r="I38">
        <v>1487</v>
      </c>
      <c r="J38">
        <v>1093</v>
      </c>
      <c r="K38">
        <v>619</v>
      </c>
      <c r="L38">
        <v>15697</v>
      </c>
    </row>
    <row r="39" spans="1:12" x14ac:dyDescent="0.25">
      <c r="A39" t="s">
        <v>0</v>
      </c>
      <c r="B39" t="s">
        <v>52</v>
      </c>
      <c r="C39">
        <v>2014</v>
      </c>
      <c r="D39">
        <v>317</v>
      </c>
      <c r="E39">
        <v>2240</v>
      </c>
      <c r="F39">
        <v>3201</v>
      </c>
      <c r="G39">
        <v>3206</v>
      </c>
      <c r="H39">
        <v>3661</v>
      </c>
      <c r="I39">
        <v>1538</v>
      </c>
      <c r="J39">
        <v>1088</v>
      </c>
      <c r="K39">
        <v>625</v>
      </c>
      <c r="L39">
        <v>15876</v>
      </c>
    </row>
    <row r="40" spans="1:12" x14ac:dyDescent="0.25">
      <c r="A40" t="s">
        <v>0</v>
      </c>
      <c r="B40" t="s">
        <v>52</v>
      </c>
      <c r="C40">
        <v>2015</v>
      </c>
      <c r="D40">
        <v>340</v>
      </c>
      <c r="E40">
        <v>2213</v>
      </c>
      <c r="F40">
        <v>3326</v>
      </c>
      <c r="G40">
        <v>3178</v>
      </c>
      <c r="H40">
        <v>3715</v>
      </c>
      <c r="I40">
        <v>1548</v>
      </c>
      <c r="J40">
        <v>1121</v>
      </c>
      <c r="K40">
        <v>629</v>
      </c>
      <c r="L40">
        <v>16070</v>
      </c>
    </row>
    <row r="41" spans="1:12" x14ac:dyDescent="0.25">
      <c r="A41" t="s">
        <v>0</v>
      </c>
      <c r="B41" t="s">
        <v>52</v>
      </c>
      <c r="C41">
        <v>2016</v>
      </c>
      <c r="D41">
        <v>398</v>
      </c>
      <c r="E41">
        <v>2354</v>
      </c>
      <c r="F41">
        <v>3497</v>
      </c>
      <c r="G41">
        <v>3095</v>
      </c>
      <c r="H41">
        <v>3784</v>
      </c>
      <c r="I41">
        <v>1551</v>
      </c>
      <c r="J41">
        <v>1210</v>
      </c>
      <c r="K41">
        <v>629</v>
      </c>
      <c r="L41">
        <v>16518</v>
      </c>
    </row>
    <row r="42" spans="1:12" x14ac:dyDescent="0.25">
      <c r="A42" t="s">
        <v>0</v>
      </c>
      <c r="B42" t="s">
        <v>52</v>
      </c>
      <c r="C42">
        <v>2017</v>
      </c>
      <c r="D42">
        <v>411</v>
      </c>
      <c r="E42">
        <v>2396</v>
      </c>
      <c r="F42">
        <v>3636</v>
      </c>
      <c r="G42">
        <v>3040</v>
      </c>
      <c r="H42">
        <v>3842</v>
      </c>
      <c r="I42">
        <v>1566</v>
      </c>
      <c r="J42">
        <v>1238</v>
      </c>
      <c r="K42">
        <v>665</v>
      </c>
      <c r="L42">
        <v>16794</v>
      </c>
    </row>
    <row r="43" spans="1:12" x14ac:dyDescent="0.25">
      <c r="A43" t="s">
        <v>0</v>
      </c>
      <c r="B43" t="s">
        <v>52</v>
      </c>
      <c r="C43">
        <v>2018</v>
      </c>
      <c r="D43">
        <v>408</v>
      </c>
      <c r="E43">
        <v>2346</v>
      </c>
      <c r="F43">
        <v>3726</v>
      </c>
      <c r="G43">
        <v>3036</v>
      </c>
      <c r="H43">
        <v>3814</v>
      </c>
      <c r="I43">
        <v>1596</v>
      </c>
      <c r="J43">
        <v>1284</v>
      </c>
      <c r="K43">
        <v>697</v>
      </c>
      <c r="L43">
        <v>16907</v>
      </c>
    </row>
    <row r="44" spans="1:12" x14ac:dyDescent="0.25">
      <c r="A44" t="s">
        <v>0</v>
      </c>
      <c r="B44" t="s">
        <v>52</v>
      </c>
      <c r="C44">
        <v>2019</v>
      </c>
      <c r="D44">
        <v>378</v>
      </c>
      <c r="E44">
        <v>2038</v>
      </c>
      <c r="F44">
        <v>3826</v>
      </c>
      <c r="G44">
        <v>2959</v>
      </c>
      <c r="H44">
        <v>3707</v>
      </c>
      <c r="I44">
        <v>1694</v>
      </c>
      <c r="J44">
        <v>1320</v>
      </c>
      <c r="K44">
        <v>710</v>
      </c>
      <c r="L44">
        <v>16632</v>
      </c>
    </row>
    <row r="45" spans="1:12" x14ac:dyDescent="0.25">
      <c r="A45" t="s">
        <v>0</v>
      </c>
      <c r="B45" t="s">
        <v>52</v>
      </c>
      <c r="C45">
        <v>2020</v>
      </c>
      <c r="D45">
        <v>330</v>
      </c>
      <c r="E45">
        <v>2021</v>
      </c>
      <c r="F45">
        <v>3809</v>
      </c>
      <c r="G45">
        <v>2941</v>
      </c>
      <c r="H45">
        <v>3569</v>
      </c>
      <c r="I45">
        <v>1745</v>
      </c>
      <c r="J45">
        <v>1314</v>
      </c>
      <c r="K45">
        <v>706</v>
      </c>
      <c r="L45">
        <v>16435</v>
      </c>
    </row>
    <row r="46" spans="1:12" x14ac:dyDescent="0.25">
      <c r="A46" t="s">
        <v>0</v>
      </c>
      <c r="B46" t="s">
        <v>52</v>
      </c>
      <c r="C46">
        <v>2021</v>
      </c>
      <c r="D46">
        <v>427</v>
      </c>
      <c r="E46">
        <v>2138</v>
      </c>
      <c r="F46">
        <v>3874</v>
      </c>
      <c r="G46">
        <v>2966</v>
      </c>
      <c r="H46">
        <v>3523</v>
      </c>
      <c r="I46">
        <v>1789</v>
      </c>
      <c r="J46">
        <v>1335</v>
      </c>
      <c r="K46">
        <v>731</v>
      </c>
      <c r="L46">
        <v>16783</v>
      </c>
    </row>
    <row r="47" spans="1:12" x14ac:dyDescent="0.25">
      <c r="A47" t="s">
        <v>0</v>
      </c>
      <c r="B47" t="s">
        <v>52</v>
      </c>
      <c r="C47">
        <v>2022</v>
      </c>
      <c r="D47">
        <v>452</v>
      </c>
      <c r="E47">
        <v>2271</v>
      </c>
      <c r="F47">
        <v>3774</v>
      </c>
      <c r="G47">
        <v>2968</v>
      </c>
      <c r="H47">
        <v>3467</v>
      </c>
      <c r="I47">
        <v>1927</v>
      </c>
      <c r="J47">
        <v>1344</v>
      </c>
      <c r="K47">
        <v>767</v>
      </c>
      <c r="L47">
        <v>16970</v>
      </c>
    </row>
    <row r="48" spans="1:12" x14ac:dyDescent="0.25">
      <c r="A48" t="s">
        <v>0</v>
      </c>
      <c r="B48" t="s">
        <v>52</v>
      </c>
      <c r="C48">
        <v>2023</v>
      </c>
      <c r="D48">
        <v>446</v>
      </c>
      <c r="E48">
        <v>2241</v>
      </c>
      <c r="F48">
        <v>3775</v>
      </c>
      <c r="G48">
        <v>3020</v>
      </c>
      <c r="H48">
        <v>3336</v>
      </c>
      <c r="I48">
        <v>1933</v>
      </c>
      <c r="J48">
        <v>1404</v>
      </c>
      <c r="K48">
        <v>815</v>
      </c>
      <c r="L48">
        <v>16970</v>
      </c>
    </row>
    <row r="49" spans="1:12" x14ac:dyDescent="0.25">
      <c r="A49" t="s">
        <v>0</v>
      </c>
      <c r="B49" t="s">
        <v>52</v>
      </c>
      <c r="C49">
        <v>2024</v>
      </c>
      <c r="D49">
        <v>422</v>
      </c>
      <c r="E49">
        <v>2250</v>
      </c>
      <c r="F49">
        <v>3777</v>
      </c>
      <c r="G49">
        <v>2987</v>
      </c>
      <c r="H49">
        <v>3194</v>
      </c>
      <c r="I49">
        <v>1915</v>
      </c>
      <c r="J49">
        <v>1529</v>
      </c>
      <c r="K49">
        <v>870</v>
      </c>
      <c r="L49">
        <v>16944</v>
      </c>
    </row>
    <row r="50" spans="1:12" x14ac:dyDescent="0.25">
      <c r="A50" t="s">
        <v>0</v>
      </c>
      <c r="B50" t="s">
        <v>53</v>
      </c>
      <c r="C50">
        <v>2001</v>
      </c>
      <c r="D50">
        <v>1</v>
      </c>
      <c r="E50">
        <v>428</v>
      </c>
      <c r="F50">
        <v>1642</v>
      </c>
      <c r="G50">
        <v>1397</v>
      </c>
      <c r="H50">
        <v>1044</v>
      </c>
      <c r="I50">
        <v>388</v>
      </c>
      <c r="J50">
        <v>169</v>
      </c>
      <c r="K50">
        <v>32</v>
      </c>
      <c r="L50">
        <v>5101</v>
      </c>
    </row>
    <row r="51" spans="1:12" x14ac:dyDescent="0.25">
      <c r="A51" t="s">
        <v>0</v>
      </c>
      <c r="B51" t="s">
        <v>53</v>
      </c>
      <c r="C51">
        <v>2002</v>
      </c>
      <c r="D51">
        <v>1</v>
      </c>
      <c r="E51">
        <v>451</v>
      </c>
      <c r="F51">
        <v>1479</v>
      </c>
      <c r="G51">
        <v>1467</v>
      </c>
      <c r="H51">
        <v>1056</v>
      </c>
      <c r="I51">
        <v>413</v>
      </c>
      <c r="J51">
        <v>200</v>
      </c>
      <c r="K51">
        <v>47</v>
      </c>
      <c r="L51">
        <v>5114</v>
      </c>
    </row>
    <row r="52" spans="1:12" x14ac:dyDescent="0.25">
      <c r="A52" t="s">
        <v>0</v>
      </c>
      <c r="B52" t="s">
        <v>53</v>
      </c>
      <c r="C52">
        <v>2003</v>
      </c>
      <c r="D52">
        <v>0</v>
      </c>
      <c r="E52">
        <v>416</v>
      </c>
      <c r="F52">
        <v>1325</v>
      </c>
      <c r="G52">
        <v>1535</v>
      </c>
      <c r="H52">
        <v>1063</v>
      </c>
      <c r="I52">
        <v>400</v>
      </c>
      <c r="J52">
        <v>240</v>
      </c>
      <c r="K52">
        <v>40</v>
      </c>
      <c r="L52">
        <v>5019</v>
      </c>
    </row>
    <row r="53" spans="1:12" x14ac:dyDescent="0.25">
      <c r="A53" t="s">
        <v>0</v>
      </c>
      <c r="B53" t="s">
        <v>53</v>
      </c>
      <c r="C53">
        <v>2004</v>
      </c>
      <c r="D53">
        <v>0</v>
      </c>
      <c r="E53">
        <v>454</v>
      </c>
      <c r="F53">
        <v>1336</v>
      </c>
      <c r="G53">
        <v>1569</v>
      </c>
      <c r="H53">
        <v>1075</v>
      </c>
      <c r="I53">
        <v>431</v>
      </c>
      <c r="J53">
        <v>262</v>
      </c>
      <c r="K53">
        <v>58</v>
      </c>
      <c r="L53">
        <v>5185</v>
      </c>
    </row>
    <row r="54" spans="1:12" x14ac:dyDescent="0.25">
      <c r="A54" t="s">
        <v>0</v>
      </c>
      <c r="B54" t="s">
        <v>53</v>
      </c>
      <c r="C54">
        <v>2005</v>
      </c>
      <c r="D54">
        <v>2</v>
      </c>
      <c r="E54">
        <v>424</v>
      </c>
      <c r="F54">
        <v>1261</v>
      </c>
      <c r="G54">
        <v>1573</v>
      </c>
      <c r="H54">
        <v>1084</v>
      </c>
      <c r="I54">
        <v>432</v>
      </c>
      <c r="J54">
        <v>290</v>
      </c>
      <c r="K54">
        <v>63</v>
      </c>
      <c r="L54">
        <v>5129</v>
      </c>
    </row>
    <row r="55" spans="1:12" x14ac:dyDescent="0.25">
      <c r="A55" t="s">
        <v>0</v>
      </c>
      <c r="B55" t="s">
        <v>53</v>
      </c>
      <c r="C55">
        <v>2006</v>
      </c>
      <c r="D55">
        <v>0</v>
      </c>
      <c r="E55">
        <v>578</v>
      </c>
      <c r="F55">
        <v>1225</v>
      </c>
      <c r="G55">
        <v>1597</v>
      </c>
      <c r="H55">
        <v>1135</v>
      </c>
      <c r="I55">
        <v>470</v>
      </c>
      <c r="J55">
        <v>301</v>
      </c>
      <c r="K55">
        <v>64</v>
      </c>
      <c r="L55">
        <v>5370</v>
      </c>
    </row>
    <row r="56" spans="1:12" x14ac:dyDescent="0.25">
      <c r="A56" t="s">
        <v>0</v>
      </c>
      <c r="B56" t="s">
        <v>53</v>
      </c>
      <c r="C56">
        <v>2007</v>
      </c>
      <c r="D56">
        <v>2</v>
      </c>
      <c r="E56">
        <v>608</v>
      </c>
      <c r="F56">
        <v>1212</v>
      </c>
      <c r="G56">
        <v>1652</v>
      </c>
      <c r="H56">
        <v>1135</v>
      </c>
      <c r="I56">
        <v>511</v>
      </c>
      <c r="J56">
        <v>340</v>
      </c>
      <c r="K56">
        <v>78</v>
      </c>
      <c r="L56">
        <v>5538</v>
      </c>
    </row>
    <row r="57" spans="1:12" x14ac:dyDescent="0.25">
      <c r="A57" t="s">
        <v>0</v>
      </c>
      <c r="B57" t="s">
        <v>53</v>
      </c>
      <c r="C57">
        <v>2008</v>
      </c>
      <c r="D57">
        <v>1</v>
      </c>
      <c r="E57">
        <v>638</v>
      </c>
      <c r="F57">
        <v>1147</v>
      </c>
      <c r="G57">
        <v>1644</v>
      </c>
      <c r="H57">
        <v>1189</v>
      </c>
      <c r="I57">
        <v>519</v>
      </c>
      <c r="J57">
        <v>338</v>
      </c>
      <c r="K57">
        <v>100</v>
      </c>
      <c r="L57">
        <v>5576</v>
      </c>
    </row>
    <row r="58" spans="1:12" x14ac:dyDescent="0.25">
      <c r="A58" t="s">
        <v>0</v>
      </c>
      <c r="B58" t="s">
        <v>53</v>
      </c>
      <c r="C58">
        <v>2009</v>
      </c>
      <c r="D58">
        <v>3</v>
      </c>
      <c r="E58">
        <v>448</v>
      </c>
      <c r="F58">
        <v>1085</v>
      </c>
      <c r="G58">
        <v>1645</v>
      </c>
      <c r="H58">
        <v>1220</v>
      </c>
      <c r="I58">
        <v>512</v>
      </c>
      <c r="J58">
        <v>350</v>
      </c>
      <c r="K58">
        <v>110</v>
      </c>
      <c r="L58">
        <v>5373</v>
      </c>
    </row>
    <row r="59" spans="1:12" x14ac:dyDescent="0.25">
      <c r="A59" t="s">
        <v>0</v>
      </c>
      <c r="B59" t="s">
        <v>53</v>
      </c>
      <c r="C59">
        <v>2010</v>
      </c>
      <c r="D59">
        <v>5</v>
      </c>
      <c r="E59">
        <v>557</v>
      </c>
      <c r="F59">
        <v>1158</v>
      </c>
      <c r="G59">
        <v>1574</v>
      </c>
      <c r="H59">
        <v>1283</v>
      </c>
      <c r="I59">
        <v>511</v>
      </c>
      <c r="J59">
        <v>387</v>
      </c>
      <c r="K59">
        <v>103</v>
      </c>
      <c r="L59">
        <v>5578</v>
      </c>
    </row>
    <row r="60" spans="1:12" x14ac:dyDescent="0.25">
      <c r="A60" t="s">
        <v>0</v>
      </c>
      <c r="B60" t="s">
        <v>53</v>
      </c>
      <c r="C60">
        <v>2011</v>
      </c>
      <c r="D60">
        <v>1</v>
      </c>
      <c r="E60">
        <v>600</v>
      </c>
      <c r="F60">
        <v>1196</v>
      </c>
      <c r="G60">
        <v>1549</v>
      </c>
      <c r="H60">
        <v>1332</v>
      </c>
      <c r="I60">
        <v>527</v>
      </c>
      <c r="J60">
        <v>382</v>
      </c>
      <c r="K60">
        <v>146</v>
      </c>
      <c r="L60">
        <v>5733</v>
      </c>
    </row>
    <row r="61" spans="1:12" x14ac:dyDescent="0.25">
      <c r="A61" t="s">
        <v>0</v>
      </c>
      <c r="B61" t="s">
        <v>53</v>
      </c>
      <c r="C61">
        <v>2012</v>
      </c>
      <c r="D61">
        <v>3</v>
      </c>
      <c r="E61">
        <v>621</v>
      </c>
      <c r="F61">
        <v>1216</v>
      </c>
      <c r="G61">
        <v>1441</v>
      </c>
      <c r="H61">
        <v>1454</v>
      </c>
      <c r="I61">
        <v>488</v>
      </c>
      <c r="J61">
        <v>424</v>
      </c>
      <c r="K61">
        <v>174</v>
      </c>
      <c r="L61">
        <v>5821</v>
      </c>
    </row>
    <row r="62" spans="1:12" x14ac:dyDescent="0.25">
      <c r="A62" t="s">
        <v>0</v>
      </c>
      <c r="B62" t="s">
        <v>53</v>
      </c>
      <c r="C62">
        <v>2013</v>
      </c>
      <c r="D62">
        <v>2</v>
      </c>
      <c r="E62">
        <v>611</v>
      </c>
      <c r="F62">
        <v>1271</v>
      </c>
      <c r="G62">
        <v>1377</v>
      </c>
      <c r="H62">
        <v>1519</v>
      </c>
      <c r="I62">
        <v>490</v>
      </c>
      <c r="J62">
        <v>437</v>
      </c>
      <c r="K62">
        <v>172</v>
      </c>
      <c r="L62">
        <v>5879</v>
      </c>
    </row>
    <row r="63" spans="1:12" x14ac:dyDescent="0.25">
      <c r="A63" t="s">
        <v>0</v>
      </c>
      <c r="B63" t="s">
        <v>53</v>
      </c>
      <c r="C63">
        <v>2014</v>
      </c>
      <c r="D63">
        <v>2</v>
      </c>
      <c r="E63">
        <v>601</v>
      </c>
      <c r="F63">
        <v>1331</v>
      </c>
      <c r="G63">
        <v>1342</v>
      </c>
      <c r="H63">
        <v>1561</v>
      </c>
      <c r="I63">
        <v>505</v>
      </c>
      <c r="J63">
        <v>436</v>
      </c>
      <c r="K63">
        <v>176</v>
      </c>
      <c r="L63">
        <v>5954</v>
      </c>
    </row>
    <row r="64" spans="1:12" x14ac:dyDescent="0.25">
      <c r="A64" t="s">
        <v>0</v>
      </c>
      <c r="B64" t="s">
        <v>53</v>
      </c>
      <c r="C64">
        <v>2015</v>
      </c>
      <c r="D64">
        <v>1</v>
      </c>
      <c r="E64">
        <v>600</v>
      </c>
      <c r="F64">
        <v>1388</v>
      </c>
      <c r="G64">
        <v>1294</v>
      </c>
      <c r="H64">
        <v>1598</v>
      </c>
      <c r="I64">
        <v>524</v>
      </c>
      <c r="J64">
        <v>453</v>
      </c>
      <c r="K64">
        <v>192</v>
      </c>
      <c r="L64">
        <v>6050</v>
      </c>
    </row>
    <row r="65" spans="1:12" x14ac:dyDescent="0.25">
      <c r="A65" t="s">
        <v>0</v>
      </c>
      <c r="B65" t="s">
        <v>53</v>
      </c>
      <c r="C65">
        <v>2016</v>
      </c>
      <c r="D65">
        <v>1</v>
      </c>
      <c r="E65">
        <v>660</v>
      </c>
      <c r="F65">
        <v>1519</v>
      </c>
      <c r="G65">
        <v>1239</v>
      </c>
      <c r="H65">
        <v>1630</v>
      </c>
      <c r="I65">
        <v>561</v>
      </c>
      <c r="J65">
        <v>462</v>
      </c>
      <c r="K65">
        <v>204</v>
      </c>
      <c r="L65">
        <v>6276</v>
      </c>
    </row>
    <row r="66" spans="1:12" x14ac:dyDescent="0.25">
      <c r="A66" t="s">
        <v>0</v>
      </c>
      <c r="B66" t="s">
        <v>53</v>
      </c>
      <c r="C66">
        <v>2017</v>
      </c>
      <c r="D66">
        <v>3</v>
      </c>
      <c r="E66">
        <v>730</v>
      </c>
      <c r="F66">
        <v>1619</v>
      </c>
      <c r="G66">
        <v>1221</v>
      </c>
      <c r="H66">
        <v>1674</v>
      </c>
      <c r="I66">
        <v>591</v>
      </c>
      <c r="J66">
        <v>424</v>
      </c>
      <c r="K66">
        <v>244</v>
      </c>
      <c r="L66">
        <v>6506</v>
      </c>
    </row>
    <row r="67" spans="1:12" x14ac:dyDescent="0.25">
      <c r="A67" t="s">
        <v>0</v>
      </c>
      <c r="B67" t="s">
        <v>53</v>
      </c>
      <c r="C67">
        <v>2018</v>
      </c>
      <c r="D67">
        <v>2</v>
      </c>
      <c r="E67">
        <v>673</v>
      </c>
      <c r="F67">
        <v>1741</v>
      </c>
      <c r="G67">
        <v>1229</v>
      </c>
      <c r="H67">
        <v>1688</v>
      </c>
      <c r="I67">
        <v>666</v>
      </c>
      <c r="J67">
        <v>415</v>
      </c>
      <c r="K67">
        <v>265</v>
      </c>
      <c r="L67">
        <v>6679</v>
      </c>
    </row>
    <row r="68" spans="1:12" x14ac:dyDescent="0.25">
      <c r="A68" t="s">
        <v>0</v>
      </c>
      <c r="B68" t="s">
        <v>53</v>
      </c>
      <c r="C68">
        <v>2019</v>
      </c>
      <c r="D68">
        <v>0</v>
      </c>
      <c r="E68">
        <v>808</v>
      </c>
      <c r="F68">
        <v>1910</v>
      </c>
      <c r="G68">
        <v>1203</v>
      </c>
      <c r="H68">
        <v>1705</v>
      </c>
      <c r="I68">
        <v>672</v>
      </c>
      <c r="J68">
        <v>435</v>
      </c>
      <c r="K68">
        <v>285</v>
      </c>
      <c r="L68">
        <v>7018</v>
      </c>
    </row>
    <row r="69" spans="1:12" x14ac:dyDescent="0.25">
      <c r="A69" t="s">
        <v>0</v>
      </c>
      <c r="B69" t="s">
        <v>53</v>
      </c>
      <c r="C69">
        <v>2020</v>
      </c>
      <c r="D69">
        <v>0</v>
      </c>
      <c r="E69">
        <v>688</v>
      </c>
      <c r="F69">
        <v>1838</v>
      </c>
      <c r="G69">
        <v>1274</v>
      </c>
      <c r="H69">
        <v>1643</v>
      </c>
      <c r="I69">
        <v>727</v>
      </c>
      <c r="J69">
        <v>454</v>
      </c>
      <c r="K69">
        <v>283</v>
      </c>
      <c r="L69">
        <v>6907</v>
      </c>
    </row>
    <row r="70" spans="1:12" x14ac:dyDescent="0.25">
      <c r="A70" t="s">
        <v>0</v>
      </c>
      <c r="B70" t="s">
        <v>53</v>
      </c>
      <c r="C70">
        <v>2021</v>
      </c>
      <c r="D70">
        <v>0</v>
      </c>
      <c r="E70">
        <v>790</v>
      </c>
      <c r="F70">
        <v>1853</v>
      </c>
      <c r="G70">
        <v>1299</v>
      </c>
      <c r="H70">
        <v>1637</v>
      </c>
      <c r="I70">
        <v>754</v>
      </c>
      <c r="J70">
        <v>501</v>
      </c>
      <c r="K70">
        <v>300</v>
      </c>
      <c r="L70">
        <v>7134</v>
      </c>
    </row>
    <row r="71" spans="1:12" x14ac:dyDescent="0.25">
      <c r="A71" t="s">
        <v>0</v>
      </c>
      <c r="B71" t="s">
        <v>53</v>
      </c>
      <c r="C71">
        <v>2022</v>
      </c>
      <c r="D71">
        <v>4</v>
      </c>
      <c r="E71">
        <v>900</v>
      </c>
      <c r="F71">
        <v>1977</v>
      </c>
      <c r="G71">
        <v>1380</v>
      </c>
      <c r="H71">
        <v>1590</v>
      </c>
      <c r="I71">
        <v>850</v>
      </c>
      <c r="J71">
        <v>543</v>
      </c>
      <c r="K71">
        <v>289</v>
      </c>
      <c r="L71">
        <v>7533</v>
      </c>
    </row>
    <row r="72" spans="1:12" x14ac:dyDescent="0.25">
      <c r="A72" t="s">
        <v>0</v>
      </c>
      <c r="B72" t="s">
        <v>53</v>
      </c>
      <c r="C72">
        <v>2023</v>
      </c>
      <c r="D72">
        <v>1</v>
      </c>
      <c r="E72">
        <v>939</v>
      </c>
      <c r="F72">
        <v>2021</v>
      </c>
      <c r="G72">
        <v>1442</v>
      </c>
      <c r="H72">
        <v>1514</v>
      </c>
      <c r="I72">
        <v>846</v>
      </c>
      <c r="J72">
        <v>614</v>
      </c>
      <c r="K72">
        <v>322</v>
      </c>
      <c r="L72">
        <v>7699</v>
      </c>
    </row>
    <row r="73" spans="1:12" x14ac:dyDescent="0.25">
      <c r="A73" t="s">
        <v>0</v>
      </c>
      <c r="B73" t="s">
        <v>53</v>
      </c>
      <c r="C73">
        <v>2024</v>
      </c>
      <c r="D73">
        <v>1</v>
      </c>
      <c r="E73">
        <v>867</v>
      </c>
      <c r="F73">
        <v>2029</v>
      </c>
      <c r="G73">
        <v>1535</v>
      </c>
      <c r="H73">
        <v>1463</v>
      </c>
      <c r="I73">
        <v>858</v>
      </c>
      <c r="J73">
        <v>622</v>
      </c>
      <c r="K73">
        <v>363</v>
      </c>
      <c r="L73">
        <v>7738</v>
      </c>
    </row>
    <row r="74" spans="1:12" x14ac:dyDescent="0.25">
      <c r="A74" t="s">
        <v>0</v>
      </c>
      <c r="B74" t="s">
        <v>54</v>
      </c>
      <c r="C74">
        <v>2001</v>
      </c>
      <c r="D74">
        <v>0</v>
      </c>
      <c r="E74">
        <v>211</v>
      </c>
      <c r="F74">
        <v>2736</v>
      </c>
      <c r="G74">
        <v>2179</v>
      </c>
      <c r="H74">
        <v>2012</v>
      </c>
      <c r="I74">
        <v>823</v>
      </c>
      <c r="J74">
        <v>376</v>
      </c>
      <c r="K74">
        <v>129</v>
      </c>
      <c r="L74">
        <v>8466</v>
      </c>
    </row>
    <row r="75" spans="1:12" x14ac:dyDescent="0.25">
      <c r="A75" t="s">
        <v>0</v>
      </c>
      <c r="B75" t="s">
        <v>54</v>
      </c>
      <c r="C75">
        <v>2002</v>
      </c>
      <c r="D75">
        <v>0</v>
      </c>
      <c r="E75">
        <v>188</v>
      </c>
      <c r="F75">
        <v>2826</v>
      </c>
      <c r="G75">
        <v>2287</v>
      </c>
      <c r="H75">
        <v>2027</v>
      </c>
      <c r="I75">
        <v>874</v>
      </c>
      <c r="J75">
        <v>422</v>
      </c>
      <c r="K75">
        <v>154</v>
      </c>
      <c r="L75">
        <v>8778</v>
      </c>
    </row>
    <row r="76" spans="1:12" x14ac:dyDescent="0.25">
      <c r="A76" t="s">
        <v>0</v>
      </c>
      <c r="B76" t="s">
        <v>54</v>
      </c>
      <c r="C76">
        <v>2003</v>
      </c>
      <c r="D76">
        <v>0</v>
      </c>
      <c r="E76">
        <v>147</v>
      </c>
      <c r="F76">
        <v>2878</v>
      </c>
      <c r="G76">
        <v>2283</v>
      </c>
      <c r="H76">
        <v>2049</v>
      </c>
      <c r="I76">
        <v>869</v>
      </c>
      <c r="J76">
        <v>485</v>
      </c>
      <c r="K76">
        <v>142</v>
      </c>
      <c r="L76">
        <v>8853</v>
      </c>
    </row>
    <row r="77" spans="1:12" x14ac:dyDescent="0.25">
      <c r="A77" t="s">
        <v>0</v>
      </c>
      <c r="B77" t="s">
        <v>54</v>
      </c>
      <c r="C77">
        <v>2004</v>
      </c>
      <c r="D77">
        <v>0</v>
      </c>
      <c r="E77">
        <v>202</v>
      </c>
      <c r="F77">
        <v>3008</v>
      </c>
      <c r="G77">
        <v>2310</v>
      </c>
      <c r="H77">
        <v>2052</v>
      </c>
      <c r="I77">
        <v>895</v>
      </c>
      <c r="J77">
        <v>553</v>
      </c>
      <c r="K77">
        <v>194</v>
      </c>
      <c r="L77">
        <v>9214</v>
      </c>
    </row>
    <row r="78" spans="1:12" x14ac:dyDescent="0.25">
      <c r="A78" t="s">
        <v>0</v>
      </c>
      <c r="B78" t="s">
        <v>54</v>
      </c>
      <c r="C78">
        <v>2005</v>
      </c>
      <c r="D78">
        <v>0</v>
      </c>
      <c r="E78">
        <v>188</v>
      </c>
      <c r="F78">
        <v>3101</v>
      </c>
      <c r="G78">
        <v>2362</v>
      </c>
      <c r="H78">
        <v>2054</v>
      </c>
      <c r="I78">
        <v>880</v>
      </c>
      <c r="J78">
        <v>633</v>
      </c>
      <c r="K78">
        <v>204</v>
      </c>
      <c r="L78">
        <v>9422</v>
      </c>
    </row>
    <row r="79" spans="1:12" x14ac:dyDescent="0.25">
      <c r="A79" t="s">
        <v>0</v>
      </c>
      <c r="B79" t="s">
        <v>54</v>
      </c>
      <c r="C79">
        <v>2006</v>
      </c>
      <c r="D79">
        <v>0</v>
      </c>
      <c r="E79">
        <v>184</v>
      </c>
      <c r="F79">
        <v>3272</v>
      </c>
      <c r="G79">
        <v>2487</v>
      </c>
      <c r="H79">
        <v>2066</v>
      </c>
      <c r="I79">
        <v>905</v>
      </c>
      <c r="J79">
        <v>691</v>
      </c>
      <c r="K79">
        <v>215</v>
      </c>
      <c r="L79">
        <v>9820</v>
      </c>
    </row>
    <row r="80" spans="1:12" x14ac:dyDescent="0.25">
      <c r="A80" t="s">
        <v>0</v>
      </c>
      <c r="B80" t="s">
        <v>54</v>
      </c>
      <c r="C80">
        <v>2007</v>
      </c>
      <c r="D80">
        <v>0</v>
      </c>
      <c r="E80">
        <v>207</v>
      </c>
      <c r="F80">
        <v>3455</v>
      </c>
      <c r="G80">
        <v>2608</v>
      </c>
      <c r="H80">
        <v>2095</v>
      </c>
      <c r="I80">
        <v>927</v>
      </c>
      <c r="J80">
        <v>741</v>
      </c>
      <c r="K80">
        <v>236</v>
      </c>
      <c r="L80">
        <v>10269</v>
      </c>
    </row>
    <row r="81" spans="1:12" x14ac:dyDescent="0.25">
      <c r="A81" t="s">
        <v>0</v>
      </c>
      <c r="B81" t="s">
        <v>54</v>
      </c>
      <c r="C81">
        <v>2008</v>
      </c>
      <c r="D81">
        <v>0</v>
      </c>
      <c r="E81">
        <v>244</v>
      </c>
      <c r="F81">
        <v>3444</v>
      </c>
      <c r="G81">
        <v>2761</v>
      </c>
      <c r="H81">
        <v>2117</v>
      </c>
      <c r="I81">
        <v>944</v>
      </c>
      <c r="J81">
        <v>756</v>
      </c>
      <c r="K81">
        <v>283</v>
      </c>
      <c r="L81">
        <v>10549</v>
      </c>
    </row>
    <row r="82" spans="1:12" x14ac:dyDescent="0.25">
      <c r="A82" t="s">
        <v>0</v>
      </c>
      <c r="B82" t="s">
        <v>54</v>
      </c>
      <c r="C82">
        <v>2009</v>
      </c>
      <c r="D82">
        <v>0</v>
      </c>
      <c r="E82">
        <v>206</v>
      </c>
      <c r="F82">
        <v>3341</v>
      </c>
      <c r="G82">
        <v>2853</v>
      </c>
      <c r="H82">
        <v>2153</v>
      </c>
      <c r="I82">
        <v>929</v>
      </c>
      <c r="J82">
        <v>778</v>
      </c>
      <c r="K82">
        <v>330</v>
      </c>
      <c r="L82">
        <v>10590</v>
      </c>
    </row>
    <row r="83" spans="1:12" x14ac:dyDescent="0.25">
      <c r="A83" t="s">
        <v>0</v>
      </c>
      <c r="B83" t="s">
        <v>54</v>
      </c>
      <c r="C83">
        <v>2010</v>
      </c>
      <c r="D83">
        <v>0</v>
      </c>
      <c r="E83">
        <v>240</v>
      </c>
      <c r="F83">
        <v>3424</v>
      </c>
      <c r="G83">
        <v>3009</v>
      </c>
      <c r="H83">
        <v>2247</v>
      </c>
      <c r="I83">
        <v>939</v>
      </c>
      <c r="J83">
        <v>779</v>
      </c>
      <c r="K83">
        <v>363</v>
      </c>
      <c r="L83">
        <v>11001</v>
      </c>
    </row>
    <row r="84" spans="1:12" x14ac:dyDescent="0.25">
      <c r="A84" t="s">
        <v>0</v>
      </c>
      <c r="B84" t="s">
        <v>54</v>
      </c>
      <c r="C84">
        <v>2011</v>
      </c>
      <c r="D84">
        <v>0</v>
      </c>
      <c r="E84">
        <v>255</v>
      </c>
      <c r="F84">
        <v>3424</v>
      </c>
      <c r="G84">
        <v>3145</v>
      </c>
      <c r="H84">
        <v>2313</v>
      </c>
      <c r="I84">
        <v>951</v>
      </c>
      <c r="J84">
        <v>798</v>
      </c>
      <c r="K84">
        <v>461</v>
      </c>
      <c r="L84">
        <v>11347</v>
      </c>
    </row>
    <row r="85" spans="1:12" x14ac:dyDescent="0.25">
      <c r="A85" t="s">
        <v>0</v>
      </c>
      <c r="B85" t="s">
        <v>54</v>
      </c>
      <c r="C85">
        <v>2012</v>
      </c>
      <c r="D85">
        <v>0</v>
      </c>
      <c r="E85">
        <v>261</v>
      </c>
      <c r="F85">
        <v>3516</v>
      </c>
      <c r="G85">
        <v>3278</v>
      </c>
      <c r="H85">
        <v>2378</v>
      </c>
      <c r="I85">
        <v>958</v>
      </c>
      <c r="J85">
        <v>820</v>
      </c>
      <c r="K85">
        <v>495</v>
      </c>
      <c r="L85">
        <v>11706</v>
      </c>
    </row>
    <row r="86" spans="1:12" x14ac:dyDescent="0.25">
      <c r="A86" t="s">
        <v>0</v>
      </c>
      <c r="B86" t="s">
        <v>54</v>
      </c>
      <c r="C86">
        <v>2013</v>
      </c>
      <c r="D86">
        <v>0</v>
      </c>
      <c r="E86">
        <v>305</v>
      </c>
      <c r="F86">
        <v>3579</v>
      </c>
      <c r="G86">
        <v>3365</v>
      </c>
      <c r="H86">
        <v>2434</v>
      </c>
      <c r="I86">
        <v>955</v>
      </c>
      <c r="J86">
        <v>834</v>
      </c>
      <c r="K86">
        <v>556</v>
      </c>
      <c r="L86">
        <v>12028</v>
      </c>
    </row>
    <row r="87" spans="1:12" x14ac:dyDescent="0.25">
      <c r="A87" t="s">
        <v>0</v>
      </c>
      <c r="B87" t="s">
        <v>54</v>
      </c>
      <c r="C87">
        <v>2014</v>
      </c>
      <c r="D87">
        <v>0</v>
      </c>
      <c r="E87">
        <v>295</v>
      </c>
      <c r="F87">
        <v>3651</v>
      </c>
      <c r="G87">
        <v>3508</v>
      </c>
      <c r="H87">
        <v>2465</v>
      </c>
      <c r="I87">
        <v>1002</v>
      </c>
      <c r="J87">
        <v>804</v>
      </c>
      <c r="K87">
        <v>617</v>
      </c>
      <c r="L87">
        <v>12342</v>
      </c>
    </row>
    <row r="88" spans="1:12" x14ac:dyDescent="0.25">
      <c r="A88" t="s">
        <v>0</v>
      </c>
      <c r="B88" t="s">
        <v>54</v>
      </c>
      <c r="C88">
        <v>2015</v>
      </c>
      <c r="D88">
        <v>0</v>
      </c>
      <c r="E88">
        <v>289</v>
      </c>
      <c r="F88">
        <v>3643</v>
      </c>
      <c r="G88">
        <v>3657</v>
      </c>
      <c r="H88">
        <v>2540</v>
      </c>
      <c r="I88">
        <v>1011</v>
      </c>
      <c r="J88">
        <v>809</v>
      </c>
      <c r="K88">
        <v>648</v>
      </c>
      <c r="L88">
        <v>12597</v>
      </c>
    </row>
    <row r="89" spans="1:12" x14ac:dyDescent="0.25">
      <c r="A89" t="s">
        <v>0</v>
      </c>
      <c r="B89" t="s">
        <v>54</v>
      </c>
      <c r="C89">
        <v>2016</v>
      </c>
      <c r="D89">
        <v>0</v>
      </c>
      <c r="E89">
        <v>322</v>
      </c>
      <c r="F89">
        <v>3836</v>
      </c>
      <c r="G89">
        <v>3788</v>
      </c>
      <c r="H89">
        <v>2650</v>
      </c>
      <c r="I89">
        <v>1009</v>
      </c>
      <c r="J89">
        <v>833</v>
      </c>
      <c r="K89">
        <v>627</v>
      </c>
      <c r="L89">
        <v>13065</v>
      </c>
    </row>
    <row r="90" spans="1:12" x14ac:dyDescent="0.25">
      <c r="A90" t="s">
        <v>0</v>
      </c>
      <c r="B90" t="s">
        <v>54</v>
      </c>
      <c r="C90">
        <v>2017</v>
      </c>
      <c r="D90">
        <v>0</v>
      </c>
      <c r="E90">
        <v>364</v>
      </c>
      <c r="F90">
        <v>3906</v>
      </c>
      <c r="G90">
        <v>3875</v>
      </c>
      <c r="H90">
        <v>2794</v>
      </c>
      <c r="I90">
        <v>1019</v>
      </c>
      <c r="J90">
        <v>847</v>
      </c>
      <c r="K90">
        <v>662</v>
      </c>
      <c r="L90">
        <v>13467</v>
      </c>
    </row>
    <row r="91" spans="1:12" x14ac:dyDescent="0.25">
      <c r="A91" t="s">
        <v>0</v>
      </c>
      <c r="B91" t="s">
        <v>54</v>
      </c>
      <c r="C91">
        <v>2018</v>
      </c>
      <c r="D91">
        <v>0</v>
      </c>
      <c r="E91">
        <v>378</v>
      </c>
      <c r="F91">
        <v>4010</v>
      </c>
      <c r="G91">
        <v>3940</v>
      </c>
      <c r="H91">
        <v>2900</v>
      </c>
      <c r="I91">
        <v>1060</v>
      </c>
      <c r="J91">
        <v>856</v>
      </c>
      <c r="K91">
        <v>673</v>
      </c>
      <c r="L91">
        <v>13817</v>
      </c>
    </row>
    <row r="92" spans="1:12" x14ac:dyDescent="0.25">
      <c r="A92" t="s">
        <v>0</v>
      </c>
      <c r="B92" t="s">
        <v>54</v>
      </c>
      <c r="C92">
        <v>2019</v>
      </c>
      <c r="D92">
        <v>0</v>
      </c>
      <c r="E92">
        <v>323</v>
      </c>
      <c r="F92">
        <v>4300</v>
      </c>
      <c r="G92">
        <v>3966</v>
      </c>
      <c r="H92">
        <v>3008</v>
      </c>
      <c r="I92">
        <v>1100</v>
      </c>
      <c r="J92">
        <v>884</v>
      </c>
      <c r="K92">
        <v>663</v>
      </c>
      <c r="L92">
        <v>14244</v>
      </c>
    </row>
    <row r="93" spans="1:12" x14ac:dyDescent="0.25">
      <c r="A93" t="s">
        <v>0</v>
      </c>
      <c r="B93" t="s">
        <v>54</v>
      </c>
      <c r="C93">
        <v>2020</v>
      </c>
      <c r="D93">
        <v>0</v>
      </c>
      <c r="E93">
        <v>366</v>
      </c>
      <c r="F93">
        <v>4244</v>
      </c>
      <c r="G93">
        <v>3943</v>
      </c>
      <c r="H93">
        <v>3172</v>
      </c>
      <c r="I93">
        <v>1143</v>
      </c>
      <c r="J93">
        <v>865</v>
      </c>
      <c r="K93">
        <v>635</v>
      </c>
      <c r="L93">
        <v>14368</v>
      </c>
    </row>
    <row r="94" spans="1:12" x14ac:dyDescent="0.25">
      <c r="A94" t="s">
        <v>0</v>
      </c>
      <c r="B94" t="s">
        <v>54</v>
      </c>
      <c r="C94">
        <v>2021</v>
      </c>
      <c r="D94">
        <v>0</v>
      </c>
      <c r="E94">
        <v>375</v>
      </c>
      <c r="F94">
        <v>4220</v>
      </c>
      <c r="G94">
        <v>3960</v>
      </c>
      <c r="H94">
        <v>3312</v>
      </c>
      <c r="I94">
        <v>1196</v>
      </c>
      <c r="J94">
        <v>864</v>
      </c>
      <c r="K94">
        <v>655</v>
      </c>
      <c r="L94">
        <v>14582</v>
      </c>
    </row>
    <row r="95" spans="1:12" x14ac:dyDescent="0.25">
      <c r="A95" t="s">
        <v>0</v>
      </c>
      <c r="B95" t="s">
        <v>54</v>
      </c>
      <c r="C95">
        <v>2022</v>
      </c>
      <c r="D95">
        <v>0</v>
      </c>
      <c r="E95">
        <v>355</v>
      </c>
      <c r="F95">
        <v>4204</v>
      </c>
      <c r="G95">
        <v>3996</v>
      </c>
      <c r="H95">
        <v>3438</v>
      </c>
      <c r="I95">
        <v>1296</v>
      </c>
      <c r="J95">
        <v>919</v>
      </c>
      <c r="K95">
        <v>713</v>
      </c>
      <c r="L95">
        <v>14921</v>
      </c>
    </row>
    <row r="96" spans="1:12" x14ac:dyDescent="0.25">
      <c r="A96" t="s">
        <v>0</v>
      </c>
      <c r="B96" t="s">
        <v>54</v>
      </c>
      <c r="C96">
        <v>2023</v>
      </c>
      <c r="D96">
        <v>0</v>
      </c>
      <c r="E96">
        <v>424</v>
      </c>
      <c r="F96">
        <v>4249</v>
      </c>
      <c r="G96">
        <v>4068</v>
      </c>
      <c r="H96">
        <v>3550</v>
      </c>
      <c r="I96">
        <v>1315</v>
      </c>
      <c r="J96">
        <v>956</v>
      </c>
      <c r="K96">
        <v>745</v>
      </c>
      <c r="L96">
        <v>15307</v>
      </c>
    </row>
    <row r="97" spans="1:12" x14ac:dyDescent="0.25">
      <c r="A97" t="s">
        <v>0</v>
      </c>
      <c r="B97" t="s">
        <v>54</v>
      </c>
      <c r="C97">
        <v>2024</v>
      </c>
      <c r="D97">
        <v>0</v>
      </c>
      <c r="E97">
        <v>471</v>
      </c>
      <c r="F97">
        <v>4144</v>
      </c>
      <c r="G97">
        <v>4144</v>
      </c>
      <c r="H97">
        <v>3614</v>
      </c>
      <c r="I97">
        <v>1306</v>
      </c>
      <c r="J97">
        <v>983</v>
      </c>
      <c r="K97">
        <v>780</v>
      </c>
      <c r="L97">
        <v>15442</v>
      </c>
    </row>
    <row r="98" spans="1:12" x14ac:dyDescent="0.25">
      <c r="A98" t="s">
        <v>0</v>
      </c>
      <c r="B98" t="s">
        <v>55</v>
      </c>
      <c r="C98">
        <v>2001</v>
      </c>
      <c r="D98">
        <v>5</v>
      </c>
      <c r="E98">
        <v>20</v>
      </c>
      <c r="F98">
        <v>46</v>
      </c>
      <c r="G98">
        <v>23</v>
      </c>
      <c r="H98">
        <v>11</v>
      </c>
      <c r="I98">
        <v>7</v>
      </c>
      <c r="J98">
        <v>5</v>
      </c>
      <c r="K98">
        <v>45</v>
      </c>
      <c r="L98">
        <v>162</v>
      </c>
    </row>
    <row r="99" spans="1:12" x14ac:dyDescent="0.25">
      <c r="A99" t="s">
        <v>0</v>
      </c>
      <c r="B99" t="s">
        <v>55</v>
      </c>
      <c r="C99">
        <v>2002</v>
      </c>
      <c r="D99">
        <v>1</v>
      </c>
      <c r="E99">
        <v>11</v>
      </c>
      <c r="F99">
        <v>30</v>
      </c>
      <c r="G99">
        <v>14</v>
      </c>
      <c r="H99">
        <v>9</v>
      </c>
      <c r="I99">
        <v>10</v>
      </c>
      <c r="J99">
        <v>4</v>
      </c>
      <c r="K99">
        <v>43</v>
      </c>
      <c r="L99">
        <v>122</v>
      </c>
    </row>
    <row r="100" spans="1:12" x14ac:dyDescent="0.25">
      <c r="A100" t="s">
        <v>0</v>
      </c>
      <c r="B100" t="s">
        <v>55</v>
      </c>
      <c r="C100">
        <v>2003</v>
      </c>
      <c r="D100">
        <v>5</v>
      </c>
      <c r="E100">
        <v>9</v>
      </c>
      <c r="F100">
        <v>37</v>
      </c>
      <c r="G100">
        <v>16</v>
      </c>
      <c r="H100">
        <v>12</v>
      </c>
      <c r="I100">
        <v>5</v>
      </c>
      <c r="J100">
        <v>3</v>
      </c>
      <c r="K100">
        <v>27</v>
      </c>
      <c r="L100">
        <v>114</v>
      </c>
    </row>
    <row r="101" spans="1:12" x14ac:dyDescent="0.25">
      <c r="A101" t="s">
        <v>0</v>
      </c>
      <c r="B101" t="s">
        <v>55</v>
      </c>
      <c r="C101">
        <v>2004</v>
      </c>
      <c r="D101">
        <v>4</v>
      </c>
      <c r="E101">
        <v>11</v>
      </c>
      <c r="F101">
        <v>35</v>
      </c>
      <c r="G101">
        <v>15</v>
      </c>
      <c r="H101">
        <v>14</v>
      </c>
      <c r="I101">
        <v>4</v>
      </c>
      <c r="J101">
        <v>4</v>
      </c>
      <c r="K101">
        <v>81</v>
      </c>
      <c r="L101">
        <v>168</v>
      </c>
    </row>
    <row r="102" spans="1:12" x14ac:dyDescent="0.25">
      <c r="A102" t="s">
        <v>0</v>
      </c>
      <c r="B102" t="s">
        <v>55</v>
      </c>
      <c r="C102">
        <v>2005</v>
      </c>
      <c r="D102">
        <v>8</v>
      </c>
      <c r="E102">
        <v>13</v>
      </c>
      <c r="F102">
        <v>36</v>
      </c>
      <c r="G102">
        <v>14</v>
      </c>
      <c r="H102">
        <v>12</v>
      </c>
      <c r="I102">
        <v>2</v>
      </c>
      <c r="J102">
        <v>5</v>
      </c>
      <c r="K102">
        <v>65</v>
      </c>
      <c r="L102">
        <v>155</v>
      </c>
    </row>
    <row r="103" spans="1:12" x14ac:dyDescent="0.25">
      <c r="A103" t="s">
        <v>0</v>
      </c>
      <c r="B103" t="s">
        <v>55</v>
      </c>
      <c r="C103">
        <v>2006</v>
      </c>
      <c r="D103">
        <v>7</v>
      </c>
      <c r="E103">
        <v>30</v>
      </c>
      <c r="F103">
        <v>33</v>
      </c>
      <c r="G103">
        <v>12</v>
      </c>
      <c r="H103">
        <v>17</v>
      </c>
      <c r="I103">
        <v>2</v>
      </c>
      <c r="J103">
        <v>3</v>
      </c>
      <c r="K103">
        <v>78</v>
      </c>
      <c r="L103">
        <v>182</v>
      </c>
    </row>
    <row r="104" spans="1:12" x14ac:dyDescent="0.25">
      <c r="A104" t="s">
        <v>0</v>
      </c>
      <c r="B104" t="s">
        <v>55</v>
      </c>
      <c r="C104">
        <v>2007</v>
      </c>
      <c r="D104">
        <v>2</v>
      </c>
      <c r="E104">
        <v>19</v>
      </c>
      <c r="F104">
        <v>39</v>
      </c>
      <c r="G104">
        <v>13</v>
      </c>
      <c r="H104">
        <v>14</v>
      </c>
      <c r="I104">
        <v>2</v>
      </c>
      <c r="J104">
        <v>3</v>
      </c>
      <c r="K104">
        <v>60</v>
      </c>
      <c r="L104">
        <v>152</v>
      </c>
    </row>
    <row r="105" spans="1:12" x14ac:dyDescent="0.25">
      <c r="A105" t="s">
        <v>0</v>
      </c>
      <c r="B105" t="s">
        <v>55</v>
      </c>
      <c r="C105">
        <v>2008</v>
      </c>
      <c r="D105">
        <v>3</v>
      </c>
      <c r="E105">
        <v>19</v>
      </c>
      <c r="F105">
        <v>56</v>
      </c>
      <c r="G105">
        <v>25</v>
      </c>
      <c r="H105">
        <v>13</v>
      </c>
      <c r="I105">
        <v>6</v>
      </c>
      <c r="J105">
        <v>3</v>
      </c>
      <c r="K105">
        <v>1</v>
      </c>
      <c r="L105">
        <v>126</v>
      </c>
    </row>
    <row r="106" spans="1:12" x14ac:dyDescent="0.25">
      <c r="A106" t="s">
        <v>0</v>
      </c>
      <c r="B106" t="s">
        <v>55</v>
      </c>
      <c r="C106">
        <v>2009</v>
      </c>
      <c r="D106">
        <v>3</v>
      </c>
      <c r="E106">
        <v>19</v>
      </c>
      <c r="F106">
        <v>74</v>
      </c>
      <c r="G106">
        <v>30</v>
      </c>
      <c r="H106">
        <v>15</v>
      </c>
      <c r="I106">
        <v>6</v>
      </c>
      <c r="J106">
        <v>2</v>
      </c>
      <c r="K106">
        <v>1</v>
      </c>
      <c r="L106">
        <v>150</v>
      </c>
    </row>
    <row r="107" spans="1:12" x14ac:dyDescent="0.25">
      <c r="A107" t="s">
        <v>0</v>
      </c>
      <c r="B107" t="s">
        <v>55</v>
      </c>
      <c r="C107">
        <v>2010</v>
      </c>
      <c r="D107">
        <v>6</v>
      </c>
      <c r="E107">
        <v>22</v>
      </c>
      <c r="F107">
        <v>74</v>
      </c>
      <c r="G107">
        <v>39</v>
      </c>
      <c r="H107">
        <v>15</v>
      </c>
      <c r="I107">
        <v>6</v>
      </c>
      <c r="J107">
        <v>4</v>
      </c>
      <c r="K107">
        <v>63</v>
      </c>
      <c r="L107">
        <v>229</v>
      </c>
    </row>
    <row r="108" spans="1:12" x14ac:dyDescent="0.25">
      <c r="A108" t="s">
        <v>0</v>
      </c>
      <c r="B108" t="s">
        <v>55</v>
      </c>
      <c r="C108">
        <v>2011</v>
      </c>
      <c r="D108">
        <v>6</v>
      </c>
      <c r="E108">
        <v>21</v>
      </c>
      <c r="F108">
        <v>83</v>
      </c>
      <c r="G108">
        <v>44</v>
      </c>
      <c r="H108">
        <v>14</v>
      </c>
      <c r="I108">
        <v>4</v>
      </c>
      <c r="J108">
        <v>1</v>
      </c>
      <c r="K108">
        <v>1</v>
      </c>
      <c r="L108">
        <v>174</v>
      </c>
    </row>
    <row r="109" spans="1:12" x14ac:dyDescent="0.25">
      <c r="A109" t="s">
        <v>0</v>
      </c>
      <c r="B109" t="s">
        <v>55</v>
      </c>
      <c r="C109">
        <v>2012</v>
      </c>
      <c r="D109">
        <v>7</v>
      </c>
      <c r="E109">
        <v>19</v>
      </c>
      <c r="F109">
        <v>94</v>
      </c>
      <c r="G109">
        <v>49</v>
      </c>
      <c r="H109">
        <v>13</v>
      </c>
      <c r="I109">
        <v>6</v>
      </c>
      <c r="J109">
        <v>1</v>
      </c>
      <c r="K109">
        <v>2</v>
      </c>
      <c r="L109">
        <v>191</v>
      </c>
    </row>
    <row r="110" spans="1:12" x14ac:dyDescent="0.25">
      <c r="A110" t="s">
        <v>0</v>
      </c>
      <c r="B110" t="s">
        <v>55</v>
      </c>
      <c r="C110">
        <v>2013</v>
      </c>
      <c r="D110">
        <v>11</v>
      </c>
      <c r="E110">
        <v>26</v>
      </c>
      <c r="F110">
        <v>113</v>
      </c>
      <c r="G110">
        <v>62</v>
      </c>
      <c r="H110">
        <v>12</v>
      </c>
      <c r="I110">
        <v>7</v>
      </c>
      <c r="J110">
        <v>2</v>
      </c>
      <c r="K110">
        <v>3</v>
      </c>
      <c r="L110">
        <v>236</v>
      </c>
    </row>
    <row r="111" spans="1:12" x14ac:dyDescent="0.25">
      <c r="A111" t="s">
        <v>0</v>
      </c>
      <c r="B111" t="s">
        <v>55</v>
      </c>
      <c r="C111">
        <v>2014</v>
      </c>
      <c r="D111">
        <v>6</v>
      </c>
      <c r="E111">
        <v>31</v>
      </c>
      <c r="F111">
        <v>143</v>
      </c>
      <c r="G111">
        <v>91</v>
      </c>
      <c r="H111">
        <v>20</v>
      </c>
      <c r="I111">
        <v>6</v>
      </c>
      <c r="J111">
        <v>3</v>
      </c>
      <c r="K111">
        <v>3</v>
      </c>
      <c r="L111">
        <v>303</v>
      </c>
    </row>
    <row r="112" spans="1:12" x14ac:dyDescent="0.25">
      <c r="A112" t="s">
        <v>0</v>
      </c>
      <c r="B112" t="s">
        <v>55</v>
      </c>
      <c r="C112">
        <v>2015</v>
      </c>
      <c r="D112">
        <v>4</v>
      </c>
      <c r="E112">
        <v>30</v>
      </c>
      <c r="F112">
        <v>158</v>
      </c>
      <c r="G112">
        <v>105</v>
      </c>
      <c r="H112">
        <v>32</v>
      </c>
      <c r="I112">
        <v>12</v>
      </c>
      <c r="J112">
        <v>4</v>
      </c>
      <c r="K112">
        <v>5</v>
      </c>
      <c r="L112">
        <v>350</v>
      </c>
    </row>
    <row r="113" spans="1:12" x14ac:dyDescent="0.25">
      <c r="A113" t="s">
        <v>0</v>
      </c>
      <c r="B113" t="s">
        <v>55</v>
      </c>
      <c r="C113">
        <v>2016</v>
      </c>
      <c r="D113">
        <v>8</v>
      </c>
      <c r="E113">
        <v>43</v>
      </c>
      <c r="F113">
        <v>189</v>
      </c>
      <c r="G113">
        <v>137</v>
      </c>
      <c r="H113">
        <v>64</v>
      </c>
      <c r="I113">
        <v>13</v>
      </c>
      <c r="J113">
        <v>5</v>
      </c>
      <c r="K113">
        <v>4</v>
      </c>
      <c r="L113">
        <v>463</v>
      </c>
    </row>
    <row r="114" spans="1:12" x14ac:dyDescent="0.25">
      <c r="A114" t="s">
        <v>0</v>
      </c>
      <c r="B114" t="s">
        <v>55</v>
      </c>
      <c r="C114">
        <v>2017</v>
      </c>
      <c r="D114">
        <v>11</v>
      </c>
      <c r="E114">
        <v>67</v>
      </c>
      <c r="F114">
        <v>215</v>
      </c>
      <c r="G114">
        <v>171</v>
      </c>
      <c r="H114">
        <v>69</v>
      </c>
      <c r="I114">
        <v>17</v>
      </c>
      <c r="J114">
        <v>6</v>
      </c>
      <c r="K114">
        <v>1</v>
      </c>
      <c r="L114">
        <v>557</v>
      </c>
    </row>
    <row r="115" spans="1:12" x14ac:dyDescent="0.25">
      <c r="A115" t="s">
        <v>0</v>
      </c>
      <c r="B115" t="s">
        <v>55</v>
      </c>
      <c r="C115">
        <v>2018</v>
      </c>
      <c r="D115">
        <v>20</v>
      </c>
      <c r="E115">
        <v>60</v>
      </c>
      <c r="F115">
        <v>190</v>
      </c>
      <c r="G115">
        <v>149</v>
      </c>
      <c r="H115">
        <v>76</v>
      </c>
      <c r="I115">
        <v>13</v>
      </c>
      <c r="J115">
        <v>10</v>
      </c>
      <c r="K115">
        <v>2</v>
      </c>
      <c r="L115">
        <v>520</v>
      </c>
    </row>
    <row r="116" spans="1:12" x14ac:dyDescent="0.25">
      <c r="A116" t="s">
        <v>0</v>
      </c>
      <c r="B116" t="s">
        <v>55</v>
      </c>
      <c r="C116">
        <v>2019</v>
      </c>
      <c r="D116">
        <v>20</v>
      </c>
      <c r="E116">
        <v>96</v>
      </c>
      <c r="F116">
        <v>226</v>
      </c>
      <c r="G116">
        <v>151</v>
      </c>
      <c r="H116">
        <v>66</v>
      </c>
      <c r="I116">
        <v>8</v>
      </c>
      <c r="J116">
        <v>10</v>
      </c>
      <c r="K116">
        <v>3</v>
      </c>
      <c r="L116">
        <v>580</v>
      </c>
    </row>
    <row r="117" spans="1:12" x14ac:dyDescent="0.25">
      <c r="A117" t="s">
        <v>0</v>
      </c>
      <c r="B117" t="s">
        <v>55</v>
      </c>
      <c r="C117">
        <v>2020</v>
      </c>
      <c r="D117">
        <v>11</v>
      </c>
      <c r="E117">
        <v>83</v>
      </c>
      <c r="F117">
        <v>204</v>
      </c>
      <c r="G117">
        <v>162</v>
      </c>
      <c r="H117">
        <v>53</v>
      </c>
      <c r="I117">
        <v>11</v>
      </c>
      <c r="J117">
        <v>8</v>
      </c>
      <c r="K117">
        <v>5</v>
      </c>
      <c r="L117">
        <v>537</v>
      </c>
    </row>
    <row r="118" spans="1:12" x14ac:dyDescent="0.25">
      <c r="A118" t="s">
        <v>0</v>
      </c>
      <c r="B118" t="s">
        <v>55</v>
      </c>
      <c r="C118">
        <v>2021</v>
      </c>
      <c r="D118">
        <v>12</v>
      </c>
      <c r="E118">
        <v>90</v>
      </c>
      <c r="F118">
        <v>205</v>
      </c>
      <c r="G118">
        <v>169</v>
      </c>
      <c r="H118">
        <v>67</v>
      </c>
      <c r="I118">
        <v>16</v>
      </c>
      <c r="J118">
        <v>12</v>
      </c>
      <c r="K118">
        <v>6</v>
      </c>
      <c r="L118">
        <v>577</v>
      </c>
    </row>
    <row r="119" spans="1:12" x14ac:dyDescent="0.25">
      <c r="A119" t="s">
        <v>0</v>
      </c>
      <c r="B119" t="s">
        <v>55</v>
      </c>
      <c r="C119">
        <v>2022</v>
      </c>
      <c r="D119">
        <v>13</v>
      </c>
      <c r="E119">
        <v>90</v>
      </c>
      <c r="F119">
        <v>233</v>
      </c>
      <c r="G119">
        <v>166</v>
      </c>
      <c r="H119">
        <v>64</v>
      </c>
      <c r="I119">
        <v>12</v>
      </c>
      <c r="J119">
        <v>12</v>
      </c>
      <c r="K119">
        <v>5</v>
      </c>
      <c r="L119">
        <v>595</v>
      </c>
    </row>
    <row r="120" spans="1:12" x14ac:dyDescent="0.25">
      <c r="A120" t="s">
        <v>0</v>
      </c>
      <c r="B120" t="s">
        <v>55</v>
      </c>
      <c r="C120">
        <v>2023</v>
      </c>
      <c r="D120">
        <v>20</v>
      </c>
      <c r="E120">
        <v>98</v>
      </c>
      <c r="F120">
        <v>235</v>
      </c>
      <c r="G120">
        <v>184</v>
      </c>
      <c r="H120">
        <v>75</v>
      </c>
      <c r="I120">
        <v>18</v>
      </c>
      <c r="J120">
        <v>10</v>
      </c>
      <c r="K120">
        <v>9</v>
      </c>
      <c r="L120">
        <v>649</v>
      </c>
    </row>
    <row r="121" spans="1:12" x14ac:dyDescent="0.25">
      <c r="A121" t="s">
        <v>0</v>
      </c>
      <c r="B121" t="s">
        <v>55</v>
      </c>
      <c r="C121">
        <v>2024</v>
      </c>
      <c r="D121">
        <v>18</v>
      </c>
      <c r="E121">
        <v>61</v>
      </c>
      <c r="F121">
        <v>217</v>
      </c>
      <c r="G121">
        <v>169</v>
      </c>
      <c r="H121">
        <v>84</v>
      </c>
      <c r="I121">
        <v>22</v>
      </c>
      <c r="J121">
        <v>10</v>
      </c>
      <c r="K121">
        <v>7</v>
      </c>
      <c r="L121">
        <v>588</v>
      </c>
    </row>
    <row r="122" spans="1:12" x14ac:dyDescent="0.25">
      <c r="A122" t="s">
        <v>0</v>
      </c>
      <c r="B122" t="s">
        <v>2</v>
      </c>
      <c r="C122">
        <v>2001</v>
      </c>
      <c r="D122">
        <v>371</v>
      </c>
      <c r="E122">
        <v>2597</v>
      </c>
      <c r="F122">
        <v>8810</v>
      </c>
      <c r="G122">
        <v>8033</v>
      </c>
      <c r="H122">
        <v>7194</v>
      </c>
      <c r="I122">
        <v>3386</v>
      </c>
      <c r="J122">
        <v>1670</v>
      </c>
      <c r="K122">
        <v>482</v>
      </c>
      <c r="L122">
        <v>32543</v>
      </c>
    </row>
    <row r="123" spans="1:12" x14ac:dyDescent="0.25">
      <c r="A123" t="s">
        <v>0</v>
      </c>
      <c r="B123" t="s">
        <v>2</v>
      </c>
      <c r="C123">
        <v>2002</v>
      </c>
      <c r="D123">
        <v>488</v>
      </c>
      <c r="E123">
        <v>2550</v>
      </c>
      <c r="F123">
        <v>8510</v>
      </c>
      <c r="G123">
        <v>8263</v>
      </c>
      <c r="H123">
        <v>7196</v>
      </c>
      <c r="I123">
        <v>3477</v>
      </c>
      <c r="J123">
        <v>1901</v>
      </c>
      <c r="K123">
        <v>592</v>
      </c>
      <c r="L123">
        <v>32977</v>
      </c>
    </row>
    <row r="124" spans="1:12" x14ac:dyDescent="0.25">
      <c r="A124" t="s">
        <v>0</v>
      </c>
      <c r="B124" t="s">
        <v>2</v>
      </c>
      <c r="C124">
        <v>2003</v>
      </c>
      <c r="D124">
        <v>410</v>
      </c>
      <c r="E124">
        <v>2414</v>
      </c>
      <c r="F124">
        <v>8139</v>
      </c>
      <c r="G124">
        <v>8226</v>
      </c>
      <c r="H124">
        <v>7199</v>
      </c>
      <c r="I124">
        <v>3450</v>
      </c>
      <c r="J124">
        <v>2058</v>
      </c>
      <c r="K124">
        <v>451</v>
      </c>
      <c r="L124">
        <v>32347</v>
      </c>
    </row>
    <row r="125" spans="1:12" x14ac:dyDescent="0.25">
      <c r="A125" t="s">
        <v>0</v>
      </c>
      <c r="B125" t="s">
        <v>2</v>
      </c>
      <c r="C125">
        <v>2004</v>
      </c>
      <c r="D125">
        <v>413</v>
      </c>
      <c r="E125">
        <v>2518</v>
      </c>
      <c r="F125">
        <v>8068</v>
      </c>
      <c r="G125">
        <v>8250</v>
      </c>
      <c r="H125">
        <v>7126</v>
      </c>
      <c r="I125">
        <v>3495</v>
      </c>
      <c r="J125">
        <v>2296</v>
      </c>
      <c r="K125">
        <v>696</v>
      </c>
      <c r="L125">
        <v>32862</v>
      </c>
    </row>
    <row r="126" spans="1:12" x14ac:dyDescent="0.25">
      <c r="A126" t="s">
        <v>0</v>
      </c>
      <c r="B126" t="s">
        <v>2</v>
      </c>
      <c r="C126">
        <v>2005</v>
      </c>
      <c r="D126">
        <v>444</v>
      </c>
      <c r="E126">
        <v>2427</v>
      </c>
      <c r="F126">
        <v>7983</v>
      </c>
      <c r="G126">
        <v>8244</v>
      </c>
      <c r="H126">
        <v>7111</v>
      </c>
      <c r="I126">
        <v>3403</v>
      </c>
      <c r="J126">
        <v>2499</v>
      </c>
      <c r="K126">
        <v>667</v>
      </c>
      <c r="L126">
        <v>32778</v>
      </c>
    </row>
    <row r="127" spans="1:12" x14ac:dyDescent="0.25">
      <c r="A127" t="s">
        <v>0</v>
      </c>
      <c r="B127" t="s">
        <v>2</v>
      </c>
      <c r="C127">
        <v>2006</v>
      </c>
      <c r="D127">
        <v>475</v>
      </c>
      <c r="E127">
        <v>2689</v>
      </c>
      <c r="F127">
        <v>8046</v>
      </c>
      <c r="G127">
        <v>8403</v>
      </c>
      <c r="H127">
        <v>7217</v>
      </c>
      <c r="I127">
        <v>3331</v>
      </c>
      <c r="J127">
        <v>2692</v>
      </c>
      <c r="K127">
        <v>729</v>
      </c>
      <c r="L127">
        <v>33582</v>
      </c>
    </row>
    <row r="128" spans="1:12" x14ac:dyDescent="0.25">
      <c r="A128" t="s">
        <v>0</v>
      </c>
      <c r="B128" t="s">
        <v>2</v>
      </c>
      <c r="C128">
        <v>2007</v>
      </c>
      <c r="D128">
        <v>488</v>
      </c>
      <c r="E128">
        <v>2963</v>
      </c>
      <c r="F128">
        <v>8259</v>
      </c>
      <c r="G128">
        <v>8635</v>
      </c>
      <c r="H128">
        <v>7271</v>
      </c>
      <c r="I128">
        <v>3372</v>
      </c>
      <c r="J128">
        <v>2870</v>
      </c>
      <c r="K128">
        <v>881</v>
      </c>
      <c r="L128">
        <v>34739</v>
      </c>
    </row>
    <row r="129" spans="1:12" x14ac:dyDescent="0.25">
      <c r="A129" t="s">
        <v>0</v>
      </c>
      <c r="B129" t="s">
        <v>2</v>
      </c>
      <c r="C129">
        <v>2008</v>
      </c>
      <c r="D129">
        <v>507</v>
      </c>
      <c r="E129">
        <v>3088</v>
      </c>
      <c r="F129">
        <v>8163</v>
      </c>
      <c r="G129">
        <v>8753</v>
      </c>
      <c r="H129">
        <v>7430</v>
      </c>
      <c r="I129">
        <v>3303</v>
      </c>
      <c r="J129">
        <v>2879</v>
      </c>
      <c r="K129">
        <v>969</v>
      </c>
      <c r="L129">
        <v>35092</v>
      </c>
    </row>
    <row r="130" spans="1:12" x14ac:dyDescent="0.25">
      <c r="A130" t="s">
        <v>0</v>
      </c>
      <c r="B130" t="s">
        <v>2</v>
      </c>
      <c r="C130">
        <v>2009</v>
      </c>
      <c r="D130">
        <v>417</v>
      </c>
      <c r="E130">
        <v>2652</v>
      </c>
      <c r="F130">
        <v>7804</v>
      </c>
      <c r="G130">
        <v>8583</v>
      </c>
      <c r="H130">
        <v>7494</v>
      </c>
      <c r="I130">
        <v>3208</v>
      </c>
      <c r="J130">
        <v>2846</v>
      </c>
      <c r="K130">
        <v>1123</v>
      </c>
      <c r="L130">
        <v>34127</v>
      </c>
    </row>
    <row r="131" spans="1:12" x14ac:dyDescent="0.25">
      <c r="A131" t="s">
        <v>0</v>
      </c>
      <c r="B131" t="s">
        <v>2</v>
      </c>
      <c r="C131">
        <v>2010</v>
      </c>
      <c r="D131">
        <v>523</v>
      </c>
      <c r="E131">
        <v>2915</v>
      </c>
      <c r="F131">
        <v>8043</v>
      </c>
      <c r="G131">
        <v>8575</v>
      </c>
      <c r="H131">
        <v>7729</v>
      </c>
      <c r="I131">
        <v>3248</v>
      </c>
      <c r="J131">
        <v>2853</v>
      </c>
      <c r="K131">
        <v>1136</v>
      </c>
      <c r="L131">
        <v>35022</v>
      </c>
    </row>
    <row r="132" spans="1:12" x14ac:dyDescent="0.25">
      <c r="A132" t="s">
        <v>0</v>
      </c>
      <c r="B132" t="s">
        <v>2</v>
      </c>
      <c r="C132">
        <v>2011</v>
      </c>
      <c r="D132">
        <v>540</v>
      </c>
      <c r="E132">
        <v>3203</v>
      </c>
      <c r="F132">
        <v>8200</v>
      </c>
      <c r="G132">
        <v>8682</v>
      </c>
      <c r="H132">
        <v>7864</v>
      </c>
      <c r="I132">
        <v>3321</v>
      </c>
      <c r="J132">
        <v>2770</v>
      </c>
      <c r="K132">
        <v>1469</v>
      </c>
      <c r="L132">
        <v>36049</v>
      </c>
    </row>
    <row r="133" spans="1:12" x14ac:dyDescent="0.25">
      <c r="A133" t="s">
        <v>0</v>
      </c>
      <c r="B133" t="s">
        <v>2</v>
      </c>
      <c r="C133">
        <v>2012</v>
      </c>
      <c r="D133">
        <v>529</v>
      </c>
      <c r="E133">
        <v>3197</v>
      </c>
      <c r="F133">
        <v>8365</v>
      </c>
      <c r="G133">
        <v>8617</v>
      </c>
      <c r="H133">
        <v>8063</v>
      </c>
      <c r="I133">
        <v>3322</v>
      </c>
      <c r="J133">
        <v>2806</v>
      </c>
      <c r="K133">
        <v>1576</v>
      </c>
      <c r="L133">
        <v>36475</v>
      </c>
    </row>
    <row r="134" spans="1:12" x14ac:dyDescent="0.25">
      <c r="A134" t="s">
        <v>0</v>
      </c>
      <c r="B134" t="s">
        <v>2</v>
      </c>
      <c r="C134">
        <v>2013</v>
      </c>
      <c r="D134">
        <v>509</v>
      </c>
      <c r="E134">
        <v>3283</v>
      </c>
      <c r="F134">
        <v>8637</v>
      </c>
      <c r="G134">
        <v>8612</v>
      </c>
      <c r="H134">
        <v>8185</v>
      </c>
      <c r="I134">
        <v>3361</v>
      </c>
      <c r="J134">
        <v>2789</v>
      </c>
      <c r="K134">
        <v>1680</v>
      </c>
      <c r="L134">
        <v>37056</v>
      </c>
    </row>
    <row r="135" spans="1:12" x14ac:dyDescent="0.25">
      <c r="A135" t="s">
        <v>0</v>
      </c>
      <c r="B135" t="s">
        <v>2</v>
      </c>
      <c r="C135">
        <v>2014</v>
      </c>
      <c r="D135">
        <v>489</v>
      </c>
      <c r="E135">
        <v>3407</v>
      </c>
      <c r="F135">
        <v>8847</v>
      </c>
      <c r="G135">
        <v>8665</v>
      </c>
      <c r="H135">
        <v>8329</v>
      </c>
      <c r="I135">
        <v>3455</v>
      </c>
      <c r="J135">
        <v>2746</v>
      </c>
      <c r="K135">
        <v>1734</v>
      </c>
      <c r="L135">
        <v>37672</v>
      </c>
    </row>
    <row r="136" spans="1:12" x14ac:dyDescent="0.25">
      <c r="A136" t="s">
        <v>0</v>
      </c>
      <c r="B136" t="s">
        <v>2</v>
      </c>
      <c r="C136">
        <v>2015</v>
      </c>
      <c r="D136">
        <v>498</v>
      </c>
      <c r="E136">
        <v>3375</v>
      </c>
      <c r="F136">
        <v>9041</v>
      </c>
      <c r="G136">
        <v>8780</v>
      </c>
      <c r="H136">
        <v>8477</v>
      </c>
      <c r="I136">
        <v>3509</v>
      </c>
      <c r="J136">
        <v>2794</v>
      </c>
      <c r="K136">
        <v>1765</v>
      </c>
      <c r="L136">
        <v>38239</v>
      </c>
    </row>
    <row r="137" spans="1:12" x14ac:dyDescent="0.25">
      <c r="A137" t="s">
        <v>0</v>
      </c>
      <c r="B137" t="s">
        <v>2</v>
      </c>
      <c r="C137">
        <v>2016</v>
      </c>
      <c r="D137">
        <v>606</v>
      </c>
      <c r="E137">
        <v>3638</v>
      </c>
      <c r="F137">
        <v>9574</v>
      </c>
      <c r="G137">
        <v>8828</v>
      </c>
      <c r="H137">
        <v>8709</v>
      </c>
      <c r="I137">
        <v>3527</v>
      </c>
      <c r="J137">
        <v>2920</v>
      </c>
      <c r="K137">
        <v>1755</v>
      </c>
      <c r="L137">
        <v>39557</v>
      </c>
    </row>
    <row r="138" spans="1:12" x14ac:dyDescent="0.25">
      <c r="A138" t="s">
        <v>0</v>
      </c>
      <c r="B138" t="s">
        <v>2</v>
      </c>
      <c r="C138">
        <v>2017</v>
      </c>
      <c r="D138">
        <v>664</v>
      </c>
      <c r="E138">
        <v>3821</v>
      </c>
      <c r="F138">
        <v>9974</v>
      </c>
      <c r="G138">
        <v>8873</v>
      </c>
      <c r="H138">
        <v>8947</v>
      </c>
      <c r="I138">
        <v>3551</v>
      </c>
      <c r="J138">
        <v>2915</v>
      </c>
      <c r="K138">
        <v>1864</v>
      </c>
      <c r="L138">
        <v>40609</v>
      </c>
    </row>
    <row r="139" spans="1:12" x14ac:dyDescent="0.25">
      <c r="A139" t="s">
        <v>0</v>
      </c>
      <c r="B139" t="s">
        <v>2</v>
      </c>
      <c r="C139">
        <v>2018</v>
      </c>
      <c r="D139">
        <v>699</v>
      </c>
      <c r="E139">
        <v>3727</v>
      </c>
      <c r="F139">
        <v>10317</v>
      </c>
      <c r="G139">
        <v>8948</v>
      </c>
      <c r="H139">
        <v>9024</v>
      </c>
      <c r="I139">
        <v>3682</v>
      </c>
      <c r="J139">
        <v>2942</v>
      </c>
      <c r="K139">
        <v>1918</v>
      </c>
      <c r="L139">
        <v>41257</v>
      </c>
    </row>
    <row r="140" spans="1:12" x14ac:dyDescent="0.25">
      <c r="A140" t="s">
        <v>0</v>
      </c>
      <c r="B140" t="s">
        <v>2</v>
      </c>
      <c r="C140">
        <v>2019</v>
      </c>
      <c r="D140">
        <v>811</v>
      </c>
      <c r="E140">
        <v>3551</v>
      </c>
      <c r="F140">
        <v>10931</v>
      </c>
      <c r="G140">
        <v>8877</v>
      </c>
      <c r="H140">
        <v>9008</v>
      </c>
      <c r="I140">
        <v>3832</v>
      </c>
      <c r="J140">
        <v>3009</v>
      </c>
      <c r="K140">
        <v>1973</v>
      </c>
      <c r="L140">
        <v>41992</v>
      </c>
    </row>
    <row r="141" spans="1:12" x14ac:dyDescent="0.25">
      <c r="A141" t="s">
        <v>0</v>
      </c>
      <c r="B141" t="s">
        <v>2</v>
      </c>
      <c r="C141">
        <v>2020</v>
      </c>
      <c r="D141">
        <v>743</v>
      </c>
      <c r="E141">
        <v>3406</v>
      </c>
      <c r="F141">
        <v>10758</v>
      </c>
      <c r="G141">
        <v>8918</v>
      </c>
      <c r="H141">
        <v>8922</v>
      </c>
      <c r="I141">
        <v>3957</v>
      </c>
      <c r="J141">
        <v>2994</v>
      </c>
      <c r="K141">
        <v>1910</v>
      </c>
      <c r="L141">
        <v>41608</v>
      </c>
    </row>
    <row r="142" spans="1:12" x14ac:dyDescent="0.25">
      <c r="A142" t="s">
        <v>0</v>
      </c>
      <c r="B142" t="s">
        <v>2</v>
      </c>
      <c r="C142">
        <v>2021</v>
      </c>
      <c r="D142">
        <v>893</v>
      </c>
      <c r="E142">
        <v>3635</v>
      </c>
      <c r="F142">
        <v>10825</v>
      </c>
      <c r="G142">
        <v>9055</v>
      </c>
      <c r="H142">
        <v>9020</v>
      </c>
      <c r="I142">
        <v>4068</v>
      </c>
      <c r="J142">
        <v>3046</v>
      </c>
      <c r="K142">
        <v>1971</v>
      </c>
      <c r="L142">
        <v>42513</v>
      </c>
    </row>
    <row r="143" spans="1:12" x14ac:dyDescent="0.25">
      <c r="A143" t="s">
        <v>0</v>
      </c>
      <c r="B143" t="s">
        <v>2</v>
      </c>
      <c r="C143">
        <v>2022</v>
      </c>
      <c r="D143">
        <v>1031</v>
      </c>
      <c r="E143">
        <v>3867</v>
      </c>
      <c r="F143">
        <v>10862</v>
      </c>
      <c r="G143">
        <v>9199</v>
      </c>
      <c r="H143">
        <v>9080</v>
      </c>
      <c r="I143">
        <v>4396</v>
      </c>
      <c r="J143">
        <v>3137</v>
      </c>
      <c r="K143">
        <v>2069</v>
      </c>
      <c r="L143">
        <v>43641</v>
      </c>
    </row>
    <row r="144" spans="1:12" x14ac:dyDescent="0.25">
      <c r="A144" t="s">
        <v>0</v>
      </c>
      <c r="B144" t="s">
        <v>2</v>
      </c>
      <c r="C144">
        <v>2023</v>
      </c>
      <c r="D144">
        <v>1008</v>
      </c>
      <c r="E144">
        <v>3929</v>
      </c>
      <c r="F144">
        <v>10957</v>
      </c>
      <c r="G144">
        <v>9402</v>
      </c>
      <c r="H144">
        <v>9019</v>
      </c>
      <c r="I144">
        <v>4388</v>
      </c>
      <c r="J144">
        <v>3309</v>
      </c>
      <c r="K144">
        <v>2171</v>
      </c>
      <c r="L144">
        <v>44183</v>
      </c>
    </row>
    <row r="145" spans="1:12" x14ac:dyDescent="0.25">
      <c r="A145" t="s">
        <v>0</v>
      </c>
      <c r="B145" t="s">
        <v>2</v>
      </c>
      <c r="C145">
        <v>2024</v>
      </c>
      <c r="D145">
        <v>972</v>
      </c>
      <c r="E145">
        <v>3856</v>
      </c>
      <c r="F145">
        <v>10834</v>
      </c>
      <c r="G145">
        <v>9489</v>
      </c>
      <c r="H145">
        <v>8918</v>
      </c>
      <c r="I145">
        <v>4351</v>
      </c>
      <c r="J145">
        <v>3474</v>
      </c>
      <c r="K145">
        <v>2317</v>
      </c>
      <c r="L145">
        <v>44211</v>
      </c>
    </row>
    <row r="146" spans="1:12" x14ac:dyDescent="0.25">
      <c r="A146" t="s">
        <v>1</v>
      </c>
      <c r="B146" t="s">
        <v>51</v>
      </c>
      <c r="C146">
        <v>2001</v>
      </c>
      <c r="D146">
        <v>239</v>
      </c>
      <c r="E146">
        <v>170</v>
      </c>
      <c r="F146">
        <v>282</v>
      </c>
      <c r="G146">
        <v>603</v>
      </c>
      <c r="H146">
        <v>930</v>
      </c>
      <c r="I146">
        <v>727</v>
      </c>
      <c r="J146">
        <v>419</v>
      </c>
      <c r="K146">
        <v>61</v>
      </c>
      <c r="L146">
        <v>3431</v>
      </c>
    </row>
    <row r="147" spans="1:12" x14ac:dyDescent="0.25">
      <c r="A147" t="s">
        <v>1</v>
      </c>
      <c r="B147" t="s">
        <v>51</v>
      </c>
      <c r="C147">
        <v>2002</v>
      </c>
      <c r="D147">
        <v>283</v>
      </c>
      <c r="E147">
        <v>158</v>
      </c>
      <c r="F147">
        <v>281</v>
      </c>
      <c r="G147">
        <v>538</v>
      </c>
      <c r="H147">
        <v>845</v>
      </c>
      <c r="I147">
        <v>688</v>
      </c>
      <c r="J147">
        <v>454</v>
      </c>
      <c r="K147">
        <v>79</v>
      </c>
      <c r="L147">
        <v>3326</v>
      </c>
    </row>
    <row r="148" spans="1:12" x14ac:dyDescent="0.25">
      <c r="A148" t="s">
        <v>1</v>
      </c>
      <c r="B148" t="s">
        <v>51</v>
      </c>
      <c r="C148">
        <v>2003</v>
      </c>
      <c r="D148">
        <v>232</v>
      </c>
      <c r="E148">
        <v>132</v>
      </c>
      <c r="F148">
        <v>270</v>
      </c>
      <c r="G148">
        <v>494</v>
      </c>
      <c r="H148">
        <v>777</v>
      </c>
      <c r="I148">
        <v>625</v>
      </c>
      <c r="J148">
        <v>490</v>
      </c>
      <c r="K148">
        <v>52</v>
      </c>
      <c r="L148">
        <v>3072</v>
      </c>
    </row>
    <row r="149" spans="1:12" x14ac:dyDescent="0.25">
      <c r="A149" t="s">
        <v>1</v>
      </c>
      <c r="B149" t="s">
        <v>51</v>
      </c>
      <c r="C149">
        <v>2004</v>
      </c>
      <c r="D149">
        <v>182</v>
      </c>
      <c r="E149">
        <v>119</v>
      </c>
      <c r="F149">
        <v>253</v>
      </c>
      <c r="G149">
        <v>432</v>
      </c>
      <c r="H149">
        <v>712</v>
      </c>
      <c r="I149">
        <v>575</v>
      </c>
      <c r="J149">
        <v>523</v>
      </c>
      <c r="K149">
        <v>77</v>
      </c>
      <c r="L149">
        <v>2873</v>
      </c>
    </row>
    <row r="150" spans="1:12" x14ac:dyDescent="0.25">
      <c r="A150" t="s">
        <v>1</v>
      </c>
      <c r="B150" t="s">
        <v>51</v>
      </c>
      <c r="C150">
        <v>2005</v>
      </c>
      <c r="D150">
        <v>187</v>
      </c>
      <c r="E150">
        <v>114</v>
      </c>
      <c r="F150">
        <v>223</v>
      </c>
      <c r="G150">
        <v>397</v>
      </c>
      <c r="H150">
        <v>664</v>
      </c>
      <c r="I150">
        <v>524</v>
      </c>
      <c r="J150">
        <v>504</v>
      </c>
      <c r="K150">
        <v>62</v>
      </c>
      <c r="L150">
        <v>2675</v>
      </c>
    </row>
    <row r="151" spans="1:12" x14ac:dyDescent="0.25">
      <c r="A151" t="s">
        <v>1</v>
      </c>
      <c r="B151" t="s">
        <v>51</v>
      </c>
      <c r="C151">
        <v>2006</v>
      </c>
      <c r="D151">
        <v>162</v>
      </c>
      <c r="E151">
        <v>124</v>
      </c>
      <c r="F151">
        <v>231</v>
      </c>
      <c r="G151">
        <v>382</v>
      </c>
      <c r="H151">
        <v>631</v>
      </c>
      <c r="I151">
        <v>452</v>
      </c>
      <c r="J151">
        <v>511</v>
      </c>
      <c r="K151">
        <v>74</v>
      </c>
      <c r="L151">
        <v>2567</v>
      </c>
    </row>
    <row r="152" spans="1:12" x14ac:dyDescent="0.25">
      <c r="A152" t="s">
        <v>1</v>
      </c>
      <c r="B152" t="s">
        <v>51</v>
      </c>
      <c r="C152">
        <v>2007</v>
      </c>
      <c r="D152">
        <v>154</v>
      </c>
      <c r="E152">
        <v>127</v>
      </c>
      <c r="F152">
        <v>223</v>
      </c>
      <c r="G152">
        <v>358</v>
      </c>
      <c r="H152">
        <v>626</v>
      </c>
      <c r="I152">
        <v>403</v>
      </c>
      <c r="J152">
        <v>506</v>
      </c>
      <c r="K152">
        <v>85</v>
      </c>
      <c r="L152">
        <v>2482</v>
      </c>
    </row>
    <row r="153" spans="1:12" x14ac:dyDescent="0.25">
      <c r="A153" t="s">
        <v>1</v>
      </c>
      <c r="B153" t="s">
        <v>51</v>
      </c>
      <c r="C153">
        <v>2008</v>
      </c>
      <c r="D153">
        <v>170</v>
      </c>
      <c r="E153">
        <v>124</v>
      </c>
      <c r="F153">
        <v>226</v>
      </c>
      <c r="G153">
        <v>335</v>
      </c>
      <c r="H153">
        <v>598</v>
      </c>
      <c r="I153">
        <v>378</v>
      </c>
      <c r="J153">
        <v>438</v>
      </c>
      <c r="K153">
        <v>101</v>
      </c>
      <c r="L153">
        <v>2370</v>
      </c>
    </row>
    <row r="154" spans="1:12" x14ac:dyDescent="0.25">
      <c r="A154" t="s">
        <v>1</v>
      </c>
      <c r="B154" t="s">
        <v>51</v>
      </c>
      <c r="C154">
        <v>2009</v>
      </c>
      <c r="D154">
        <v>171</v>
      </c>
      <c r="E154">
        <v>119</v>
      </c>
      <c r="F154">
        <v>220</v>
      </c>
      <c r="G154">
        <v>305</v>
      </c>
      <c r="H154">
        <v>552</v>
      </c>
      <c r="I154">
        <v>334</v>
      </c>
      <c r="J154">
        <v>404</v>
      </c>
      <c r="K154">
        <v>112</v>
      </c>
      <c r="L154">
        <v>2217</v>
      </c>
    </row>
    <row r="155" spans="1:12" x14ac:dyDescent="0.25">
      <c r="A155" t="s">
        <v>1</v>
      </c>
      <c r="B155" t="s">
        <v>51</v>
      </c>
      <c r="C155">
        <v>2010</v>
      </c>
      <c r="D155">
        <v>182</v>
      </c>
      <c r="E155">
        <v>125</v>
      </c>
      <c r="F155">
        <v>237</v>
      </c>
      <c r="G155">
        <v>281</v>
      </c>
      <c r="H155">
        <v>552</v>
      </c>
      <c r="I155">
        <v>318</v>
      </c>
      <c r="J155">
        <v>391</v>
      </c>
      <c r="K155">
        <v>97</v>
      </c>
      <c r="L155">
        <v>2183</v>
      </c>
    </row>
    <row r="156" spans="1:12" x14ac:dyDescent="0.25">
      <c r="A156" t="s">
        <v>1</v>
      </c>
      <c r="B156" t="s">
        <v>51</v>
      </c>
      <c r="C156">
        <v>2011</v>
      </c>
      <c r="D156">
        <v>171</v>
      </c>
      <c r="E156">
        <v>123</v>
      </c>
      <c r="F156">
        <v>253</v>
      </c>
      <c r="G156">
        <v>264</v>
      </c>
      <c r="H156">
        <v>518</v>
      </c>
      <c r="I156">
        <v>327</v>
      </c>
      <c r="J156">
        <v>348</v>
      </c>
      <c r="K156">
        <v>141</v>
      </c>
      <c r="L156">
        <v>2145</v>
      </c>
    </row>
    <row r="157" spans="1:12" x14ac:dyDescent="0.25">
      <c r="A157" t="s">
        <v>1</v>
      </c>
      <c r="B157" t="s">
        <v>51</v>
      </c>
      <c r="C157">
        <v>2012</v>
      </c>
      <c r="D157">
        <v>202</v>
      </c>
      <c r="E157">
        <v>132</v>
      </c>
      <c r="F157">
        <v>243</v>
      </c>
      <c r="G157">
        <v>274</v>
      </c>
      <c r="H157">
        <v>486</v>
      </c>
      <c r="I157">
        <v>321</v>
      </c>
      <c r="J157">
        <v>314</v>
      </c>
      <c r="K157">
        <v>141</v>
      </c>
      <c r="L157">
        <v>2113</v>
      </c>
    </row>
    <row r="158" spans="1:12" x14ac:dyDescent="0.25">
      <c r="A158" t="s">
        <v>1</v>
      </c>
      <c r="B158" t="s">
        <v>51</v>
      </c>
      <c r="C158">
        <v>2013</v>
      </c>
      <c r="D158">
        <v>192</v>
      </c>
      <c r="E158">
        <v>145</v>
      </c>
      <c r="F158">
        <v>237</v>
      </c>
      <c r="G158">
        <v>287</v>
      </c>
      <c r="H158">
        <v>465</v>
      </c>
      <c r="I158">
        <v>309</v>
      </c>
      <c r="J158">
        <v>297</v>
      </c>
      <c r="K158">
        <v>143</v>
      </c>
      <c r="L158">
        <v>2075</v>
      </c>
    </row>
    <row r="159" spans="1:12" x14ac:dyDescent="0.25">
      <c r="A159" t="s">
        <v>1</v>
      </c>
      <c r="B159" t="s">
        <v>51</v>
      </c>
      <c r="C159">
        <v>2014</v>
      </c>
      <c r="D159">
        <v>171</v>
      </c>
      <c r="E159">
        <v>140</v>
      </c>
      <c r="F159">
        <v>224</v>
      </c>
      <c r="G159">
        <v>279</v>
      </c>
      <c r="H159">
        <v>461</v>
      </c>
      <c r="I159">
        <v>299</v>
      </c>
      <c r="J159">
        <v>276</v>
      </c>
      <c r="K159">
        <v>135</v>
      </c>
      <c r="L159">
        <v>1985</v>
      </c>
    </row>
    <row r="160" spans="1:12" x14ac:dyDescent="0.25">
      <c r="A160" t="s">
        <v>1</v>
      </c>
      <c r="B160" t="s">
        <v>51</v>
      </c>
      <c r="C160">
        <v>2015</v>
      </c>
      <c r="D160">
        <v>186</v>
      </c>
      <c r="E160">
        <v>150</v>
      </c>
      <c r="F160">
        <v>262</v>
      </c>
      <c r="G160">
        <v>289</v>
      </c>
      <c r="H160">
        <v>433</v>
      </c>
      <c r="I160">
        <v>303</v>
      </c>
      <c r="J160">
        <v>258</v>
      </c>
      <c r="K160">
        <v>124</v>
      </c>
      <c r="L160">
        <v>2005</v>
      </c>
    </row>
    <row r="161" spans="1:12" x14ac:dyDescent="0.25">
      <c r="A161" t="s">
        <v>1</v>
      </c>
      <c r="B161" t="s">
        <v>51</v>
      </c>
      <c r="C161">
        <v>2016</v>
      </c>
      <c r="D161">
        <v>293</v>
      </c>
      <c r="E161">
        <v>149</v>
      </c>
      <c r="F161">
        <v>294</v>
      </c>
      <c r="G161">
        <v>312</v>
      </c>
      <c r="H161">
        <v>434</v>
      </c>
      <c r="I161">
        <v>266</v>
      </c>
      <c r="J161">
        <v>267</v>
      </c>
      <c r="K161">
        <v>107</v>
      </c>
      <c r="L161">
        <v>2122</v>
      </c>
    </row>
    <row r="162" spans="1:12" x14ac:dyDescent="0.25">
      <c r="A162" t="s">
        <v>1</v>
      </c>
      <c r="B162" t="s">
        <v>51</v>
      </c>
      <c r="C162">
        <v>2017</v>
      </c>
      <c r="D162">
        <v>316</v>
      </c>
      <c r="E162">
        <v>150</v>
      </c>
      <c r="F162">
        <v>290</v>
      </c>
      <c r="G162">
        <v>313</v>
      </c>
      <c r="H162">
        <v>406</v>
      </c>
      <c r="I162">
        <v>261</v>
      </c>
      <c r="J162">
        <v>270</v>
      </c>
      <c r="K162">
        <v>105</v>
      </c>
      <c r="L162">
        <v>2111</v>
      </c>
    </row>
    <row r="163" spans="1:12" x14ac:dyDescent="0.25">
      <c r="A163" t="s">
        <v>1</v>
      </c>
      <c r="B163" t="s">
        <v>51</v>
      </c>
      <c r="C163">
        <v>2018</v>
      </c>
      <c r="D163">
        <v>344</v>
      </c>
      <c r="E163">
        <v>140</v>
      </c>
      <c r="F163">
        <v>317</v>
      </c>
      <c r="G163">
        <v>313</v>
      </c>
      <c r="H163">
        <v>392</v>
      </c>
      <c r="I163">
        <v>246</v>
      </c>
      <c r="J163">
        <v>262</v>
      </c>
      <c r="K163">
        <v>110</v>
      </c>
      <c r="L163">
        <v>2124</v>
      </c>
    </row>
    <row r="164" spans="1:12" x14ac:dyDescent="0.25">
      <c r="A164" t="s">
        <v>1</v>
      </c>
      <c r="B164" t="s">
        <v>51</v>
      </c>
      <c r="C164">
        <v>2019</v>
      </c>
      <c r="D164">
        <v>647</v>
      </c>
      <c r="E164">
        <v>159</v>
      </c>
      <c r="F164">
        <v>321</v>
      </c>
      <c r="G164">
        <v>345</v>
      </c>
      <c r="H164">
        <v>384</v>
      </c>
      <c r="I164">
        <v>251</v>
      </c>
      <c r="J164">
        <v>251</v>
      </c>
      <c r="K164">
        <v>128</v>
      </c>
      <c r="L164">
        <v>2486</v>
      </c>
    </row>
    <row r="165" spans="1:12" x14ac:dyDescent="0.25">
      <c r="A165" t="s">
        <v>1</v>
      </c>
      <c r="B165" t="s">
        <v>51</v>
      </c>
      <c r="C165">
        <v>2020</v>
      </c>
      <c r="D165">
        <v>533</v>
      </c>
      <c r="E165">
        <v>141</v>
      </c>
      <c r="F165">
        <v>285</v>
      </c>
      <c r="G165">
        <v>331</v>
      </c>
      <c r="H165">
        <v>331</v>
      </c>
      <c r="I165">
        <v>235</v>
      </c>
      <c r="J165">
        <v>248</v>
      </c>
      <c r="K165">
        <v>105</v>
      </c>
      <c r="L165">
        <v>2209</v>
      </c>
    </row>
    <row r="166" spans="1:12" x14ac:dyDescent="0.25">
      <c r="A166" t="s">
        <v>1</v>
      </c>
      <c r="B166" t="s">
        <v>51</v>
      </c>
      <c r="C166">
        <v>2021</v>
      </c>
      <c r="D166">
        <v>656</v>
      </c>
      <c r="E166">
        <v>154</v>
      </c>
      <c r="F166">
        <v>289</v>
      </c>
      <c r="G166">
        <v>326</v>
      </c>
      <c r="H166">
        <v>334</v>
      </c>
      <c r="I166">
        <v>241</v>
      </c>
      <c r="J166">
        <v>212</v>
      </c>
      <c r="K166">
        <v>120</v>
      </c>
      <c r="L166">
        <v>2332</v>
      </c>
    </row>
    <row r="167" spans="1:12" x14ac:dyDescent="0.25">
      <c r="A167" t="s">
        <v>1</v>
      </c>
      <c r="B167" t="s">
        <v>51</v>
      </c>
      <c r="C167">
        <v>2022</v>
      </c>
      <c r="D167">
        <v>773</v>
      </c>
      <c r="E167">
        <v>166</v>
      </c>
      <c r="F167">
        <v>328</v>
      </c>
      <c r="G167">
        <v>353</v>
      </c>
      <c r="H167">
        <v>346</v>
      </c>
      <c r="I167">
        <v>212</v>
      </c>
      <c r="J167">
        <v>210</v>
      </c>
      <c r="K167">
        <v>110</v>
      </c>
      <c r="L167">
        <v>2498</v>
      </c>
    </row>
    <row r="168" spans="1:12" x14ac:dyDescent="0.25">
      <c r="A168" t="s">
        <v>1</v>
      </c>
      <c r="B168" t="s">
        <v>51</v>
      </c>
      <c r="C168">
        <v>2023</v>
      </c>
      <c r="D168">
        <v>843</v>
      </c>
      <c r="E168">
        <v>168</v>
      </c>
      <c r="F168">
        <v>333</v>
      </c>
      <c r="G168">
        <v>351</v>
      </c>
      <c r="H168">
        <v>354</v>
      </c>
      <c r="I168">
        <v>210</v>
      </c>
      <c r="J168">
        <v>197</v>
      </c>
      <c r="K168">
        <v>128</v>
      </c>
      <c r="L168">
        <v>2584</v>
      </c>
    </row>
    <row r="169" spans="1:12" x14ac:dyDescent="0.25">
      <c r="A169" t="s">
        <v>1</v>
      </c>
      <c r="B169" t="s">
        <v>51</v>
      </c>
      <c r="C169">
        <v>2024</v>
      </c>
      <c r="D169">
        <v>791</v>
      </c>
      <c r="E169">
        <v>125</v>
      </c>
      <c r="F169">
        <v>319</v>
      </c>
      <c r="G169">
        <v>348</v>
      </c>
      <c r="H169">
        <v>348</v>
      </c>
      <c r="I169">
        <v>200</v>
      </c>
      <c r="J169">
        <v>210</v>
      </c>
      <c r="K169">
        <v>130</v>
      </c>
      <c r="L169">
        <v>2471</v>
      </c>
    </row>
    <row r="170" spans="1:12" x14ac:dyDescent="0.25">
      <c r="A170" t="s">
        <v>1</v>
      </c>
      <c r="B170" t="s">
        <v>52</v>
      </c>
      <c r="C170">
        <v>2001</v>
      </c>
      <c r="D170">
        <v>338</v>
      </c>
      <c r="E170">
        <v>1609</v>
      </c>
      <c r="F170">
        <v>3136</v>
      </c>
      <c r="G170">
        <v>3360</v>
      </c>
      <c r="H170">
        <v>3018</v>
      </c>
      <c r="I170">
        <v>1301</v>
      </c>
      <c r="J170">
        <v>615</v>
      </c>
      <c r="K170">
        <v>62</v>
      </c>
      <c r="L170">
        <v>13439</v>
      </c>
    </row>
    <row r="171" spans="1:12" x14ac:dyDescent="0.25">
      <c r="A171" t="s">
        <v>1</v>
      </c>
      <c r="B171" t="s">
        <v>52</v>
      </c>
      <c r="C171">
        <v>2002</v>
      </c>
      <c r="D171">
        <v>385</v>
      </c>
      <c r="E171">
        <v>1609</v>
      </c>
      <c r="F171">
        <v>2957</v>
      </c>
      <c r="G171">
        <v>3440</v>
      </c>
      <c r="H171">
        <v>3021</v>
      </c>
      <c r="I171">
        <v>1318</v>
      </c>
      <c r="J171">
        <v>682</v>
      </c>
      <c r="K171">
        <v>92</v>
      </c>
      <c r="L171">
        <v>13504</v>
      </c>
    </row>
    <row r="172" spans="1:12" x14ac:dyDescent="0.25">
      <c r="A172" t="s">
        <v>1</v>
      </c>
      <c r="B172" t="s">
        <v>52</v>
      </c>
      <c r="C172">
        <v>2003</v>
      </c>
      <c r="D172">
        <v>357</v>
      </c>
      <c r="E172">
        <v>1552</v>
      </c>
      <c r="F172">
        <v>2728</v>
      </c>
      <c r="G172">
        <v>3343</v>
      </c>
      <c r="H172">
        <v>2938</v>
      </c>
      <c r="I172">
        <v>1382</v>
      </c>
      <c r="J172">
        <v>761</v>
      </c>
      <c r="K172">
        <v>74</v>
      </c>
      <c r="L172">
        <v>13135</v>
      </c>
    </row>
    <row r="173" spans="1:12" x14ac:dyDescent="0.25">
      <c r="A173" t="s">
        <v>1</v>
      </c>
      <c r="B173" t="s">
        <v>52</v>
      </c>
      <c r="C173">
        <v>2004</v>
      </c>
      <c r="D173">
        <v>342</v>
      </c>
      <c r="E173">
        <v>1529</v>
      </c>
      <c r="F173">
        <v>2640</v>
      </c>
      <c r="G173">
        <v>3281</v>
      </c>
      <c r="H173">
        <v>2906</v>
      </c>
      <c r="I173">
        <v>1398</v>
      </c>
      <c r="J173">
        <v>852</v>
      </c>
      <c r="K173">
        <v>116</v>
      </c>
      <c r="L173">
        <v>13064</v>
      </c>
    </row>
    <row r="174" spans="1:12" x14ac:dyDescent="0.25">
      <c r="A174" t="s">
        <v>1</v>
      </c>
      <c r="B174" t="s">
        <v>52</v>
      </c>
      <c r="C174">
        <v>2005</v>
      </c>
      <c r="D174">
        <v>326</v>
      </c>
      <c r="E174">
        <v>1548</v>
      </c>
      <c r="F174">
        <v>2507</v>
      </c>
      <c r="G174">
        <v>3274</v>
      </c>
      <c r="H174">
        <v>2934</v>
      </c>
      <c r="I174">
        <v>1346</v>
      </c>
      <c r="J174">
        <v>895</v>
      </c>
      <c r="K174">
        <v>126</v>
      </c>
      <c r="L174">
        <v>12956</v>
      </c>
    </row>
    <row r="175" spans="1:12" x14ac:dyDescent="0.25">
      <c r="A175" t="s">
        <v>1</v>
      </c>
      <c r="B175" t="s">
        <v>52</v>
      </c>
      <c r="C175">
        <v>2006</v>
      </c>
      <c r="D175">
        <v>375</v>
      </c>
      <c r="E175">
        <v>1587</v>
      </c>
      <c r="F175">
        <v>2421</v>
      </c>
      <c r="G175">
        <v>3291</v>
      </c>
      <c r="H175">
        <v>2970</v>
      </c>
      <c r="I175">
        <v>1360</v>
      </c>
      <c r="J175">
        <v>943</v>
      </c>
      <c r="K175">
        <v>126</v>
      </c>
      <c r="L175">
        <v>13073</v>
      </c>
    </row>
    <row r="176" spans="1:12" x14ac:dyDescent="0.25">
      <c r="A176" t="s">
        <v>1</v>
      </c>
      <c r="B176" t="s">
        <v>52</v>
      </c>
      <c r="C176">
        <v>2007</v>
      </c>
      <c r="D176">
        <v>410</v>
      </c>
      <c r="E176">
        <v>1684</v>
      </c>
      <c r="F176">
        <v>2349</v>
      </c>
      <c r="G176">
        <v>3267</v>
      </c>
      <c r="H176">
        <v>3045</v>
      </c>
      <c r="I176">
        <v>1394</v>
      </c>
      <c r="J176">
        <v>980</v>
      </c>
      <c r="K176">
        <v>157</v>
      </c>
      <c r="L176">
        <v>13286</v>
      </c>
    </row>
    <row r="177" spans="1:12" x14ac:dyDescent="0.25">
      <c r="A177" t="s">
        <v>1</v>
      </c>
      <c r="B177" t="s">
        <v>52</v>
      </c>
      <c r="C177">
        <v>2008</v>
      </c>
      <c r="D177">
        <v>346</v>
      </c>
      <c r="E177">
        <v>1653</v>
      </c>
      <c r="F177">
        <v>2243</v>
      </c>
      <c r="G177">
        <v>3217</v>
      </c>
      <c r="H177">
        <v>3024</v>
      </c>
      <c r="I177">
        <v>1366</v>
      </c>
      <c r="J177">
        <v>1027</v>
      </c>
      <c r="K177">
        <v>169</v>
      </c>
      <c r="L177">
        <v>13045</v>
      </c>
    </row>
    <row r="178" spans="1:12" x14ac:dyDescent="0.25">
      <c r="A178" t="s">
        <v>1</v>
      </c>
      <c r="B178" t="s">
        <v>52</v>
      </c>
      <c r="C178">
        <v>2009</v>
      </c>
      <c r="D178">
        <v>354</v>
      </c>
      <c r="E178">
        <v>1556</v>
      </c>
      <c r="F178">
        <v>2067</v>
      </c>
      <c r="G178">
        <v>3047</v>
      </c>
      <c r="H178">
        <v>3057</v>
      </c>
      <c r="I178">
        <v>1297</v>
      </c>
      <c r="J178">
        <v>1061</v>
      </c>
      <c r="K178">
        <v>200</v>
      </c>
      <c r="L178">
        <v>12639</v>
      </c>
    </row>
    <row r="179" spans="1:12" x14ac:dyDescent="0.25">
      <c r="A179" t="s">
        <v>1</v>
      </c>
      <c r="B179" t="s">
        <v>52</v>
      </c>
      <c r="C179">
        <v>2010</v>
      </c>
      <c r="D179">
        <v>375</v>
      </c>
      <c r="E179">
        <v>1670</v>
      </c>
      <c r="F179">
        <v>2021</v>
      </c>
      <c r="G179">
        <v>2950</v>
      </c>
      <c r="H179">
        <v>3197</v>
      </c>
      <c r="I179">
        <v>1341</v>
      </c>
      <c r="J179">
        <v>1065</v>
      </c>
      <c r="K179">
        <v>208</v>
      </c>
      <c r="L179">
        <v>12827</v>
      </c>
    </row>
    <row r="180" spans="1:12" x14ac:dyDescent="0.25">
      <c r="A180" t="s">
        <v>1</v>
      </c>
      <c r="B180" t="s">
        <v>52</v>
      </c>
      <c r="C180">
        <v>2011</v>
      </c>
      <c r="D180">
        <v>360</v>
      </c>
      <c r="E180">
        <v>1700</v>
      </c>
      <c r="F180">
        <v>2037</v>
      </c>
      <c r="G180">
        <v>2777</v>
      </c>
      <c r="H180">
        <v>3272</v>
      </c>
      <c r="I180">
        <v>1373</v>
      </c>
      <c r="J180">
        <v>1055</v>
      </c>
      <c r="K180">
        <v>266</v>
      </c>
      <c r="L180">
        <v>12840</v>
      </c>
    </row>
    <row r="181" spans="1:12" x14ac:dyDescent="0.25">
      <c r="A181" t="s">
        <v>1</v>
      </c>
      <c r="B181" t="s">
        <v>52</v>
      </c>
      <c r="C181">
        <v>2012</v>
      </c>
      <c r="D181">
        <v>383</v>
      </c>
      <c r="E181">
        <v>1748</v>
      </c>
      <c r="F181">
        <v>2051</v>
      </c>
      <c r="G181">
        <v>2684</v>
      </c>
      <c r="H181">
        <v>3291</v>
      </c>
      <c r="I181">
        <v>1384</v>
      </c>
      <c r="J181">
        <v>1084</v>
      </c>
      <c r="K181">
        <v>280</v>
      </c>
      <c r="L181">
        <v>12905</v>
      </c>
    </row>
    <row r="182" spans="1:12" x14ac:dyDescent="0.25">
      <c r="A182" t="s">
        <v>1</v>
      </c>
      <c r="B182" t="s">
        <v>52</v>
      </c>
      <c r="C182">
        <v>2013</v>
      </c>
      <c r="D182">
        <v>422</v>
      </c>
      <c r="E182">
        <v>1906</v>
      </c>
      <c r="F182">
        <v>2080</v>
      </c>
      <c r="G182">
        <v>2558</v>
      </c>
      <c r="H182">
        <v>3277</v>
      </c>
      <c r="I182">
        <v>1410</v>
      </c>
      <c r="J182">
        <v>1095</v>
      </c>
      <c r="K182">
        <v>354</v>
      </c>
      <c r="L182">
        <v>13102</v>
      </c>
    </row>
    <row r="183" spans="1:12" x14ac:dyDescent="0.25">
      <c r="A183" t="s">
        <v>1</v>
      </c>
      <c r="B183" t="s">
        <v>52</v>
      </c>
      <c r="C183">
        <v>2014</v>
      </c>
      <c r="D183">
        <v>365</v>
      </c>
      <c r="E183">
        <v>1891</v>
      </c>
      <c r="F183">
        <v>2145</v>
      </c>
      <c r="G183">
        <v>2514</v>
      </c>
      <c r="H183">
        <v>3256</v>
      </c>
      <c r="I183">
        <v>1444</v>
      </c>
      <c r="J183">
        <v>1126</v>
      </c>
      <c r="K183">
        <v>345</v>
      </c>
      <c r="L183">
        <v>13086</v>
      </c>
    </row>
    <row r="184" spans="1:12" x14ac:dyDescent="0.25">
      <c r="A184" t="s">
        <v>1</v>
      </c>
      <c r="B184" t="s">
        <v>52</v>
      </c>
      <c r="C184">
        <v>2015</v>
      </c>
      <c r="D184">
        <v>420</v>
      </c>
      <c r="E184">
        <v>1952</v>
      </c>
      <c r="F184">
        <v>2244</v>
      </c>
      <c r="G184">
        <v>2399</v>
      </c>
      <c r="H184">
        <v>3300</v>
      </c>
      <c r="I184">
        <v>1456</v>
      </c>
      <c r="J184">
        <v>1141</v>
      </c>
      <c r="K184">
        <v>373</v>
      </c>
      <c r="L184">
        <v>13285</v>
      </c>
    </row>
    <row r="185" spans="1:12" x14ac:dyDescent="0.25">
      <c r="A185" t="s">
        <v>1</v>
      </c>
      <c r="B185" t="s">
        <v>52</v>
      </c>
      <c r="C185">
        <v>2016</v>
      </c>
      <c r="D185">
        <v>426</v>
      </c>
      <c r="E185">
        <v>1939</v>
      </c>
      <c r="F185">
        <v>2376</v>
      </c>
      <c r="G185">
        <v>2315</v>
      </c>
      <c r="H185">
        <v>3327</v>
      </c>
      <c r="I185">
        <v>1456</v>
      </c>
      <c r="J185">
        <v>1143</v>
      </c>
      <c r="K185">
        <v>374</v>
      </c>
      <c r="L185">
        <v>13356</v>
      </c>
    </row>
    <row r="186" spans="1:12" x14ac:dyDescent="0.25">
      <c r="A186" t="s">
        <v>1</v>
      </c>
      <c r="B186" t="s">
        <v>52</v>
      </c>
      <c r="C186">
        <v>2017</v>
      </c>
      <c r="D186">
        <v>447</v>
      </c>
      <c r="E186">
        <v>1983</v>
      </c>
      <c r="F186">
        <v>2383</v>
      </c>
      <c r="G186">
        <v>2278</v>
      </c>
      <c r="H186">
        <v>3252</v>
      </c>
      <c r="I186">
        <v>1478</v>
      </c>
      <c r="J186">
        <v>1141</v>
      </c>
      <c r="K186">
        <v>443</v>
      </c>
      <c r="L186">
        <v>13405</v>
      </c>
    </row>
    <row r="187" spans="1:12" x14ac:dyDescent="0.25">
      <c r="A187" t="s">
        <v>1</v>
      </c>
      <c r="B187" t="s">
        <v>52</v>
      </c>
      <c r="C187">
        <v>2018</v>
      </c>
      <c r="D187">
        <v>435</v>
      </c>
      <c r="E187">
        <v>1992</v>
      </c>
      <c r="F187">
        <v>2405</v>
      </c>
      <c r="G187">
        <v>2208</v>
      </c>
      <c r="H187">
        <v>3234</v>
      </c>
      <c r="I187">
        <v>1494</v>
      </c>
      <c r="J187">
        <v>1193</v>
      </c>
      <c r="K187">
        <v>484</v>
      </c>
      <c r="L187">
        <v>13445</v>
      </c>
    </row>
    <row r="188" spans="1:12" x14ac:dyDescent="0.25">
      <c r="A188" t="s">
        <v>1</v>
      </c>
      <c r="B188" t="s">
        <v>52</v>
      </c>
      <c r="C188">
        <v>2019</v>
      </c>
      <c r="D188">
        <v>429</v>
      </c>
      <c r="E188">
        <v>1787</v>
      </c>
      <c r="F188">
        <v>2459</v>
      </c>
      <c r="G188">
        <v>2117</v>
      </c>
      <c r="H188">
        <v>3142</v>
      </c>
      <c r="I188">
        <v>1580</v>
      </c>
      <c r="J188">
        <v>1210</v>
      </c>
      <c r="K188">
        <v>607</v>
      </c>
      <c r="L188">
        <v>13331</v>
      </c>
    </row>
    <row r="189" spans="1:12" x14ac:dyDescent="0.25">
      <c r="A189" t="s">
        <v>1</v>
      </c>
      <c r="B189" t="s">
        <v>52</v>
      </c>
      <c r="C189">
        <v>2020</v>
      </c>
      <c r="D189">
        <v>466</v>
      </c>
      <c r="E189">
        <v>1735</v>
      </c>
      <c r="F189">
        <v>2428</v>
      </c>
      <c r="G189">
        <v>2049</v>
      </c>
      <c r="H189">
        <v>2981</v>
      </c>
      <c r="I189">
        <v>1628</v>
      </c>
      <c r="J189">
        <v>1200</v>
      </c>
      <c r="K189">
        <v>540</v>
      </c>
      <c r="L189">
        <v>13027</v>
      </c>
    </row>
    <row r="190" spans="1:12" x14ac:dyDescent="0.25">
      <c r="A190" t="s">
        <v>1</v>
      </c>
      <c r="B190" t="s">
        <v>52</v>
      </c>
      <c r="C190">
        <v>2021</v>
      </c>
      <c r="D190">
        <v>462</v>
      </c>
      <c r="E190">
        <v>1775</v>
      </c>
      <c r="F190">
        <v>2393</v>
      </c>
      <c r="G190">
        <v>2047</v>
      </c>
      <c r="H190">
        <v>2835</v>
      </c>
      <c r="I190">
        <v>1699</v>
      </c>
      <c r="J190">
        <v>1226</v>
      </c>
      <c r="K190">
        <v>572</v>
      </c>
      <c r="L190">
        <v>13009</v>
      </c>
    </row>
    <row r="191" spans="1:12" x14ac:dyDescent="0.25">
      <c r="A191" t="s">
        <v>1</v>
      </c>
      <c r="B191" t="s">
        <v>52</v>
      </c>
      <c r="C191">
        <v>2022</v>
      </c>
      <c r="D191">
        <v>506</v>
      </c>
      <c r="E191">
        <v>1766</v>
      </c>
      <c r="F191">
        <v>2385</v>
      </c>
      <c r="G191">
        <v>2035</v>
      </c>
      <c r="H191">
        <v>2738</v>
      </c>
      <c r="I191">
        <v>1690</v>
      </c>
      <c r="J191">
        <v>1277</v>
      </c>
      <c r="K191">
        <v>618</v>
      </c>
      <c r="L191">
        <v>13015</v>
      </c>
    </row>
    <row r="192" spans="1:12" x14ac:dyDescent="0.25">
      <c r="A192" t="s">
        <v>1</v>
      </c>
      <c r="B192" t="s">
        <v>52</v>
      </c>
      <c r="C192">
        <v>2023</v>
      </c>
      <c r="D192">
        <v>485</v>
      </c>
      <c r="E192">
        <v>1829</v>
      </c>
      <c r="F192">
        <v>2360</v>
      </c>
      <c r="G192">
        <v>2038</v>
      </c>
      <c r="H192">
        <v>2630</v>
      </c>
      <c r="I192">
        <v>1671</v>
      </c>
      <c r="J192">
        <v>1297</v>
      </c>
      <c r="K192">
        <v>670</v>
      </c>
      <c r="L192">
        <v>12980</v>
      </c>
    </row>
    <row r="193" spans="1:12" x14ac:dyDescent="0.25">
      <c r="A193" t="s">
        <v>1</v>
      </c>
      <c r="B193" t="s">
        <v>52</v>
      </c>
      <c r="C193">
        <v>2024</v>
      </c>
      <c r="D193">
        <v>509</v>
      </c>
      <c r="E193">
        <v>1875</v>
      </c>
      <c r="F193">
        <v>2250</v>
      </c>
      <c r="G193">
        <v>2024</v>
      </c>
      <c r="H193">
        <v>2530</v>
      </c>
      <c r="I193">
        <v>1586</v>
      </c>
      <c r="J193">
        <v>1357</v>
      </c>
      <c r="K193">
        <v>700</v>
      </c>
      <c r="L193">
        <v>12831</v>
      </c>
    </row>
    <row r="194" spans="1:12" x14ac:dyDescent="0.25">
      <c r="A194" t="s">
        <v>1</v>
      </c>
      <c r="B194" t="s">
        <v>53</v>
      </c>
      <c r="C194">
        <v>2001</v>
      </c>
      <c r="D194">
        <v>1</v>
      </c>
      <c r="E194">
        <v>490</v>
      </c>
      <c r="F194">
        <v>1068</v>
      </c>
      <c r="G194">
        <v>1348</v>
      </c>
      <c r="H194">
        <v>1252</v>
      </c>
      <c r="I194">
        <v>447</v>
      </c>
      <c r="J194">
        <v>227</v>
      </c>
      <c r="K194">
        <v>25</v>
      </c>
      <c r="L194">
        <v>4858</v>
      </c>
    </row>
    <row r="195" spans="1:12" x14ac:dyDescent="0.25">
      <c r="A195" t="s">
        <v>1</v>
      </c>
      <c r="B195" t="s">
        <v>53</v>
      </c>
      <c r="C195">
        <v>2002</v>
      </c>
      <c r="D195">
        <v>3</v>
      </c>
      <c r="E195">
        <v>469</v>
      </c>
      <c r="F195">
        <v>967</v>
      </c>
      <c r="G195">
        <v>1357</v>
      </c>
      <c r="H195">
        <v>1267</v>
      </c>
      <c r="I195">
        <v>499</v>
      </c>
      <c r="J195">
        <v>262</v>
      </c>
      <c r="K195">
        <v>34</v>
      </c>
      <c r="L195">
        <v>4858</v>
      </c>
    </row>
    <row r="196" spans="1:12" x14ac:dyDescent="0.25">
      <c r="A196" t="s">
        <v>1</v>
      </c>
      <c r="B196" t="s">
        <v>53</v>
      </c>
      <c r="C196">
        <v>2003</v>
      </c>
      <c r="D196">
        <v>0</v>
      </c>
      <c r="E196">
        <v>416</v>
      </c>
      <c r="F196">
        <v>885</v>
      </c>
      <c r="G196">
        <v>1385</v>
      </c>
      <c r="H196">
        <v>1316</v>
      </c>
      <c r="I196">
        <v>500</v>
      </c>
      <c r="J196">
        <v>278</v>
      </c>
      <c r="K196">
        <v>34</v>
      </c>
      <c r="L196">
        <v>4814</v>
      </c>
    </row>
    <row r="197" spans="1:12" x14ac:dyDescent="0.25">
      <c r="A197" t="s">
        <v>1</v>
      </c>
      <c r="B197" t="s">
        <v>53</v>
      </c>
      <c r="C197">
        <v>2004</v>
      </c>
      <c r="D197">
        <v>2</v>
      </c>
      <c r="E197">
        <v>453</v>
      </c>
      <c r="F197">
        <v>816</v>
      </c>
      <c r="G197">
        <v>1394</v>
      </c>
      <c r="H197">
        <v>1302</v>
      </c>
      <c r="I197">
        <v>520</v>
      </c>
      <c r="J197">
        <v>324</v>
      </c>
      <c r="K197">
        <v>43</v>
      </c>
      <c r="L197">
        <v>4854</v>
      </c>
    </row>
    <row r="198" spans="1:12" x14ac:dyDescent="0.25">
      <c r="A198" t="s">
        <v>1</v>
      </c>
      <c r="B198" t="s">
        <v>53</v>
      </c>
      <c r="C198">
        <v>2005</v>
      </c>
      <c r="D198">
        <v>5</v>
      </c>
      <c r="E198">
        <v>410</v>
      </c>
      <c r="F198">
        <v>747</v>
      </c>
      <c r="G198">
        <v>1371</v>
      </c>
      <c r="H198">
        <v>1267</v>
      </c>
      <c r="I198">
        <v>540</v>
      </c>
      <c r="J198">
        <v>357</v>
      </c>
      <c r="K198">
        <v>55</v>
      </c>
      <c r="L198">
        <v>4752</v>
      </c>
    </row>
    <row r="199" spans="1:12" x14ac:dyDescent="0.25">
      <c r="A199" t="s">
        <v>1</v>
      </c>
      <c r="B199" t="s">
        <v>53</v>
      </c>
      <c r="C199">
        <v>2006</v>
      </c>
      <c r="D199">
        <v>2</v>
      </c>
      <c r="E199">
        <v>570</v>
      </c>
      <c r="F199">
        <v>719</v>
      </c>
      <c r="G199">
        <v>1361</v>
      </c>
      <c r="H199">
        <v>1246</v>
      </c>
      <c r="I199">
        <v>573</v>
      </c>
      <c r="J199">
        <v>345</v>
      </c>
      <c r="K199">
        <v>66</v>
      </c>
      <c r="L199">
        <v>4882</v>
      </c>
    </row>
    <row r="200" spans="1:12" x14ac:dyDescent="0.25">
      <c r="A200" t="s">
        <v>1</v>
      </c>
      <c r="B200" t="s">
        <v>53</v>
      </c>
      <c r="C200">
        <v>2007</v>
      </c>
      <c r="D200">
        <v>2</v>
      </c>
      <c r="E200">
        <v>634</v>
      </c>
      <c r="F200">
        <v>697</v>
      </c>
      <c r="G200">
        <v>1319</v>
      </c>
      <c r="H200">
        <v>1253</v>
      </c>
      <c r="I200">
        <v>570</v>
      </c>
      <c r="J200">
        <v>388</v>
      </c>
      <c r="K200">
        <v>83</v>
      </c>
      <c r="L200">
        <v>4946</v>
      </c>
    </row>
    <row r="201" spans="1:12" x14ac:dyDescent="0.25">
      <c r="A201" t="s">
        <v>1</v>
      </c>
      <c r="B201" t="s">
        <v>53</v>
      </c>
      <c r="C201">
        <v>2008</v>
      </c>
      <c r="D201">
        <v>2</v>
      </c>
      <c r="E201">
        <v>536</v>
      </c>
      <c r="F201">
        <v>715</v>
      </c>
      <c r="G201">
        <v>1287</v>
      </c>
      <c r="H201">
        <v>1263</v>
      </c>
      <c r="I201">
        <v>602</v>
      </c>
      <c r="J201">
        <v>406</v>
      </c>
      <c r="K201">
        <v>97</v>
      </c>
      <c r="L201">
        <v>4908</v>
      </c>
    </row>
    <row r="202" spans="1:12" x14ac:dyDescent="0.25">
      <c r="A202" t="s">
        <v>1</v>
      </c>
      <c r="B202" t="s">
        <v>53</v>
      </c>
      <c r="C202">
        <v>2009</v>
      </c>
      <c r="D202">
        <v>5</v>
      </c>
      <c r="E202">
        <v>497</v>
      </c>
      <c r="F202">
        <v>677</v>
      </c>
      <c r="G202">
        <v>1192</v>
      </c>
      <c r="H202">
        <v>1276</v>
      </c>
      <c r="I202">
        <v>582</v>
      </c>
      <c r="J202">
        <v>439</v>
      </c>
      <c r="K202">
        <v>118</v>
      </c>
      <c r="L202">
        <v>4786</v>
      </c>
    </row>
    <row r="203" spans="1:12" x14ac:dyDescent="0.25">
      <c r="A203" t="s">
        <v>1</v>
      </c>
      <c r="B203" t="s">
        <v>53</v>
      </c>
      <c r="C203">
        <v>2010</v>
      </c>
      <c r="D203">
        <v>1</v>
      </c>
      <c r="E203">
        <v>656</v>
      </c>
      <c r="F203">
        <v>762</v>
      </c>
      <c r="G203">
        <v>1143</v>
      </c>
      <c r="H203">
        <v>1276</v>
      </c>
      <c r="I203">
        <v>599</v>
      </c>
      <c r="J203">
        <v>480</v>
      </c>
      <c r="K203">
        <v>127</v>
      </c>
      <c r="L203">
        <v>5044</v>
      </c>
    </row>
    <row r="204" spans="1:12" x14ac:dyDescent="0.25">
      <c r="A204" t="s">
        <v>1</v>
      </c>
      <c r="B204" t="s">
        <v>53</v>
      </c>
      <c r="C204">
        <v>2011</v>
      </c>
      <c r="D204">
        <v>8</v>
      </c>
      <c r="E204">
        <v>567</v>
      </c>
      <c r="F204">
        <v>760</v>
      </c>
      <c r="G204">
        <v>1073</v>
      </c>
      <c r="H204">
        <v>1326</v>
      </c>
      <c r="I204">
        <v>590</v>
      </c>
      <c r="J204">
        <v>485</v>
      </c>
      <c r="K204">
        <v>136</v>
      </c>
      <c r="L204">
        <v>4945</v>
      </c>
    </row>
    <row r="205" spans="1:12" x14ac:dyDescent="0.25">
      <c r="A205" t="s">
        <v>1</v>
      </c>
      <c r="B205" t="s">
        <v>53</v>
      </c>
      <c r="C205">
        <v>2012</v>
      </c>
      <c r="D205">
        <v>1</v>
      </c>
      <c r="E205">
        <v>648</v>
      </c>
      <c r="F205">
        <v>785</v>
      </c>
      <c r="G205">
        <v>1014</v>
      </c>
      <c r="H205">
        <v>1328</v>
      </c>
      <c r="I205">
        <v>599</v>
      </c>
      <c r="J205">
        <v>476</v>
      </c>
      <c r="K205">
        <v>160</v>
      </c>
      <c r="L205">
        <v>5011</v>
      </c>
    </row>
    <row r="206" spans="1:12" x14ac:dyDescent="0.25">
      <c r="A206" t="s">
        <v>1</v>
      </c>
      <c r="B206" t="s">
        <v>53</v>
      </c>
      <c r="C206">
        <v>2013</v>
      </c>
      <c r="D206">
        <v>5</v>
      </c>
      <c r="E206">
        <v>707</v>
      </c>
      <c r="F206">
        <v>833</v>
      </c>
      <c r="G206">
        <v>993</v>
      </c>
      <c r="H206">
        <v>1349</v>
      </c>
      <c r="I206">
        <v>580</v>
      </c>
      <c r="J206">
        <v>505</v>
      </c>
      <c r="K206">
        <v>171</v>
      </c>
      <c r="L206">
        <v>5143</v>
      </c>
    </row>
    <row r="207" spans="1:12" x14ac:dyDescent="0.25">
      <c r="A207" t="s">
        <v>1</v>
      </c>
      <c r="B207" t="s">
        <v>53</v>
      </c>
      <c r="C207">
        <v>2014</v>
      </c>
      <c r="D207">
        <v>6</v>
      </c>
      <c r="E207">
        <v>675</v>
      </c>
      <c r="F207">
        <v>909</v>
      </c>
      <c r="G207">
        <v>926</v>
      </c>
      <c r="H207">
        <v>1410</v>
      </c>
      <c r="I207">
        <v>570</v>
      </c>
      <c r="J207">
        <v>493</v>
      </c>
      <c r="K207">
        <v>184</v>
      </c>
      <c r="L207">
        <v>5173</v>
      </c>
    </row>
    <row r="208" spans="1:12" x14ac:dyDescent="0.25">
      <c r="A208" t="s">
        <v>1</v>
      </c>
      <c r="B208" t="s">
        <v>53</v>
      </c>
      <c r="C208">
        <v>2015</v>
      </c>
      <c r="D208">
        <v>2</v>
      </c>
      <c r="E208">
        <v>768</v>
      </c>
      <c r="F208">
        <v>1002</v>
      </c>
      <c r="G208">
        <v>877</v>
      </c>
      <c r="H208">
        <v>1391</v>
      </c>
      <c r="I208">
        <v>567</v>
      </c>
      <c r="J208">
        <v>478</v>
      </c>
      <c r="K208">
        <v>197</v>
      </c>
      <c r="L208">
        <v>5282</v>
      </c>
    </row>
    <row r="209" spans="1:12" x14ac:dyDescent="0.25">
      <c r="A209" t="s">
        <v>1</v>
      </c>
      <c r="B209" t="s">
        <v>53</v>
      </c>
      <c r="C209">
        <v>2016</v>
      </c>
      <c r="D209">
        <v>2</v>
      </c>
      <c r="E209">
        <v>894</v>
      </c>
      <c r="F209">
        <v>1113</v>
      </c>
      <c r="G209">
        <v>849</v>
      </c>
      <c r="H209">
        <v>1413</v>
      </c>
      <c r="I209">
        <v>568</v>
      </c>
      <c r="J209">
        <v>486</v>
      </c>
      <c r="K209">
        <v>206</v>
      </c>
      <c r="L209">
        <v>5531</v>
      </c>
    </row>
    <row r="210" spans="1:12" x14ac:dyDescent="0.25">
      <c r="A210" t="s">
        <v>1</v>
      </c>
      <c r="B210" t="s">
        <v>53</v>
      </c>
      <c r="C210">
        <v>2017</v>
      </c>
      <c r="D210">
        <v>1</v>
      </c>
      <c r="E210">
        <v>872</v>
      </c>
      <c r="F210">
        <v>1237</v>
      </c>
      <c r="G210">
        <v>848</v>
      </c>
      <c r="H210">
        <v>1383</v>
      </c>
      <c r="I210">
        <v>580</v>
      </c>
      <c r="J210">
        <v>487</v>
      </c>
      <c r="K210">
        <v>206</v>
      </c>
      <c r="L210">
        <v>5614</v>
      </c>
    </row>
    <row r="211" spans="1:12" x14ac:dyDescent="0.25">
      <c r="A211" t="s">
        <v>1</v>
      </c>
      <c r="B211" t="s">
        <v>53</v>
      </c>
      <c r="C211">
        <v>2018</v>
      </c>
      <c r="D211">
        <v>3</v>
      </c>
      <c r="E211">
        <v>637</v>
      </c>
      <c r="F211">
        <v>1383</v>
      </c>
      <c r="G211">
        <v>888</v>
      </c>
      <c r="H211">
        <v>1346</v>
      </c>
      <c r="I211">
        <v>612</v>
      </c>
      <c r="J211">
        <v>487</v>
      </c>
      <c r="K211">
        <v>233</v>
      </c>
      <c r="L211">
        <v>5589</v>
      </c>
    </row>
    <row r="212" spans="1:12" x14ac:dyDescent="0.25">
      <c r="A212" t="s">
        <v>1</v>
      </c>
      <c r="B212" t="s">
        <v>53</v>
      </c>
      <c r="C212">
        <v>2019</v>
      </c>
      <c r="D212">
        <v>1</v>
      </c>
      <c r="E212">
        <v>882</v>
      </c>
      <c r="F212">
        <v>1504</v>
      </c>
      <c r="G212">
        <v>900</v>
      </c>
      <c r="H212">
        <v>1306</v>
      </c>
      <c r="I212">
        <v>661</v>
      </c>
      <c r="J212">
        <v>494</v>
      </c>
      <c r="K212">
        <v>286</v>
      </c>
      <c r="L212">
        <v>6034</v>
      </c>
    </row>
    <row r="213" spans="1:12" x14ac:dyDescent="0.25">
      <c r="A213" t="s">
        <v>1</v>
      </c>
      <c r="B213" t="s">
        <v>53</v>
      </c>
      <c r="C213">
        <v>2020</v>
      </c>
      <c r="D213">
        <v>4</v>
      </c>
      <c r="E213">
        <v>829</v>
      </c>
      <c r="F213">
        <v>1476</v>
      </c>
      <c r="G213">
        <v>932</v>
      </c>
      <c r="H213">
        <v>1262</v>
      </c>
      <c r="I213">
        <v>687</v>
      </c>
      <c r="J213">
        <v>497</v>
      </c>
      <c r="K213">
        <v>252</v>
      </c>
      <c r="L213">
        <v>5939</v>
      </c>
    </row>
    <row r="214" spans="1:12" x14ac:dyDescent="0.25">
      <c r="A214" t="s">
        <v>1</v>
      </c>
      <c r="B214" t="s">
        <v>53</v>
      </c>
      <c r="C214">
        <v>2021</v>
      </c>
      <c r="D214">
        <v>1</v>
      </c>
      <c r="E214">
        <v>874</v>
      </c>
      <c r="F214">
        <v>1446</v>
      </c>
      <c r="G214">
        <v>998</v>
      </c>
      <c r="H214">
        <v>1221</v>
      </c>
      <c r="I214">
        <v>762</v>
      </c>
      <c r="J214">
        <v>488</v>
      </c>
      <c r="K214">
        <v>274</v>
      </c>
      <c r="L214">
        <v>6064</v>
      </c>
    </row>
    <row r="215" spans="1:12" x14ac:dyDescent="0.25">
      <c r="A215" t="s">
        <v>1</v>
      </c>
      <c r="B215" t="s">
        <v>53</v>
      </c>
      <c r="C215">
        <v>2022</v>
      </c>
      <c r="D215">
        <v>3</v>
      </c>
      <c r="E215">
        <v>1063</v>
      </c>
      <c r="F215">
        <v>1480</v>
      </c>
      <c r="G215">
        <v>1078</v>
      </c>
      <c r="H215">
        <v>1197</v>
      </c>
      <c r="I215">
        <v>784</v>
      </c>
      <c r="J215">
        <v>525</v>
      </c>
      <c r="K215">
        <v>286</v>
      </c>
      <c r="L215">
        <v>6416</v>
      </c>
    </row>
    <row r="216" spans="1:12" x14ac:dyDescent="0.25">
      <c r="A216" t="s">
        <v>1</v>
      </c>
      <c r="B216" t="s">
        <v>53</v>
      </c>
      <c r="C216">
        <v>2023</v>
      </c>
      <c r="D216">
        <v>1</v>
      </c>
      <c r="E216">
        <v>1077</v>
      </c>
      <c r="F216">
        <v>1479</v>
      </c>
      <c r="G216">
        <v>1156</v>
      </c>
      <c r="H216">
        <v>1160</v>
      </c>
      <c r="I216">
        <v>796</v>
      </c>
      <c r="J216">
        <v>541</v>
      </c>
      <c r="K216">
        <v>335</v>
      </c>
      <c r="L216">
        <v>6545</v>
      </c>
    </row>
    <row r="217" spans="1:12" x14ac:dyDescent="0.25">
      <c r="A217" t="s">
        <v>1</v>
      </c>
      <c r="B217" t="s">
        <v>53</v>
      </c>
      <c r="C217">
        <v>2024</v>
      </c>
      <c r="D217">
        <v>3</v>
      </c>
      <c r="E217">
        <v>941</v>
      </c>
      <c r="F217">
        <v>1458</v>
      </c>
      <c r="G217">
        <v>1223</v>
      </c>
      <c r="H217">
        <v>1105</v>
      </c>
      <c r="I217">
        <v>783</v>
      </c>
      <c r="J217">
        <v>594</v>
      </c>
      <c r="K217">
        <v>341</v>
      </c>
      <c r="L217">
        <v>6448</v>
      </c>
    </row>
    <row r="218" spans="1:12" x14ac:dyDescent="0.25">
      <c r="A218" t="s">
        <v>1</v>
      </c>
      <c r="B218" t="s">
        <v>54</v>
      </c>
      <c r="C218">
        <v>2001</v>
      </c>
      <c r="D218">
        <v>0</v>
      </c>
      <c r="E218">
        <v>273</v>
      </c>
      <c r="F218">
        <v>2459</v>
      </c>
      <c r="G218">
        <v>1827</v>
      </c>
      <c r="H218">
        <v>1709</v>
      </c>
      <c r="I218">
        <v>696</v>
      </c>
      <c r="J218">
        <v>376</v>
      </c>
      <c r="K218">
        <v>57</v>
      </c>
      <c r="L218">
        <v>7397</v>
      </c>
    </row>
    <row r="219" spans="1:12" x14ac:dyDescent="0.25">
      <c r="A219" t="s">
        <v>1</v>
      </c>
      <c r="B219" t="s">
        <v>54</v>
      </c>
      <c r="C219">
        <v>2002</v>
      </c>
      <c r="D219">
        <v>0</v>
      </c>
      <c r="E219">
        <v>280</v>
      </c>
      <c r="F219">
        <v>2698</v>
      </c>
      <c r="G219">
        <v>1896</v>
      </c>
      <c r="H219">
        <v>1736</v>
      </c>
      <c r="I219">
        <v>722</v>
      </c>
      <c r="J219">
        <v>417</v>
      </c>
      <c r="K219">
        <v>70</v>
      </c>
      <c r="L219">
        <v>7819</v>
      </c>
    </row>
    <row r="220" spans="1:12" x14ac:dyDescent="0.25">
      <c r="A220" t="s">
        <v>1</v>
      </c>
      <c r="B220" t="s">
        <v>54</v>
      </c>
      <c r="C220">
        <v>2003</v>
      </c>
      <c r="D220">
        <v>0</v>
      </c>
      <c r="E220">
        <v>237</v>
      </c>
      <c r="F220">
        <v>2852</v>
      </c>
      <c r="G220">
        <v>1937</v>
      </c>
      <c r="H220">
        <v>1717</v>
      </c>
      <c r="I220">
        <v>756</v>
      </c>
      <c r="J220">
        <v>433</v>
      </c>
      <c r="K220">
        <v>70</v>
      </c>
      <c r="L220">
        <v>8002</v>
      </c>
    </row>
    <row r="221" spans="1:12" x14ac:dyDescent="0.25">
      <c r="A221" t="s">
        <v>1</v>
      </c>
      <c r="B221" t="s">
        <v>54</v>
      </c>
      <c r="C221">
        <v>2004</v>
      </c>
      <c r="D221">
        <v>0</v>
      </c>
      <c r="E221">
        <v>258</v>
      </c>
      <c r="F221">
        <v>3014</v>
      </c>
      <c r="G221">
        <v>2066</v>
      </c>
      <c r="H221">
        <v>1712</v>
      </c>
      <c r="I221">
        <v>796</v>
      </c>
      <c r="J221">
        <v>504</v>
      </c>
      <c r="K221">
        <v>89</v>
      </c>
      <c r="L221">
        <v>8439</v>
      </c>
    </row>
    <row r="222" spans="1:12" x14ac:dyDescent="0.25">
      <c r="A222" t="s">
        <v>1</v>
      </c>
      <c r="B222" t="s">
        <v>54</v>
      </c>
      <c r="C222">
        <v>2005</v>
      </c>
      <c r="D222">
        <v>0</v>
      </c>
      <c r="E222">
        <v>238</v>
      </c>
      <c r="F222">
        <v>3181</v>
      </c>
      <c r="G222">
        <v>2247</v>
      </c>
      <c r="H222">
        <v>1789</v>
      </c>
      <c r="I222">
        <v>790</v>
      </c>
      <c r="J222">
        <v>557</v>
      </c>
      <c r="K222">
        <v>97</v>
      </c>
      <c r="L222">
        <v>8899</v>
      </c>
    </row>
    <row r="223" spans="1:12" x14ac:dyDescent="0.25">
      <c r="A223" t="s">
        <v>1</v>
      </c>
      <c r="B223" t="s">
        <v>54</v>
      </c>
      <c r="C223">
        <v>2006</v>
      </c>
      <c r="D223">
        <v>0</v>
      </c>
      <c r="E223">
        <v>270</v>
      </c>
      <c r="F223">
        <v>3412</v>
      </c>
      <c r="G223">
        <v>2398</v>
      </c>
      <c r="H223">
        <v>1834</v>
      </c>
      <c r="I223">
        <v>825</v>
      </c>
      <c r="J223">
        <v>593</v>
      </c>
      <c r="K223">
        <v>106</v>
      </c>
      <c r="L223">
        <v>9438</v>
      </c>
    </row>
    <row r="224" spans="1:12" x14ac:dyDescent="0.25">
      <c r="A224" t="s">
        <v>1</v>
      </c>
      <c r="B224" t="s">
        <v>54</v>
      </c>
      <c r="C224">
        <v>2007</v>
      </c>
      <c r="D224">
        <v>0</v>
      </c>
      <c r="E224">
        <v>314</v>
      </c>
      <c r="F224">
        <v>3566</v>
      </c>
      <c r="G224">
        <v>2583</v>
      </c>
      <c r="H224">
        <v>1889</v>
      </c>
      <c r="I224">
        <v>833</v>
      </c>
      <c r="J224">
        <v>622</v>
      </c>
      <c r="K224">
        <v>138</v>
      </c>
      <c r="L224">
        <v>9945</v>
      </c>
    </row>
    <row r="225" spans="1:12" x14ac:dyDescent="0.25">
      <c r="A225" t="s">
        <v>1</v>
      </c>
      <c r="B225" t="s">
        <v>54</v>
      </c>
      <c r="C225">
        <v>2008</v>
      </c>
      <c r="D225">
        <v>0</v>
      </c>
      <c r="E225">
        <v>273</v>
      </c>
      <c r="F225">
        <v>3555</v>
      </c>
      <c r="G225">
        <v>2822</v>
      </c>
      <c r="H225">
        <v>1950</v>
      </c>
      <c r="I225">
        <v>865</v>
      </c>
      <c r="J225">
        <v>673</v>
      </c>
      <c r="K225">
        <v>159</v>
      </c>
      <c r="L225">
        <v>10297</v>
      </c>
    </row>
    <row r="226" spans="1:12" x14ac:dyDescent="0.25">
      <c r="A226" t="s">
        <v>1</v>
      </c>
      <c r="B226" t="s">
        <v>54</v>
      </c>
      <c r="C226">
        <v>2009</v>
      </c>
      <c r="D226">
        <v>0</v>
      </c>
      <c r="E226">
        <v>288</v>
      </c>
      <c r="F226">
        <v>3567</v>
      </c>
      <c r="G226">
        <v>3002</v>
      </c>
      <c r="H226">
        <v>2037</v>
      </c>
      <c r="I226">
        <v>830</v>
      </c>
      <c r="J226">
        <v>704</v>
      </c>
      <c r="K226">
        <v>201</v>
      </c>
      <c r="L226">
        <v>10629</v>
      </c>
    </row>
    <row r="227" spans="1:12" x14ac:dyDescent="0.25">
      <c r="A227" t="s">
        <v>1</v>
      </c>
      <c r="B227" t="s">
        <v>54</v>
      </c>
      <c r="C227">
        <v>2010</v>
      </c>
      <c r="D227">
        <v>0</v>
      </c>
      <c r="E227">
        <v>308</v>
      </c>
      <c r="F227">
        <v>3748</v>
      </c>
      <c r="G227">
        <v>3222</v>
      </c>
      <c r="H227">
        <v>2153</v>
      </c>
      <c r="I227">
        <v>846</v>
      </c>
      <c r="J227">
        <v>724</v>
      </c>
      <c r="K227">
        <v>222</v>
      </c>
      <c r="L227">
        <v>11223</v>
      </c>
    </row>
    <row r="228" spans="1:12" x14ac:dyDescent="0.25">
      <c r="A228" t="s">
        <v>1</v>
      </c>
      <c r="B228" t="s">
        <v>54</v>
      </c>
      <c r="C228">
        <v>2011</v>
      </c>
      <c r="D228">
        <v>0</v>
      </c>
      <c r="E228">
        <v>336</v>
      </c>
      <c r="F228">
        <v>3729</v>
      </c>
      <c r="G228">
        <v>3452</v>
      </c>
      <c r="H228">
        <v>2263</v>
      </c>
      <c r="I228">
        <v>856</v>
      </c>
      <c r="J228">
        <v>741</v>
      </c>
      <c r="K228">
        <v>257</v>
      </c>
      <c r="L228">
        <v>11634</v>
      </c>
    </row>
    <row r="229" spans="1:12" x14ac:dyDescent="0.25">
      <c r="A229" t="s">
        <v>1</v>
      </c>
      <c r="B229" t="s">
        <v>54</v>
      </c>
      <c r="C229">
        <v>2012</v>
      </c>
      <c r="D229">
        <v>0</v>
      </c>
      <c r="E229">
        <v>405</v>
      </c>
      <c r="F229">
        <v>3778</v>
      </c>
      <c r="G229">
        <v>3625</v>
      </c>
      <c r="H229">
        <v>2354</v>
      </c>
      <c r="I229">
        <v>870</v>
      </c>
      <c r="J229">
        <v>754</v>
      </c>
      <c r="K229">
        <v>280</v>
      </c>
      <c r="L229">
        <v>12066</v>
      </c>
    </row>
    <row r="230" spans="1:12" x14ac:dyDescent="0.25">
      <c r="A230" t="s">
        <v>1</v>
      </c>
      <c r="B230" t="s">
        <v>54</v>
      </c>
      <c r="C230">
        <v>2013</v>
      </c>
      <c r="D230">
        <v>0</v>
      </c>
      <c r="E230">
        <v>453</v>
      </c>
      <c r="F230">
        <v>3845</v>
      </c>
      <c r="G230">
        <v>3831</v>
      </c>
      <c r="H230">
        <v>2448</v>
      </c>
      <c r="I230">
        <v>894</v>
      </c>
      <c r="J230">
        <v>766</v>
      </c>
      <c r="K230">
        <v>330</v>
      </c>
      <c r="L230">
        <v>12567</v>
      </c>
    </row>
    <row r="231" spans="1:12" x14ac:dyDescent="0.25">
      <c r="A231" t="s">
        <v>1</v>
      </c>
      <c r="B231" t="s">
        <v>54</v>
      </c>
      <c r="C231">
        <v>2014</v>
      </c>
      <c r="D231">
        <v>0</v>
      </c>
      <c r="E231">
        <v>469</v>
      </c>
      <c r="F231">
        <v>3901</v>
      </c>
      <c r="G231">
        <v>4045</v>
      </c>
      <c r="H231">
        <v>2591</v>
      </c>
      <c r="I231">
        <v>925</v>
      </c>
      <c r="J231">
        <v>730</v>
      </c>
      <c r="K231">
        <v>388</v>
      </c>
      <c r="L231">
        <v>13049</v>
      </c>
    </row>
    <row r="232" spans="1:12" x14ac:dyDescent="0.25">
      <c r="A232" t="s">
        <v>1</v>
      </c>
      <c r="B232" t="s">
        <v>54</v>
      </c>
      <c r="C232">
        <v>2015</v>
      </c>
      <c r="D232">
        <v>0</v>
      </c>
      <c r="E232">
        <v>487</v>
      </c>
      <c r="F232">
        <v>4049</v>
      </c>
      <c r="G232">
        <v>4221</v>
      </c>
      <c r="H232">
        <v>2739</v>
      </c>
      <c r="I232">
        <v>970</v>
      </c>
      <c r="J232">
        <v>746</v>
      </c>
      <c r="K232">
        <v>394</v>
      </c>
      <c r="L232">
        <v>13606</v>
      </c>
    </row>
    <row r="233" spans="1:12" x14ac:dyDescent="0.25">
      <c r="A233" t="s">
        <v>1</v>
      </c>
      <c r="B233" t="s">
        <v>54</v>
      </c>
      <c r="C233">
        <v>2016</v>
      </c>
      <c r="D233">
        <v>0</v>
      </c>
      <c r="E233">
        <v>559</v>
      </c>
      <c r="F233">
        <v>4247</v>
      </c>
      <c r="G233">
        <v>4365</v>
      </c>
      <c r="H233">
        <v>2914</v>
      </c>
      <c r="I233">
        <v>1006</v>
      </c>
      <c r="J233">
        <v>773</v>
      </c>
      <c r="K233">
        <v>407</v>
      </c>
      <c r="L233">
        <v>14271</v>
      </c>
    </row>
    <row r="234" spans="1:12" x14ac:dyDescent="0.25">
      <c r="A234" t="s">
        <v>1</v>
      </c>
      <c r="B234" t="s">
        <v>54</v>
      </c>
      <c r="C234">
        <v>2017</v>
      </c>
      <c r="D234">
        <v>0</v>
      </c>
      <c r="E234">
        <v>532</v>
      </c>
      <c r="F234">
        <v>4408</v>
      </c>
      <c r="G234">
        <v>4468</v>
      </c>
      <c r="H234">
        <v>3085</v>
      </c>
      <c r="I234">
        <v>1040</v>
      </c>
      <c r="J234">
        <v>776</v>
      </c>
      <c r="K234">
        <v>444</v>
      </c>
      <c r="L234">
        <v>14753</v>
      </c>
    </row>
    <row r="235" spans="1:12" x14ac:dyDescent="0.25">
      <c r="A235" t="s">
        <v>1</v>
      </c>
      <c r="B235" t="s">
        <v>54</v>
      </c>
      <c r="C235">
        <v>2018</v>
      </c>
      <c r="D235">
        <v>0</v>
      </c>
      <c r="E235">
        <v>510</v>
      </c>
      <c r="F235">
        <v>4580</v>
      </c>
      <c r="G235">
        <v>4565</v>
      </c>
      <c r="H235">
        <v>3304</v>
      </c>
      <c r="I235">
        <v>1065</v>
      </c>
      <c r="J235">
        <v>807</v>
      </c>
      <c r="K235">
        <v>457</v>
      </c>
      <c r="L235">
        <v>15288</v>
      </c>
    </row>
    <row r="236" spans="1:12" x14ac:dyDescent="0.25">
      <c r="A236" t="s">
        <v>1</v>
      </c>
      <c r="B236" t="s">
        <v>54</v>
      </c>
      <c r="C236">
        <v>2019</v>
      </c>
      <c r="D236">
        <v>0</v>
      </c>
      <c r="E236">
        <v>521</v>
      </c>
      <c r="F236">
        <v>4878</v>
      </c>
      <c r="G236">
        <v>4607</v>
      </c>
      <c r="H236">
        <v>3493</v>
      </c>
      <c r="I236">
        <v>1127</v>
      </c>
      <c r="J236">
        <v>820</v>
      </c>
      <c r="K236">
        <v>521</v>
      </c>
      <c r="L236">
        <v>15967</v>
      </c>
    </row>
    <row r="237" spans="1:12" x14ac:dyDescent="0.25">
      <c r="A237" t="s">
        <v>1</v>
      </c>
      <c r="B237" t="s">
        <v>54</v>
      </c>
      <c r="C237">
        <v>2020</v>
      </c>
      <c r="D237">
        <v>0</v>
      </c>
      <c r="E237">
        <v>447</v>
      </c>
      <c r="F237">
        <v>4994</v>
      </c>
      <c r="G237">
        <v>4692</v>
      </c>
      <c r="H237">
        <v>3653</v>
      </c>
      <c r="I237">
        <v>1189</v>
      </c>
      <c r="J237">
        <v>844</v>
      </c>
      <c r="K237">
        <v>458</v>
      </c>
      <c r="L237">
        <v>16277</v>
      </c>
    </row>
    <row r="238" spans="1:12" x14ac:dyDescent="0.25">
      <c r="A238" t="s">
        <v>1</v>
      </c>
      <c r="B238" t="s">
        <v>54</v>
      </c>
      <c r="C238">
        <v>2021</v>
      </c>
      <c r="D238">
        <v>0</v>
      </c>
      <c r="E238">
        <v>481</v>
      </c>
      <c r="F238">
        <v>5021</v>
      </c>
      <c r="G238">
        <v>4727</v>
      </c>
      <c r="H238">
        <v>3874</v>
      </c>
      <c r="I238">
        <v>1266</v>
      </c>
      <c r="J238">
        <v>881</v>
      </c>
      <c r="K238">
        <v>515</v>
      </c>
      <c r="L238">
        <v>16765</v>
      </c>
    </row>
    <row r="239" spans="1:12" x14ac:dyDescent="0.25">
      <c r="A239" t="s">
        <v>1</v>
      </c>
      <c r="B239" t="s">
        <v>54</v>
      </c>
      <c r="C239">
        <v>2022</v>
      </c>
      <c r="D239">
        <v>0</v>
      </c>
      <c r="E239">
        <v>504</v>
      </c>
      <c r="F239">
        <v>5004</v>
      </c>
      <c r="G239">
        <v>4827</v>
      </c>
      <c r="H239">
        <v>4055</v>
      </c>
      <c r="I239">
        <v>1369</v>
      </c>
      <c r="J239">
        <v>911</v>
      </c>
      <c r="K239">
        <v>562</v>
      </c>
      <c r="L239">
        <v>17232</v>
      </c>
    </row>
    <row r="240" spans="1:12" x14ac:dyDescent="0.25">
      <c r="A240" t="s">
        <v>1</v>
      </c>
      <c r="B240" t="s">
        <v>54</v>
      </c>
      <c r="C240">
        <v>2023</v>
      </c>
      <c r="D240">
        <v>0</v>
      </c>
      <c r="E240">
        <v>543</v>
      </c>
      <c r="F240">
        <v>4997</v>
      </c>
      <c r="G240">
        <v>4928</v>
      </c>
      <c r="H240">
        <v>4206</v>
      </c>
      <c r="I240">
        <v>1420</v>
      </c>
      <c r="J240">
        <v>954</v>
      </c>
      <c r="K240">
        <v>585</v>
      </c>
      <c r="L240">
        <v>17633</v>
      </c>
    </row>
    <row r="241" spans="1:12" x14ac:dyDescent="0.25">
      <c r="A241" t="s">
        <v>1</v>
      </c>
      <c r="B241" t="s">
        <v>54</v>
      </c>
      <c r="C241">
        <v>2024</v>
      </c>
      <c r="D241">
        <v>0</v>
      </c>
      <c r="E241">
        <v>567</v>
      </c>
      <c r="F241">
        <v>4859</v>
      </c>
      <c r="G241">
        <v>4961</v>
      </c>
      <c r="H241">
        <v>4418</v>
      </c>
      <c r="I241">
        <v>1473</v>
      </c>
      <c r="J241">
        <v>1002</v>
      </c>
      <c r="K241">
        <v>599</v>
      </c>
      <c r="L241">
        <v>17879</v>
      </c>
    </row>
    <row r="242" spans="1:12" x14ac:dyDescent="0.25">
      <c r="A242" t="s">
        <v>1</v>
      </c>
      <c r="B242" t="s">
        <v>55</v>
      </c>
      <c r="C242">
        <v>2001</v>
      </c>
      <c r="D242">
        <v>13</v>
      </c>
      <c r="E242">
        <v>9</v>
      </c>
      <c r="F242">
        <v>22</v>
      </c>
      <c r="G242">
        <v>9</v>
      </c>
      <c r="H242">
        <v>4</v>
      </c>
      <c r="I242">
        <v>1</v>
      </c>
      <c r="J242">
        <v>1</v>
      </c>
      <c r="K242">
        <v>11</v>
      </c>
      <c r="L242">
        <v>70</v>
      </c>
    </row>
    <row r="243" spans="1:12" x14ac:dyDescent="0.25">
      <c r="A243" t="s">
        <v>1</v>
      </c>
      <c r="B243" t="s">
        <v>55</v>
      </c>
      <c r="C243">
        <v>2002</v>
      </c>
      <c r="D243">
        <v>7</v>
      </c>
      <c r="E243">
        <v>6</v>
      </c>
      <c r="F243">
        <v>12</v>
      </c>
      <c r="G243">
        <v>4</v>
      </c>
      <c r="H243">
        <v>2</v>
      </c>
      <c r="I243">
        <v>1</v>
      </c>
      <c r="J243">
        <v>1</v>
      </c>
      <c r="K243">
        <v>12</v>
      </c>
      <c r="L243">
        <v>45</v>
      </c>
    </row>
    <row r="244" spans="1:12" x14ac:dyDescent="0.25">
      <c r="A244" t="s">
        <v>1</v>
      </c>
      <c r="B244" t="s">
        <v>55</v>
      </c>
      <c r="C244">
        <v>2003</v>
      </c>
      <c r="D244">
        <v>9</v>
      </c>
      <c r="E244">
        <v>7</v>
      </c>
      <c r="F244">
        <v>14</v>
      </c>
      <c r="G244">
        <v>7</v>
      </c>
      <c r="H244">
        <v>4</v>
      </c>
      <c r="I244">
        <v>0</v>
      </c>
      <c r="J244">
        <v>1</v>
      </c>
      <c r="K244">
        <v>11</v>
      </c>
      <c r="L244">
        <v>53</v>
      </c>
    </row>
    <row r="245" spans="1:12" x14ac:dyDescent="0.25">
      <c r="A245" t="s">
        <v>1</v>
      </c>
      <c r="B245" t="s">
        <v>55</v>
      </c>
      <c r="C245">
        <v>2004</v>
      </c>
      <c r="D245">
        <v>6</v>
      </c>
      <c r="E245">
        <v>4</v>
      </c>
      <c r="F245">
        <v>13</v>
      </c>
      <c r="G245">
        <v>7</v>
      </c>
      <c r="H245">
        <v>6</v>
      </c>
      <c r="I245">
        <v>0</v>
      </c>
      <c r="J245">
        <v>2</v>
      </c>
      <c r="K245">
        <v>20</v>
      </c>
      <c r="L245">
        <v>58</v>
      </c>
    </row>
    <row r="246" spans="1:12" x14ac:dyDescent="0.25">
      <c r="A246" t="s">
        <v>1</v>
      </c>
      <c r="B246" t="s">
        <v>55</v>
      </c>
      <c r="C246">
        <v>2005</v>
      </c>
      <c r="D246">
        <v>3</v>
      </c>
      <c r="E246">
        <v>8</v>
      </c>
      <c r="F246">
        <v>13</v>
      </c>
      <c r="G246">
        <v>5</v>
      </c>
      <c r="H246">
        <v>6</v>
      </c>
      <c r="I246">
        <v>0</v>
      </c>
      <c r="J246">
        <v>0</v>
      </c>
      <c r="K246">
        <v>17</v>
      </c>
      <c r="L246">
        <v>52</v>
      </c>
    </row>
    <row r="247" spans="1:12" x14ac:dyDescent="0.25">
      <c r="A247" t="s">
        <v>1</v>
      </c>
      <c r="B247" t="s">
        <v>55</v>
      </c>
      <c r="C247">
        <v>2006</v>
      </c>
      <c r="D247">
        <v>3</v>
      </c>
      <c r="E247">
        <v>9</v>
      </c>
      <c r="F247">
        <v>11</v>
      </c>
      <c r="G247">
        <v>10</v>
      </c>
      <c r="H247">
        <v>8</v>
      </c>
      <c r="I247">
        <v>0</v>
      </c>
      <c r="J247">
        <v>0</v>
      </c>
      <c r="K247">
        <v>23</v>
      </c>
      <c r="L247">
        <v>64</v>
      </c>
    </row>
    <row r="248" spans="1:12" x14ac:dyDescent="0.25">
      <c r="A248" t="s">
        <v>1</v>
      </c>
      <c r="B248" t="s">
        <v>55</v>
      </c>
      <c r="C248">
        <v>2007</v>
      </c>
      <c r="D248">
        <v>2</v>
      </c>
      <c r="E248">
        <v>3</v>
      </c>
      <c r="F248">
        <v>12</v>
      </c>
      <c r="G248">
        <v>9</v>
      </c>
      <c r="H248">
        <v>5</v>
      </c>
      <c r="I248">
        <v>1</v>
      </c>
      <c r="J248">
        <v>1</v>
      </c>
      <c r="K248">
        <v>23</v>
      </c>
      <c r="L248">
        <v>56</v>
      </c>
    </row>
    <row r="249" spans="1:12" x14ac:dyDescent="0.25">
      <c r="A249" t="s">
        <v>1</v>
      </c>
      <c r="B249" t="s">
        <v>55</v>
      </c>
      <c r="C249">
        <v>2008</v>
      </c>
      <c r="D249">
        <v>2</v>
      </c>
      <c r="E249">
        <v>8</v>
      </c>
      <c r="F249">
        <v>16</v>
      </c>
      <c r="G249">
        <v>9</v>
      </c>
      <c r="H249">
        <v>6</v>
      </c>
      <c r="I249">
        <v>1</v>
      </c>
      <c r="J249">
        <v>2</v>
      </c>
      <c r="K249">
        <v>1</v>
      </c>
      <c r="L249">
        <v>45</v>
      </c>
    </row>
    <row r="250" spans="1:12" x14ac:dyDescent="0.25">
      <c r="A250" t="s">
        <v>1</v>
      </c>
      <c r="B250" t="s">
        <v>55</v>
      </c>
      <c r="C250">
        <v>2009</v>
      </c>
      <c r="D250">
        <v>3</v>
      </c>
      <c r="E250">
        <v>14</v>
      </c>
      <c r="F250">
        <v>17</v>
      </c>
      <c r="G250">
        <v>9</v>
      </c>
      <c r="H250">
        <v>6</v>
      </c>
      <c r="I250">
        <v>1</v>
      </c>
      <c r="J250">
        <v>1</v>
      </c>
      <c r="K250">
        <v>1</v>
      </c>
      <c r="L250">
        <v>52</v>
      </c>
    </row>
    <row r="251" spans="1:12" x14ac:dyDescent="0.25">
      <c r="A251" t="s">
        <v>1</v>
      </c>
      <c r="B251" t="s">
        <v>55</v>
      </c>
      <c r="C251">
        <v>2010</v>
      </c>
      <c r="D251">
        <v>3</v>
      </c>
      <c r="E251">
        <v>16</v>
      </c>
      <c r="F251">
        <v>36</v>
      </c>
      <c r="G251">
        <v>8</v>
      </c>
      <c r="H251">
        <v>5</v>
      </c>
      <c r="I251">
        <v>2</v>
      </c>
      <c r="J251">
        <v>0</v>
      </c>
      <c r="K251">
        <v>20</v>
      </c>
      <c r="L251">
        <v>90</v>
      </c>
    </row>
    <row r="252" spans="1:12" x14ac:dyDescent="0.25">
      <c r="A252" t="s">
        <v>1</v>
      </c>
      <c r="B252" t="s">
        <v>55</v>
      </c>
      <c r="C252">
        <v>2011</v>
      </c>
      <c r="D252">
        <v>4</v>
      </c>
      <c r="E252">
        <v>8</v>
      </c>
      <c r="F252">
        <v>37</v>
      </c>
      <c r="G252">
        <v>8</v>
      </c>
      <c r="H252">
        <v>7</v>
      </c>
      <c r="I252">
        <v>4</v>
      </c>
      <c r="J252">
        <v>1</v>
      </c>
      <c r="K252">
        <v>3</v>
      </c>
      <c r="L252">
        <v>72</v>
      </c>
    </row>
    <row r="253" spans="1:12" x14ac:dyDescent="0.25">
      <c r="A253" t="s">
        <v>1</v>
      </c>
      <c r="B253" t="s">
        <v>55</v>
      </c>
      <c r="C253">
        <v>2012</v>
      </c>
      <c r="D253">
        <v>3</v>
      </c>
      <c r="E253">
        <v>17</v>
      </c>
      <c r="F253">
        <v>42</v>
      </c>
      <c r="G253">
        <v>9</v>
      </c>
      <c r="H253">
        <v>7</v>
      </c>
      <c r="I253">
        <v>4</v>
      </c>
      <c r="J253">
        <v>1</v>
      </c>
      <c r="K253">
        <v>2</v>
      </c>
      <c r="L253">
        <v>85</v>
      </c>
    </row>
    <row r="254" spans="1:12" x14ac:dyDescent="0.25">
      <c r="A254" t="s">
        <v>1</v>
      </c>
      <c r="B254" t="s">
        <v>55</v>
      </c>
      <c r="C254">
        <v>2013</v>
      </c>
      <c r="D254">
        <v>3</v>
      </c>
      <c r="E254">
        <v>14</v>
      </c>
      <c r="F254">
        <v>42</v>
      </c>
      <c r="G254">
        <v>15</v>
      </c>
      <c r="H254">
        <v>10</v>
      </c>
      <c r="I254">
        <v>2</v>
      </c>
      <c r="J254">
        <v>1</v>
      </c>
      <c r="K254">
        <v>2</v>
      </c>
      <c r="L254">
        <v>89</v>
      </c>
    </row>
    <row r="255" spans="1:12" x14ac:dyDescent="0.25">
      <c r="A255" t="s">
        <v>1</v>
      </c>
      <c r="B255" t="s">
        <v>55</v>
      </c>
      <c r="C255">
        <v>2014</v>
      </c>
      <c r="D255">
        <v>2</v>
      </c>
      <c r="E255">
        <v>13</v>
      </c>
      <c r="F255">
        <v>47</v>
      </c>
      <c r="G255">
        <v>13</v>
      </c>
      <c r="H255">
        <v>12</v>
      </c>
      <c r="I255">
        <v>4</v>
      </c>
      <c r="J255">
        <v>3</v>
      </c>
      <c r="K255">
        <v>1</v>
      </c>
      <c r="L255">
        <v>95</v>
      </c>
    </row>
    <row r="256" spans="1:12" x14ac:dyDescent="0.25">
      <c r="A256" t="s">
        <v>1</v>
      </c>
      <c r="B256" t="s">
        <v>55</v>
      </c>
      <c r="C256">
        <v>2015</v>
      </c>
      <c r="D256">
        <v>9</v>
      </c>
      <c r="E256">
        <v>18</v>
      </c>
      <c r="F256">
        <v>51</v>
      </c>
      <c r="G256">
        <v>18</v>
      </c>
      <c r="H256">
        <v>9</v>
      </c>
      <c r="I256">
        <v>4</v>
      </c>
      <c r="J256">
        <v>2</v>
      </c>
      <c r="K256">
        <v>0</v>
      </c>
      <c r="L256">
        <v>111</v>
      </c>
    </row>
    <row r="257" spans="1:12" x14ac:dyDescent="0.25">
      <c r="A257" t="s">
        <v>1</v>
      </c>
      <c r="B257" t="s">
        <v>55</v>
      </c>
      <c r="C257">
        <v>2016</v>
      </c>
      <c r="D257">
        <v>7</v>
      </c>
      <c r="E257">
        <v>25</v>
      </c>
      <c r="F257">
        <v>65</v>
      </c>
      <c r="G257">
        <v>24</v>
      </c>
      <c r="H257">
        <v>11</v>
      </c>
      <c r="I257">
        <v>4</v>
      </c>
      <c r="J257">
        <v>2</v>
      </c>
      <c r="K257">
        <v>2</v>
      </c>
      <c r="L257">
        <v>140</v>
      </c>
    </row>
    <row r="258" spans="1:12" x14ac:dyDescent="0.25">
      <c r="A258" t="s">
        <v>1</v>
      </c>
      <c r="B258" t="s">
        <v>55</v>
      </c>
      <c r="C258">
        <v>2017</v>
      </c>
      <c r="D258">
        <v>11</v>
      </c>
      <c r="E258">
        <v>28</v>
      </c>
      <c r="F258">
        <v>64</v>
      </c>
      <c r="G258">
        <v>27</v>
      </c>
      <c r="H258">
        <v>12</v>
      </c>
      <c r="I258">
        <v>2</v>
      </c>
      <c r="J258">
        <v>2</v>
      </c>
      <c r="K258">
        <v>2</v>
      </c>
      <c r="L258">
        <v>148</v>
      </c>
    </row>
    <row r="259" spans="1:12" x14ac:dyDescent="0.25">
      <c r="A259" t="s">
        <v>1</v>
      </c>
      <c r="B259" t="s">
        <v>55</v>
      </c>
      <c r="C259">
        <v>2018</v>
      </c>
      <c r="D259">
        <v>6</v>
      </c>
      <c r="E259">
        <v>23</v>
      </c>
      <c r="F259">
        <v>85</v>
      </c>
      <c r="G259">
        <v>35</v>
      </c>
      <c r="H259">
        <v>14</v>
      </c>
      <c r="I259">
        <v>4</v>
      </c>
      <c r="J259">
        <v>3</v>
      </c>
      <c r="K259">
        <v>2</v>
      </c>
      <c r="L259">
        <v>172</v>
      </c>
    </row>
    <row r="260" spans="1:12" x14ac:dyDescent="0.25">
      <c r="A260" t="s">
        <v>1</v>
      </c>
      <c r="B260" t="s">
        <v>55</v>
      </c>
      <c r="C260">
        <v>2019</v>
      </c>
      <c r="D260">
        <v>12</v>
      </c>
      <c r="E260">
        <v>42</v>
      </c>
      <c r="F260">
        <v>99</v>
      </c>
      <c r="G260">
        <v>34</v>
      </c>
      <c r="H260">
        <v>17</v>
      </c>
      <c r="I260">
        <v>4</v>
      </c>
      <c r="J260">
        <v>5</v>
      </c>
      <c r="K260">
        <v>3</v>
      </c>
      <c r="L260">
        <v>216</v>
      </c>
    </row>
    <row r="261" spans="1:12" x14ac:dyDescent="0.25">
      <c r="A261" t="s">
        <v>1</v>
      </c>
      <c r="B261" t="s">
        <v>55</v>
      </c>
      <c r="C261">
        <v>2020</v>
      </c>
      <c r="D261">
        <v>11</v>
      </c>
      <c r="E261">
        <v>48</v>
      </c>
      <c r="F261">
        <v>89</v>
      </c>
      <c r="G261">
        <v>41</v>
      </c>
      <c r="H261">
        <v>25</v>
      </c>
      <c r="I261">
        <v>5</v>
      </c>
      <c r="J261">
        <v>5</v>
      </c>
      <c r="K261">
        <v>3</v>
      </c>
      <c r="L261">
        <v>227</v>
      </c>
    </row>
    <row r="262" spans="1:12" x14ac:dyDescent="0.25">
      <c r="A262" t="s">
        <v>1</v>
      </c>
      <c r="B262" t="s">
        <v>55</v>
      </c>
      <c r="C262">
        <v>2021</v>
      </c>
      <c r="D262">
        <v>12</v>
      </c>
      <c r="E262">
        <v>51</v>
      </c>
      <c r="F262">
        <v>92</v>
      </c>
      <c r="G262">
        <v>49</v>
      </c>
      <c r="H262">
        <v>31</v>
      </c>
      <c r="I262">
        <v>7</v>
      </c>
      <c r="J262">
        <v>3</v>
      </c>
      <c r="K262">
        <v>5</v>
      </c>
      <c r="L262">
        <v>250</v>
      </c>
    </row>
    <row r="263" spans="1:12" x14ac:dyDescent="0.25">
      <c r="A263" t="s">
        <v>1</v>
      </c>
      <c r="B263" t="s">
        <v>55</v>
      </c>
      <c r="C263">
        <v>2022</v>
      </c>
      <c r="D263">
        <v>18</v>
      </c>
      <c r="E263">
        <v>38</v>
      </c>
      <c r="F263">
        <v>104</v>
      </c>
      <c r="G263">
        <v>48</v>
      </c>
      <c r="H263">
        <v>25</v>
      </c>
      <c r="I263">
        <v>9</v>
      </c>
      <c r="J263">
        <v>4</v>
      </c>
      <c r="K263">
        <v>5</v>
      </c>
      <c r="L263">
        <v>251</v>
      </c>
    </row>
    <row r="264" spans="1:12" x14ac:dyDescent="0.25">
      <c r="A264" t="s">
        <v>1</v>
      </c>
      <c r="B264" t="s">
        <v>55</v>
      </c>
      <c r="C264">
        <v>2023</v>
      </c>
      <c r="D264">
        <v>8</v>
      </c>
      <c r="E264">
        <v>46</v>
      </c>
      <c r="F264">
        <v>125</v>
      </c>
      <c r="G264">
        <v>73</v>
      </c>
      <c r="H264">
        <v>30</v>
      </c>
      <c r="I264">
        <v>8</v>
      </c>
      <c r="J264">
        <v>5</v>
      </c>
      <c r="K264">
        <v>2</v>
      </c>
      <c r="L264">
        <v>297</v>
      </c>
    </row>
    <row r="265" spans="1:12" x14ac:dyDescent="0.25">
      <c r="A265" t="s">
        <v>1</v>
      </c>
      <c r="B265" t="s">
        <v>55</v>
      </c>
      <c r="C265">
        <v>2024</v>
      </c>
      <c r="D265">
        <v>17</v>
      </c>
      <c r="E265">
        <v>28</v>
      </c>
      <c r="F265">
        <v>116</v>
      </c>
      <c r="G265">
        <v>77</v>
      </c>
      <c r="H265">
        <v>34</v>
      </c>
      <c r="I265">
        <v>10</v>
      </c>
      <c r="J265">
        <v>3</v>
      </c>
      <c r="K265">
        <v>3</v>
      </c>
      <c r="L265">
        <v>288</v>
      </c>
    </row>
    <row r="266" spans="1:12" x14ac:dyDescent="0.25">
      <c r="A266" t="s">
        <v>1</v>
      </c>
      <c r="B266" t="s">
        <v>2</v>
      </c>
      <c r="C266">
        <v>2001</v>
      </c>
      <c r="D266">
        <v>591</v>
      </c>
      <c r="E266">
        <v>2551</v>
      </c>
      <c r="F266">
        <v>6967</v>
      </c>
      <c r="G266">
        <v>7147</v>
      </c>
      <c r="H266">
        <v>6913</v>
      </c>
      <c r="I266">
        <v>3172</v>
      </c>
      <c r="J266">
        <v>1638</v>
      </c>
      <c r="K266">
        <v>216</v>
      </c>
      <c r="L266">
        <v>29195</v>
      </c>
    </row>
    <row r="267" spans="1:12" x14ac:dyDescent="0.25">
      <c r="A267" t="s">
        <v>1</v>
      </c>
      <c r="B267" t="s">
        <v>2</v>
      </c>
      <c r="C267">
        <v>2002</v>
      </c>
      <c r="D267">
        <v>678</v>
      </c>
      <c r="E267">
        <v>2522</v>
      </c>
      <c r="F267">
        <v>6915</v>
      </c>
      <c r="G267">
        <v>7235</v>
      </c>
      <c r="H267">
        <v>6871</v>
      </c>
      <c r="I267">
        <v>3228</v>
      </c>
      <c r="J267">
        <v>1816</v>
      </c>
      <c r="K267">
        <v>287</v>
      </c>
      <c r="L267">
        <v>29552</v>
      </c>
    </row>
    <row r="268" spans="1:12" x14ac:dyDescent="0.25">
      <c r="A268" t="s">
        <v>1</v>
      </c>
      <c r="B268" t="s">
        <v>2</v>
      </c>
      <c r="C268">
        <v>2003</v>
      </c>
      <c r="D268">
        <v>598</v>
      </c>
      <c r="E268">
        <v>2344</v>
      </c>
      <c r="F268">
        <v>6749</v>
      </c>
      <c r="G268">
        <v>7166</v>
      </c>
      <c r="H268">
        <v>6752</v>
      </c>
      <c r="I268">
        <v>3263</v>
      </c>
      <c r="J268">
        <v>1963</v>
      </c>
      <c r="K268">
        <v>241</v>
      </c>
      <c r="L268">
        <v>29076</v>
      </c>
    </row>
    <row r="269" spans="1:12" x14ac:dyDescent="0.25">
      <c r="A269" t="s">
        <v>1</v>
      </c>
      <c r="B269" t="s">
        <v>2</v>
      </c>
      <c r="C269">
        <v>2004</v>
      </c>
      <c r="D269">
        <v>532</v>
      </c>
      <c r="E269">
        <v>2363</v>
      </c>
      <c r="F269">
        <v>6736</v>
      </c>
      <c r="G269">
        <v>7180</v>
      </c>
      <c r="H269">
        <v>6638</v>
      </c>
      <c r="I269">
        <v>3289</v>
      </c>
      <c r="J269">
        <v>2205</v>
      </c>
      <c r="K269">
        <v>345</v>
      </c>
      <c r="L269">
        <v>29288</v>
      </c>
    </row>
    <row r="270" spans="1:12" x14ac:dyDescent="0.25">
      <c r="A270" t="s">
        <v>1</v>
      </c>
      <c r="B270" t="s">
        <v>2</v>
      </c>
      <c r="C270">
        <v>2005</v>
      </c>
      <c r="D270">
        <v>521</v>
      </c>
      <c r="E270">
        <v>2318</v>
      </c>
      <c r="F270">
        <v>6671</v>
      </c>
      <c r="G270">
        <v>7294</v>
      </c>
      <c r="H270">
        <v>6660</v>
      </c>
      <c r="I270">
        <v>3200</v>
      </c>
      <c r="J270">
        <v>2313</v>
      </c>
      <c r="K270">
        <v>357</v>
      </c>
      <c r="L270">
        <v>29334</v>
      </c>
    </row>
    <row r="271" spans="1:12" x14ac:dyDescent="0.25">
      <c r="A271" t="s">
        <v>1</v>
      </c>
      <c r="B271" t="s">
        <v>2</v>
      </c>
      <c r="C271">
        <v>2006</v>
      </c>
      <c r="D271">
        <v>542</v>
      </c>
      <c r="E271">
        <v>2560</v>
      </c>
      <c r="F271">
        <v>6794</v>
      </c>
      <c r="G271">
        <v>7442</v>
      </c>
      <c r="H271">
        <v>6689</v>
      </c>
      <c r="I271">
        <v>3210</v>
      </c>
      <c r="J271">
        <v>2392</v>
      </c>
      <c r="K271">
        <v>395</v>
      </c>
      <c r="L271">
        <v>30024</v>
      </c>
    </row>
    <row r="272" spans="1:12" x14ac:dyDescent="0.25">
      <c r="A272" t="s">
        <v>1</v>
      </c>
      <c r="B272" t="s">
        <v>2</v>
      </c>
      <c r="C272">
        <v>2007</v>
      </c>
      <c r="D272">
        <v>568</v>
      </c>
      <c r="E272">
        <v>2762</v>
      </c>
      <c r="F272">
        <v>6847</v>
      </c>
      <c r="G272">
        <v>7536</v>
      </c>
      <c r="H272">
        <v>6818</v>
      </c>
      <c r="I272">
        <v>3201</v>
      </c>
      <c r="J272">
        <v>2497</v>
      </c>
      <c r="K272">
        <v>486</v>
      </c>
      <c r="L272">
        <v>30715</v>
      </c>
    </row>
    <row r="273" spans="1:12" x14ac:dyDescent="0.25">
      <c r="A273" t="s">
        <v>1</v>
      </c>
      <c r="B273" t="s">
        <v>2</v>
      </c>
      <c r="C273">
        <v>2008</v>
      </c>
      <c r="D273">
        <v>520</v>
      </c>
      <c r="E273">
        <v>2594</v>
      </c>
      <c r="F273">
        <v>6755</v>
      </c>
      <c r="G273">
        <v>7670</v>
      </c>
      <c r="H273">
        <v>6841</v>
      </c>
      <c r="I273">
        <v>3212</v>
      </c>
      <c r="J273">
        <v>2546</v>
      </c>
      <c r="K273">
        <v>527</v>
      </c>
      <c r="L273">
        <v>30665</v>
      </c>
    </row>
    <row r="274" spans="1:12" x14ac:dyDescent="0.25">
      <c r="A274" t="s">
        <v>1</v>
      </c>
      <c r="B274" t="s">
        <v>2</v>
      </c>
      <c r="C274">
        <v>2009</v>
      </c>
      <c r="D274">
        <v>533</v>
      </c>
      <c r="E274">
        <v>2474</v>
      </c>
      <c r="F274">
        <v>6548</v>
      </c>
      <c r="G274">
        <v>7555</v>
      </c>
      <c r="H274">
        <v>6928</v>
      </c>
      <c r="I274">
        <v>3044</v>
      </c>
      <c r="J274">
        <v>2609</v>
      </c>
      <c r="K274">
        <v>632</v>
      </c>
      <c r="L274">
        <v>30323</v>
      </c>
    </row>
    <row r="275" spans="1:12" x14ac:dyDescent="0.25">
      <c r="A275" t="s">
        <v>1</v>
      </c>
      <c r="B275" t="s">
        <v>2</v>
      </c>
      <c r="C275">
        <v>2010</v>
      </c>
      <c r="D275">
        <v>561</v>
      </c>
      <c r="E275">
        <v>2775</v>
      </c>
      <c r="F275">
        <v>6804</v>
      </c>
      <c r="G275">
        <v>7604</v>
      </c>
      <c r="H275">
        <v>7183</v>
      </c>
      <c r="I275">
        <v>3106</v>
      </c>
      <c r="J275">
        <v>2660</v>
      </c>
      <c r="K275">
        <v>674</v>
      </c>
      <c r="L275">
        <v>31367</v>
      </c>
    </row>
    <row r="276" spans="1:12" x14ac:dyDescent="0.25">
      <c r="A276" t="s">
        <v>1</v>
      </c>
      <c r="B276" t="s">
        <v>2</v>
      </c>
      <c r="C276">
        <v>2011</v>
      </c>
      <c r="D276">
        <v>543</v>
      </c>
      <c r="E276">
        <v>2734</v>
      </c>
      <c r="F276">
        <v>6816</v>
      </c>
      <c r="G276">
        <v>7574</v>
      </c>
      <c r="H276">
        <v>7386</v>
      </c>
      <c r="I276">
        <v>3150</v>
      </c>
      <c r="J276">
        <v>2630</v>
      </c>
      <c r="K276">
        <v>803</v>
      </c>
      <c r="L276">
        <v>31636</v>
      </c>
    </row>
    <row r="277" spans="1:12" x14ac:dyDescent="0.25">
      <c r="A277" t="s">
        <v>1</v>
      </c>
      <c r="B277" t="s">
        <v>2</v>
      </c>
      <c r="C277">
        <v>2012</v>
      </c>
      <c r="D277">
        <v>589</v>
      </c>
      <c r="E277">
        <v>2950</v>
      </c>
      <c r="F277">
        <v>6899</v>
      </c>
      <c r="G277">
        <v>7606</v>
      </c>
      <c r="H277">
        <v>7466</v>
      </c>
      <c r="I277">
        <v>3178</v>
      </c>
      <c r="J277">
        <v>2629</v>
      </c>
      <c r="K277">
        <v>863</v>
      </c>
      <c r="L277">
        <v>32180</v>
      </c>
    </row>
    <row r="278" spans="1:12" x14ac:dyDescent="0.25">
      <c r="A278" t="s">
        <v>1</v>
      </c>
      <c r="B278" t="s">
        <v>2</v>
      </c>
      <c r="C278">
        <v>2013</v>
      </c>
      <c r="D278">
        <v>622</v>
      </c>
      <c r="E278">
        <v>3225</v>
      </c>
      <c r="F278">
        <v>7037</v>
      </c>
      <c r="G278">
        <v>7684</v>
      </c>
      <c r="H278">
        <v>7549</v>
      </c>
      <c r="I278">
        <v>3195</v>
      </c>
      <c r="J278">
        <v>2664</v>
      </c>
      <c r="K278">
        <v>1000</v>
      </c>
      <c r="L278">
        <v>32976</v>
      </c>
    </row>
    <row r="279" spans="1:12" x14ac:dyDescent="0.25">
      <c r="A279" t="s">
        <v>1</v>
      </c>
      <c r="B279" t="s">
        <v>2</v>
      </c>
      <c r="C279">
        <v>2014</v>
      </c>
      <c r="D279">
        <v>544</v>
      </c>
      <c r="E279">
        <v>3188</v>
      </c>
      <c r="F279">
        <v>7226</v>
      </c>
      <c r="G279">
        <v>7777</v>
      </c>
      <c r="H279">
        <v>7730</v>
      </c>
      <c r="I279">
        <v>3242</v>
      </c>
      <c r="J279">
        <v>2628</v>
      </c>
      <c r="K279">
        <v>1053</v>
      </c>
      <c r="L279">
        <v>33388</v>
      </c>
    </row>
    <row r="280" spans="1:12" x14ac:dyDescent="0.25">
      <c r="A280" t="s">
        <v>1</v>
      </c>
      <c r="B280" t="s">
        <v>2</v>
      </c>
      <c r="C280">
        <v>2015</v>
      </c>
      <c r="D280">
        <v>617</v>
      </c>
      <c r="E280">
        <v>3375</v>
      </c>
      <c r="F280">
        <v>7608</v>
      </c>
      <c r="G280">
        <v>7804</v>
      </c>
      <c r="H280">
        <v>7872</v>
      </c>
      <c r="I280">
        <v>3300</v>
      </c>
      <c r="J280">
        <v>2625</v>
      </c>
      <c r="K280">
        <v>1088</v>
      </c>
      <c r="L280">
        <v>34289</v>
      </c>
    </row>
    <row r="281" spans="1:12" x14ac:dyDescent="0.25">
      <c r="A281" t="s">
        <v>1</v>
      </c>
      <c r="B281" t="s">
        <v>2</v>
      </c>
      <c r="C281">
        <v>2016</v>
      </c>
      <c r="D281">
        <v>728</v>
      </c>
      <c r="E281">
        <v>3566</v>
      </c>
      <c r="F281">
        <v>8095</v>
      </c>
      <c r="G281">
        <v>7865</v>
      </c>
      <c r="H281">
        <v>8099</v>
      </c>
      <c r="I281">
        <v>3300</v>
      </c>
      <c r="J281">
        <v>2671</v>
      </c>
      <c r="K281">
        <v>1096</v>
      </c>
      <c r="L281">
        <v>35420</v>
      </c>
    </row>
    <row r="282" spans="1:12" x14ac:dyDescent="0.25">
      <c r="A282" t="s">
        <v>1</v>
      </c>
      <c r="B282" t="s">
        <v>2</v>
      </c>
      <c r="C282">
        <v>2017</v>
      </c>
      <c r="D282">
        <v>775</v>
      </c>
      <c r="E282">
        <v>3565</v>
      </c>
      <c r="F282">
        <v>8382</v>
      </c>
      <c r="G282">
        <v>7934</v>
      </c>
      <c r="H282">
        <v>8138</v>
      </c>
      <c r="I282">
        <v>3361</v>
      </c>
      <c r="J282">
        <v>2676</v>
      </c>
      <c r="K282">
        <v>1200</v>
      </c>
      <c r="L282">
        <v>36031</v>
      </c>
    </row>
    <row r="283" spans="1:12" x14ac:dyDescent="0.25">
      <c r="A283" t="s">
        <v>1</v>
      </c>
      <c r="B283" t="s">
        <v>2</v>
      </c>
      <c r="C283">
        <v>2018</v>
      </c>
      <c r="D283">
        <v>788</v>
      </c>
      <c r="E283">
        <v>3302</v>
      </c>
      <c r="F283">
        <v>8770</v>
      </c>
      <c r="G283">
        <v>8009</v>
      </c>
      <c r="H283">
        <v>8290</v>
      </c>
      <c r="I283">
        <v>3421</v>
      </c>
      <c r="J283">
        <v>2752</v>
      </c>
      <c r="K283">
        <v>1286</v>
      </c>
      <c r="L283">
        <v>36618</v>
      </c>
    </row>
    <row r="284" spans="1:12" x14ac:dyDescent="0.25">
      <c r="A284" t="s">
        <v>1</v>
      </c>
      <c r="B284" t="s">
        <v>2</v>
      </c>
      <c r="C284">
        <v>2019</v>
      </c>
      <c r="D284">
        <v>1089</v>
      </c>
      <c r="E284">
        <v>3391</v>
      </c>
      <c r="F284">
        <v>9261</v>
      </c>
      <c r="G284">
        <v>8003</v>
      </c>
      <c r="H284">
        <v>8342</v>
      </c>
      <c r="I284">
        <v>3623</v>
      </c>
      <c r="J284">
        <v>2780</v>
      </c>
      <c r="K284">
        <v>1545</v>
      </c>
      <c r="L284">
        <v>38034</v>
      </c>
    </row>
    <row r="285" spans="1:12" x14ac:dyDescent="0.25">
      <c r="A285" t="s">
        <v>1</v>
      </c>
      <c r="B285" t="s">
        <v>2</v>
      </c>
      <c r="C285">
        <v>2020</v>
      </c>
      <c r="D285">
        <v>1014</v>
      </c>
      <c r="E285">
        <v>3200</v>
      </c>
      <c r="F285">
        <v>9272</v>
      </c>
      <c r="G285">
        <v>8045</v>
      </c>
      <c r="H285">
        <v>8252</v>
      </c>
      <c r="I285">
        <v>3744</v>
      </c>
      <c r="J285">
        <v>2794</v>
      </c>
      <c r="K285">
        <v>1358</v>
      </c>
      <c r="L285">
        <v>37679</v>
      </c>
    </row>
    <row r="286" spans="1:12" x14ac:dyDescent="0.25">
      <c r="A286" t="s">
        <v>1</v>
      </c>
      <c r="B286" t="s">
        <v>2</v>
      </c>
      <c r="C286">
        <v>2021</v>
      </c>
      <c r="D286">
        <v>1131</v>
      </c>
      <c r="E286">
        <v>3335</v>
      </c>
      <c r="F286">
        <v>9241</v>
      </c>
      <c r="G286">
        <v>8147</v>
      </c>
      <c r="H286">
        <v>8295</v>
      </c>
      <c r="I286">
        <v>3975</v>
      </c>
      <c r="J286">
        <v>2810</v>
      </c>
      <c r="K286">
        <v>1486</v>
      </c>
      <c r="L286">
        <v>38420</v>
      </c>
    </row>
    <row r="287" spans="1:12" x14ac:dyDescent="0.25">
      <c r="A287" t="s">
        <v>1</v>
      </c>
      <c r="B287" t="s">
        <v>2</v>
      </c>
      <c r="C287">
        <v>2022</v>
      </c>
      <c r="D287">
        <v>1300</v>
      </c>
      <c r="E287">
        <v>3537</v>
      </c>
      <c r="F287">
        <v>9301</v>
      </c>
      <c r="G287">
        <v>8341</v>
      </c>
      <c r="H287">
        <v>8361</v>
      </c>
      <c r="I287">
        <v>4064</v>
      </c>
      <c r="J287">
        <v>2927</v>
      </c>
      <c r="K287">
        <v>1581</v>
      </c>
      <c r="L287">
        <v>39412</v>
      </c>
    </row>
    <row r="288" spans="1:12" x14ac:dyDescent="0.25">
      <c r="A288" t="s">
        <v>1</v>
      </c>
      <c r="B288" t="s">
        <v>2</v>
      </c>
      <c r="C288">
        <v>2023</v>
      </c>
      <c r="D288">
        <v>1337</v>
      </c>
      <c r="E288">
        <v>3663</v>
      </c>
      <c r="F288">
        <v>9294</v>
      </c>
      <c r="G288">
        <v>8546</v>
      </c>
      <c r="H288">
        <v>8380</v>
      </c>
      <c r="I288">
        <v>4105</v>
      </c>
      <c r="J288">
        <v>2994</v>
      </c>
      <c r="K288">
        <v>1720</v>
      </c>
      <c r="L288">
        <v>40039</v>
      </c>
    </row>
    <row r="289" spans="1:12" x14ac:dyDescent="0.25">
      <c r="A289" t="s">
        <v>1</v>
      </c>
      <c r="B289" t="s">
        <v>2</v>
      </c>
      <c r="C289">
        <v>2024</v>
      </c>
      <c r="D289">
        <v>1320</v>
      </c>
      <c r="E289">
        <v>3536</v>
      </c>
      <c r="F289">
        <v>9002</v>
      </c>
      <c r="G289">
        <v>8633</v>
      </c>
      <c r="H289">
        <v>8435</v>
      </c>
      <c r="I289">
        <v>4052</v>
      </c>
      <c r="J289">
        <v>3166</v>
      </c>
      <c r="K289">
        <v>1773</v>
      </c>
      <c r="L289">
        <v>39917</v>
      </c>
    </row>
    <row r="290" spans="1:12" x14ac:dyDescent="0.25">
      <c r="A290" t="s">
        <v>2</v>
      </c>
      <c r="B290" t="s">
        <v>51</v>
      </c>
      <c r="C290">
        <v>2001</v>
      </c>
      <c r="D290">
        <v>399</v>
      </c>
      <c r="E290">
        <v>361</v>
      </c>
      <c r="F290">
        <v>653</v>
      </c>
      <c r="G290">
        <v>1386</v>
      </c>
      <c r="H290">
        <v>2068</v>
      </c>
      <c r="I290">
        <v>1486</v>
      </c>
      <c r="J290">
        <v>940</v>
      </c>
      <c r="K290">
        <v>191</v>
      </c>
      <c r="L290">
        <v>7484</v>
      </c>
    </row>
    <row r="291" spans="1:12" x14ac:dyDescent="0.25">
      <c r="A291" t="s">
        <v>2</v>
      </c>
      <c r="B291" t="s">
        <v>51</v>
      </c>
      <c r="C291">
        <v>2002</v>
      </c>
      <c r="D291">
        <v>478</v>
      </c>
      <c r="E291">
        <v>346</v>
      </c>
      <c r="F291">
        <v>648</v>
      </c>
      <c r="G291">
        <v>1253</v>
      </c>
      <c r="H291">
        <v>1953</v>
      </c>
      <c r="I291">
        <v>1427</v>
      </c>
      <c r="J291">
        <v>1004</v>
      </c>
      <c r="K291">
        <v>252</v>
      </c>
      <c r="L291">
        <v>7361</v>
      </c>
    </row>
    <row r="292" spans="1:12" x14ac:dyDescent="0.25">
      <c r="A292" t="s">
        <v>2</v>
      </c>
      <c r="B292" t="s">
        <v>51</v>
      </c>
      <c r="C292">
        <v>2003</v>
      </c>
      <c r="D292">
        <v>398</v>
      </c>
      <c r="E292">
        <v>314</v>
      </c>
      <c r="F292">
        <v>646</v>
      </c>
      <c r="G292">
        <v>1140</v>
      </c>
      <c r="H292">
        <v>1804</v>
      </c>
      <c r="I292">
        <v>1351</v>
      </c>
      <c r="J292">
        <v>1054</v>
      </c>
      <c r="K292">
        <v>165</v>
      </c>
      <c r="L292">
        <v>6872</v>
      </c>
    </row>
    <row r="293" spans="1:12" x14ac:dyDescent="0.25">
      <c r="A293" t="s">
        <v>2</v>
      </c>
      <c r="B293" t="s">
        <v>51</v>
      </c>
      <c r="C293">
        <v>2004</v>
      </c>
      <c r="D293">
        <v>345</v>
      </c>
      <c r="E293">
        <v>269</v>
      </c>
      <c r="F293">
        <v>634</v>
      </c>
      <c r="G293">
        <v>1038</v>
      </c>
      <c r="H293">
        <v>1680</v>
      </c>
      <c r="I293">
        <v>1279</v>
      </c>
      <c r="J293">
        <v>1100</v>
      </c>
      <c r="K293">
        <v>248</v>
      </c>
      <c r="L293">
        <v>6593</v>
      </c>
    </row>
    <row r="294" spans="1:12" x14ac:dyDescent="0.25">
      <c r="A294" t="s">
        <v>2</v>
      </c>
      <c r="B294" t="s">
        <v>51</v>
      </c>
      <c r="C294">
        <v>2005</v>
      </c>
      <c r="D294">
        <v>353</v>
      </c>
      <c r="E294">
        <v>265</v>
      </c>
      <c r="F294">
        <v>585</v>
      </c>
      <c r="G294">
        <v>960</v>
      </c>
      <c r="H294">
        <v>1596</v>
      </c>
      <c r="I294">
        <v>1167</v>
      </c>
      <c r="J294">
        <v>1077</v>
      </c>
      <c r="K294">
        <v>216</v>
      </c>
      <c r="L294">
        <v>6219</v>
      </c>
    </row>
    <row r="295" spans="1:12" x14ac:dyDescent="0.25">
      <c r="A295" t="s">
        <v>2</v>
      </c>
      <c r="B295" t="s">
        <v>51</v>
      </c>
      <c r="C295">
        <v>2006</v>
      </c>
      <c r="D295">
        <v>326</v>
      </c>
      <c r="E295">
        <v>274</v>
      </c>
      <c r="F295">
        <v>602</v>
      </c>
      <c r="G295">
        <v>908</v>
      </c>
      <c r="H295">
        <v>1533</v>
      </c>
      <c r="I295">
        <v>1021</v>
      </c>
      <c r="J295">
        <v>1113</v>
      </c>
      <c r="K295">
        <v>241</v>
      </c>
      <c r="L295">
        <v>6018</v>
      </c>
    </row>
    <row r="296" spans="1:12" x14ac:dyDescent="0.25">
      <c r="A296" t="s">
        <v>2</v>
      </c>
      <c r="B296" t="s">
        <v>51</v>
      </c>
      <c r="C296">
        <v>2007</v>
      </c>
      <c r="D296">
        <v>290</v>
      </c>
      <c r="E296">
        <v>299</v>
      </c>
      <c r="F296">
        <v>662</v>
      </c>
      <c r="G296">
        <v>885</v>
      </c>
      <c r="H296">
        <v>1487</v>
      </c>
      <c r="I296">
        <v>954</v>
      </c>
      <c r="J296">
        <v>1116</v>
      </c>
      <c r="K296">
        <v>288</v>
      </c>
      <c r="L296">
        <v>5981</v>
      </c>
    </row>
    <row r="297" spans="1:12" x14ac:dyDescent="0.25">
      <c r="A297" t="s">
        <v>2</v>
      </c>
      <c r="B297" t="s">
        <v>51</v>
      </c>
      <c r="C297">
        <v>2008</v>
      </c>
      <c r="D297">
        <v>313</v>
      </c>
      <c r="E297">
        <v>311</v>
      </c>
      <c r="F297">
        <v>661</v>
      </c>
      <c r="G297">
        <v>828</v>
      </c>
      <c r="H297">
        <v>1436</v>
      </c>
      <c r="I297">
        <v>884</v>
      </c>
      <c r="J297">
        <v>1051</v>
      </c>
      <c r="K297">
        <v>316</v>
      </c>
      <c r="L297">
        <v>5800</v>
      </c>
    </row>
    <row r="298" spans="1:12" x14ac:dyDescent="0.25">
      <c r="A298" t="s">
        <v>2</v>
      </c>
      <c r="B298" t="s">
        <v>51</v>
      </c>
      <c r="C298">
        <v>2009</v>
      </c>
      <c r="D298">
        <v>303</v>
      </c>
      <c r="E298">
        <v>264</v>
      </c>
      <c r="F298">
        <v>638</v>
      </c>
      <c r="G298">
        <v>719</v>
      </c>
      <c r="H298">
        <v>1343</v>
      </c>
      <c r="I298">
        <v>806</v>
      </c>
      <c r="J298">
        <v>966</v>
      </c>
      <c r="K298">
        <v>376</v>
      </c>
      <c r="L298">
        <v>5415</v>
      </c>
    </row>
    <row r="299" spans="1:12" x14ac:dyDescent="0.25">
      <c r="A299" t="s">
        <v>2</v>
      </c>
      <c r="B299" t="s">
        <v>51</v>
      </c>
      <c r="C299">
        <v>2010</v>
      </c>
      <c r="D299">
        <v>330</v>
      </c>
      <c r="E299">
        <v>305</v>
      </c>
      <c r="F299">
        <v>706</v>
      </c>
      <c r="G299">
        <v>692</v>
      </c>
      <c r="H299">
        <v>1309</v>
      </c>
      <c r="I299">
        <v>782</v>
      </c>
      <c r="J299">
        <v>909</v>
      </c>
      <c r="K299">
        <v>310</v>
      </c>
      <c r="L299">
        <v>5343</v>
      </c>
    </row>
    <row r="300" spans="1:12" x14ac:dyDescent="0.25">
      <c r="A300" t="s">
        <v>2</v>
      </c>
      <c r="B300" t="s">
        <v>51</v>
      </c>
      <c r="C300">
        <v>2011</v>
      </c>
      <c r="D300">
        <v>351</v>
      </c>
      <c r="E300">
        <v>310</v>
      </c>
      <c r="F300">
        <v>763</v>
      </c>
      <c r="G300">
        <v>693</v>
      </c>
      <c r="H300">
        <v>1243</v>
      </c>
      <c r="I300">
        <v>779</v>
      </c>
      <c r="J300">
        <v>828</v>
      </c>
      <c r="K300">
        <v>445</v>
      </c>
      <c r="L300">
        <v>5412</v>
      </c>
    </row>
    <row r="301" spans="1:12" x14ac:dyDescent="0.25">
      <c r="A301" t="s">
        <v>2</v>
      </c>
      <c r="B301" t="s">
        <v>51</v>
      </c>
      <c r="C301">
        <v>2012</v>
      </c>
      <c r="D301">
        <v>392</v>
      </c>
      <c r="E301">
        <v>316</v>
      </c>
      <c r="F301">
        <v>756</v>
      </c>
      <c r="G301">
        <v>723</v>
      </c>
      <c r="H301">
        <v>1163</v>
      </c>
      <c r="I301">
        <v>764</v>
      </c>
      <c r="J301">
        <v>773</v>
      </c>
      <c r="K301">
        <v>452</v>
      </c>
      <c r="L301">
        <v>5339</v>
      </c>
    </row>
    <row r="302" spans="1:12" x14ac:dyDescent="0.25">
      <c r="A302" t="s">
        <v>2</v>
      </c>
      <c r="B302" t="s">
        <v>51</v>
      </c>
      <c r="C302">
        <v>2013</v>
      </c>
      <c r="D302">
        <v>357</v>
      </c>
      <c r="E302">
        <v>356</v>
      </c>
      <c r="F302">
        <v>775</v>
      </c>
      <c r="G302">
        <v>782</v>
      </c>
      <c r="H302">
        <v>1097</v>
      </c>
      <c r="I302">
        <v>731</v>
      </c>
      <c r="J302">
        <v>720</v>
      </c>
      <c r="K302">
        <v>473</v>
      </c>
      <c r="L302">
        <v>5291</v>
      </c>
    </row>
    <row r="303" spans="1:12" x14ac:dyDescent="0.25">
      <c r="A303" t="s">
        <v>2</v>
      </c>
      <c r="B303" t="s">
        <v>51</v>
      </c>
      <c r="C303">
        <v>2014</v>
      </c>
      <c r="D303">
        <v>335</v>
      </c>
      <c r="E303">
        <v>380</v>
      </c>
      <c r="F303">
        <v>745</v>
      </c>
      <c r="G303">
        <v>797</v>
      </c>
      <c r="H303">
        <v>1083</v>
      </c>
      <c r="I303">
        <v>703</v>
      </c>
      <c r="J303">
        <v>691</v>
      </c>
      <c r="K303">
        <v>448</v>
      </c>
      <c r="L303">
        <v>5182</v>
      </c>
    </row>
    <row r="304" spans="1:12" x14ac:dyDescent="0.25">
      <c r="A304" t="s">
        <v>2</v>
      </c>
      <c r="B304" t="s">
        <v>51</v>
      </c>
      <c r="C304">
        <v>2015</v>
      </c>
      <c r="D304">
        <v>339</v>
      </c>
      <c r="E304">
        <v>393</v>
      </c>
      <c r="F304">
        <v>788</v>
      </c>
      <c r="G304">
        <v>835</v>
      </c>
      <c r="H304">
        <v>1025</v>
      </c>
      <c r="I304">
        <v>717</v>
      </c>
      <c r="J304">
        <v>665</v>
      </c>
      <c r="K304">
        <v>415</v>
      </c>
      <c r="L304">
        <v>5177</v>
      </c>
    </row>
    <row r="305" spans="1:12" x14ac:dyDescent="0.25">
      <c r="A305" t="s">
        <v>2</v>
      </c>
      <c r="B305" t="s">
        <v>51</v>
      </c>
      <c r="C305">
        <v>2016</v>
      </c>
      <c r="D305">
        <v>492</v>
      </c>
      <c r="E305">
        <v>408</v>
      </c>
      <c r="F305">
        <v>827</v>
      </c>
      <c r="G305">
        <v>881</v>
      </c>
      <c r="H305">
        <v>1015</v>
      </c>
      <c r="I305">
        <v>659</v>
      </c>
      <c r="J305">
        <v>677</v>
      </c>
      <c r="K305">
        <v>398</v>
      </c>
      <c r="L305">
        <v>5357</v>
      </c>
    </row>
    <row r="306" spans="1:12" x14ac:dyDescent="0.25">
      <c r="A306" t="s">
        <v>2</v>
      </c>
      <c r="B306" t="s">
        <v>51</v>
      </c>
      <c r="C306">
        <v>2017</v>
      </c>
      <c r="D306">
        <v>555</v>
      </c>
      <c r="E306">
        <v>414</v>
      </c>
      <c r="F306">
        <v>888</v>
      </c>
      <c r="G306">
        <v>879</v>
      </c>
      <c r="H306">
        <v>974</v>
      </c>
      <c r="I306">
        <v>619</v>
      </c>
      <c r="J306">
        <v>670</v>
      </c>
      <c r="K306">
        <v>397</v>
      </c>
      <c r="L306">
        <v>5396</v>
      </c>
    </row>
    <row r="307" spans="1:12" x14ac:dyDescent="0.25">
      <c r="A307" t="s">
        <v>2</v>
      </c>
      <c r="B307" t="s">
        <v>51</v>
      </c>
      <c r="C307">
        <v>2018</v>
      </c>
      <c r="D307">
        <v>613</v>
      </c>
      <c r="E307">
        <v>410</v>
      </c>
      <c r="F307">
        <v>967</v>
      </c>
      <c r="G307">
        <v>907</v>
      </c>
      <c r="H307">
        <v>938</v>
      </c>
      <c r="I307">
        <v>593</v>
      </c>
      <c r="J307">
        <v>639</v>
      </c>
      <c r="K307">
        <v>391</v>
      </c>
      <c r="L307">
        <v>5458</v>
      </c>
    </row>
    <row r="308" spans="1:12" x14ac:dyDescent="0.25">
      <c r="A308" t="s">
        <v>2</v>
      </c>
      <c r="B308" t="s">
        <v>51</v>
      </c>
      <c r="C308">
        <v>2019</v>
      </c>
      <c r="D308">
        <v>1060</v>
      </c>
      <c r="E308">
        <v>445</v>
      </c>
      <c r="F308">
        <v>990</v>
      </c>
      <c r="G308">
        <v>943</v>
      </c>
      <c r="H308">
        <v>906</v>
      </c>
      <c r="I308">
        <v>609</v>
      </c>
      <c r="J308">
        <v>611</v>
      </c>
      <c r="K308">
        <v>440</v>
      </c>
      <c r="L308">
        <v>6004</v>
      </c>
    </row>
    <row r="309" spans="1:12" x14ac:dyDescent="0.25">
      <c r="A309" t="s">
        <v>2</v>
      </c>
      <c r="B309" t="s">
        <v>51</v>
      </c>
      <c r="C309">
        <v>2020</v>
      </c>
      <c r="D309">
        <v>935</v>
      </c>
      <c r="E309">
        <v>389</v>
      </c>
      <c r="F309">
        <v>948</v>
      </c>
      <c r="G309">
        <v>929</v>
      </c>
      <c r="H309">
        <v>816</v>
      </c>
      <c r="I309">
        <v>566</v>
      </c>
      <c r="J309">
        <v>601</v>
      </c>
      <c r="K309">
        <v>386</v>
      </c>
      <c r="L309">
        <v>5570</v>
      </c>
    </row>
    <row r="310" spans="1:12" x14ac:dyDescent="0.25">
      <c r="A310" t="s">
        <v>2</v>
      </c>
      <c r="B310" t="s">
        <v>51</v>
      </c>
      <c r="C310">
        <v>2021</v>
      </c>
      <c r="D310">
        <v>1110</v>
      </c>
      <c r="E310">
        <v>396</v>
      </c>
      <c r="F310">
        <v>962</v>
      </c>
      <c r="G310">
        <v>987</v>
      </c>
      <c r="H310">
        <v>815</v>
      </c>
      <c r="I310">
        <v>554</v>
      </c>
      <c r="J310">
        <v>546</v>
      </c>
      <c r="K310">
        <v>399</v>
      </c>
      <c r="L310">
        <v>5769</v>
      </c>
    </row>
    <row r="311" spans="1:12" x14ac:dyDescent="0.25">
      <c r="A311" t="s">
        <v>2</v>
      </c>
      <c r="B311" t="s">
        <v>51</v>
      </c>
      <c r="C311">
        <v>2022</v>
      </c>
      <c r="D311">
        <v>1335</v>
      </c>
      <c r="E311">
        <v>417</v>
      </c>
      <c r="F311">
        <v>1002</v>
      </c>
      <c r="G311">
        <v>1042</v>
      </c>
      <c r="H311">
        <v>867</v>
      </c>
      <c r="I311">
        <v>523</v>
      </c>
      <c r="J311">
        <v>529</v>
      </c>
      <c r="K311">
        <v>405</v>
      </c>
      <c r="L311">
        <v>6120</v>
      </c>
    </row>
    <row r="312" spans="1:12" x14ac:dyDescent="0.25">
      <c r="A312" t="s">
        <v>2</v>
      </c>
      <c r="B312" t="s">
        <v>51</v>
      </c>
      <c r="C312">
        <v>2023</v>
      </c>
      <c r="D312">
        <v>1384</v>
      </c>
      <c r="E312">
        <v>395</v>
      </c>
      <c r="F312">
        <v>1010</v>
      </c>
      <c r="G312">
        <v>1039</v>
      </c>
      <c r="H312">
        <v>898</v>
      </c>
      <c r="I312">
        <v>486</v>
      </c>
      <c r="J312">
        <v>522</v>
      </c>
      <c r="K312">
        <v>408</v>
      </c>
      <c r="L312">
        <v>6142</v>
      </c>
    </row>
    <row r="313" spans="1:12" x14ac:dyDescent="0.25">
      <c r="A313" t="s">
        <v>2</v>
      </c>
      <c r="B313" t="s">
        <v>51</v>
      </c>
      <c r="C313">
        <v>2024</v>
      </c>
      <c r="D313">
        <v>1322</v>
      </c>
      <c r="E313">
        <v>332</v>
      </c>
      <c r="F313">
        <v>986</v>
      </c>
      <c r="G313">
        <v>1002</v>
      </c>
      <c r="H313">
        <v>911</v>
      </c>
      <c r="I313">
        <v>450</v>
      </c>
      <c r="J313">
        <v>540</v>
      </c>
      <c r="K313">
        <v>427</v>
      </c>
      <c r="L313">
        <v>5970</v>
      </c>
    </row>
    <row r="314" spans="1:12" x14ac:dyDescent="0.25">
      <c r="A314" t="s">
        <v>2</v>
      </c>
      <c r="B314" t="s">
        <v>52</v>
      </c>
      <c r="C314">
        <v>2001</v>
      </c>
      <c r="D314">
        <v>543</v>
      </c>
      <c r="E314">
        <v>3356</v>
      </c>
      <c r="F314">
        <v>7151</v>
      </c>
      <c r="G314">
        <v>7011</v>
      </c>
      <c r="H314">
        <v>6007</v>
      </c>
      <c r="I314">
        <v>2710</v>
      </c>
      <c r="J314">
        <v>1214</v>
      </c>
      <c r="K314">
        <v>208</v>
      </c>
      <c r="L314">
        <v>28200</v>
      </c>
    </row>
    <row r="315" spans="1:12" x14ac:dyDescent="0.25">
      <c r="A315" t="s">
        <v>2</v>
      </c>
      <c r="B315" t="s">
        <v>52</v>
      </c>
      <c r="C315">
        <v>2002</v>
      </c>
      <c r="D315">
        <v>676</v>
      </c>
      <c r="E315">
        <v>3321</v>
      </c>
      <c r="F315">
        <v>6765</v>
      </c>
      <c r="G315">
        <v>7220</v>
      </c>
      <c r="H315">
        <v>6017</v>
      </c>
      <c r="I315">
        <v>2759</v>
      </c>
      <c r="J315">
        <v>1407</v>
      </c>
      <c r="K315">
        <v>267</v>
      </c>
      <c r="L315">
        <v>28432</v>
      </c>
    </row>
    <row r="316" spans="1:12" x14ac:dyDescent="0.25">
      <c r="A316" t="s">
        <v>2</v>
      </c>
      <c r="B316" t="s">
        <v>52</v>
      </c>
      <c r="C316">
        <v>2003</v>
      </c>
      <c r="D316">
        <v>596</v>
      </c>
      <c r="E316">
        <v>3212</v>
      </c>
      <c r="F316">
        <v>6251</v>
      </c>
      <c r="G316">
        <v>7089</v>
      </c>
      <c r="H316">
        <v>5986</v>
      </c>
      <c r="I316">
        <v>2832</v>
      </c>
      <c r="J316">
        <v>1527</v>
      </c>
      <c r="K316">
        <v>203</v>
      </c>
      <c r="L316">
        <v>27696</v>
      </c>
    </row>
    <row r="317" spans="1:12" x14ac:dyDescent="0.25">
      <c r="A317" t="s">
        <v>2</v>
      </c>
      <c r="B317" t="s">
        <v>52</v>
      </c>
      <c r="C317">
        <v>2004</v>
      </c>
      <c r="D317">
        <v>588</v>
      </c>
      <c r="E317">
        <v>3230</v>
      </c>
      <c r="F317">
        <v>5948</v>
      </c>
      <c r="G317">
        <v>7031</v>
      </c>
      <c r="H317">
        <v>5923</v>
      </c>
      <c r="I317">
        <v>2859</v>
      </c>
      <c r="J317">
        <v>1752</v>
      </c>
      <c r="K317">
        <v>308</v>
      </c>
      <c r="L317">
        <v>27639</v>
      </c>
    </row>
    <row r="318" spans="1:12" x14ac:dyDescent="0.25">
      <c r="A318" t="s">
        <v>2</v>
      </c>
      <c r="B318" t="s">
        <v>52</v>
      </c>
      <c r="C318">
        <v>2005</v>
      </c>
      <c r="D318">
        <v>594</v>
      </c>
      <c r="E318">
        <v>3199</v>
      </c>
      <c r="F318">
        <v>5730</v>
      </c>
      <c r="G318">
        <v>7006</v>
      </c>
      <c r="H318">
        <v>5963</v>
      </c>
      <c r="I318">
        <v>2792</v>
      </c>
      <c r="J318">
        <v>1893</v>
      </c>
      <c r="K318">
        <v>307</v>
      </c>
      <c r="L318">
        <v>27484</v>
      </c>
    </row>
    <row r="319" spans="1:12" x14ac:dyDescent="0.25">
      <c r="A319" t="s">
        <v>2</v>
      </c>
      <c r="B319" t="s">
        <v>52</v>
      </c>
      <c r="C319">
        <v>2006</v>
      </c>
      <c r="D319">
        <v>679</v>
      </c>
      <c r="E319">
        <v>3334</v>
      </c>
      <c r="F319">
        <v>5566</v>
      </c>
      <c r="G319">
        <v>7072</v>
      </c>
      <c r="H319">
        <v>6067</v>
      </c>
      <c r="I319">
        <v>2745</v>
      </c>
      <c r="J319">
        <v>2038</v>
      </c>
      <c r="K319">
        <v>331</v>
      </c>
      <c r="L319">
        <v>27832</v>
      </c>
    </row>
    <row r="320" spans="1:12" x14ac:dyDescent="0.25">
      <c r="A320" t="s">
        <v>2</v>
      </c>
      <c r="B320" t="s">
        <v>52</v>
      </c>
      <c r="C320">
        <v>2007</v>
      </c>
      <c r="D320">
        <v>758</v>
      </c>
      <c r="E320">
        <v>3641</v>
      </c>
      <c r="F320">
        <v>5463</v>
      </c>
      <c r="G320">
        <v>7102</v>
      </c>
      <c r="H320">
        <v>6211</v>
      </c>
      <c r="I320">
        <v>2775</v>
      </c>
      <c r="J320">
        <v>2156</v>
      </c>
      <c r="K320">
        <v>461</v>
      </c>
      <c r="L320">
        <v>28567</v>
      </c>
    </row>
    <row r="321" spans="1:12" x14ac:dyDescent="0.25">
      <c r="A321" t="s">
        <v>2</v>
      </c>
      <c r="B321" t="s">
        <v>52</v>
      </c>
      <c r="C321">
        <v>2008</v>
      </c>
      <c r="D321">
        <v>706</v>
      </c>
      <c r="E321">
        <v>3653</v>
      </c>
      <c r="F321">
        <v>5324</v>
      </c>
      <c r="G321">
        <v>7047</v>
      </c>
      <c r="H321">
        <v>6297</v>
      </c>
      <c r="I321">
        <v>2694</v>
      </c>
      <c r="J321">
        <v>2196</v>
      </c>
      <c r="K321">
        <v>539</v>
      </c>
      <c r="L321">
        <v>28456</v>
      </c>
    </row>
    <row r="322" spans="1:12" x14ac:dyDescent="0.25">
      <c r="A322" t="s">
        <v>2</v>
      </c>
      <c r="B322" t="s">
        <v>52</v>
      </c>
      <c r="C322">
        <v>2009</v>
      </c>
      <c r="D322">
        <v>633</v>
      </c>
      <c r="E322">
        <v>3390</v>
      </c>
      <c r="F322">
        <v>4953</v>
      </c>
      <c r="G322">
        <v>6688</v>
      </c>
      <c r="H322">
        <v>6372</v>
      </c>
      <c r="I322">
        <v>2586</v>
      </c>
      <c r="J322">
        <v>2215</v>
      </c>
      <c r="K322">
        <v>618</v>
      </c>
      <c r="L322">
        <v>27455</v>
      </c>
    </row>
    <row r="323" spans="1:12" x14ac:dyDescent="0.25">
      <c r="A323" t="s">
        <v>2</v>
      </c>
      <c r="B323" t="s">
        <v>52</v>
      </c>
      <c r="C323">
        <v>2010</v>
      </c>
      <c r="D323">
        <v>739</v>
      </c>
      <c r="E323">
        <v>3586</v>
      </c>
      <c r="F323">
        <v>4939</v>
      </c>
      <c r="G323">
        <v>6492</v>
      </c>
      <c r="H323">
        <v>6624</v>
      </c>
      <c r="I323">
        <v>2669</v>
      </c>
      <c r="J323">
        <v>2230</v>
      </c>
      <c r="K323">
        <v>602</v>
      </c>
      <c r="L323">
        <v>27881</v>
      </c>
    </row>
    <row r="324" spans="1:12" x14ac:dyDescent="0.25">
      <c r="A324" t="s">
        <v>2</v>
      </c>
      <c r="B324" t="s">
        <v>52</v>
      </c>
      <c r="C324">
        <v>2011</v>
      </c>
      <c r="D324">
        <v>713</v>
      </c>
      <c r="E324">
        <v>3840</v>
      </c>
      <c r="F324">
        <v>5024</v>
      </c>
      <c r="G324">
        <v>6292</v>
      </c>
      <c r="H324">
        <v>6752</v>
      </c>
      <c r="I324">
        <v>2760</v>
      </c>
      <c r="J324">
        <v>2164</v>
      </c>
      <c r="K324">
        <v>823</v>
      </c>
      <c r="L324">
        <v>28368</v>
      </c>
    </row>
    <row r="325" spans="1:12" x14ac:dyDescent="0.25">
      <c r="A325" t="s">
        <v>2</v>
      </c>
      <c r="B325" t="s">
        <v>52</v>
      </c>
      <c r="C325">
        <v>2012</v>
      </c>
      <c r="D325">
        <v>712</v>
      </c>
      <c r="E325">
        <v>3860</v>
      </c>
      <c r="F325">
        <v>5077</v>
      </c>
      <c r="G325">
        <v>6084</v>
      </c>
      <c r="H325">
        <v>6832</v>
      </c>
      <c r="I325">
        <v>2811</v>
      </c>
      <c r="J325">
        <v>2186</v>
      </c>
      <c r="K325">
        <v>874</v>
      </c>
      <c r="L325">
        <v>28436</v>
      </c>
    </row>
    <row r="326" spans="1:12" x14ac:dyDescent="0.25">
      <c r="A326" t="s">
        <v>2</v>
      </c>
      <c r="B326" t="s">
        <v>52</v>
      </c>
      <c r="C326">
        <v>2013</v>
      </c>
      <c r="D326">
        <v>753</v>
      </c>
      <c r="E326">
        <v>4036</v>
      </c>
      <c r="F326">
        <v>5216</v>
      </c>
      <c r="G326">
        <v>5871</v>
      </c>
      <c r="H326">
        <v>6865</v>
      </c>
      <c r="I326">
        <v>2897</v>
      </c>
      <c r="J326">
        <v>2188</v>
      </c>
      <c r="K326">
        <v>973</v>
      </c>
      <c r="L326">
        <v>28799</v>
      </c>
    </row>
    <row r="327" spans="1:12" x14ac:dyDescent="0.25">
      <c r="A327" t="s">
        <v>2</v>
      </c>
      <c r="B327" t="s">
        <v>52</v>
      </c>
      <c r="C327">
        <v>2014</v>
      </c>
      <c r="D327">
        <v>682</v>
      </c>
      <c r="E327">
        <v>4131</v>
      </c>
      <c r="F327">
        <v>5346</v>
      </c>
      <c r="G327">
        <v>5720</v>
      </c>
      <c r="H327">
        <v>6917</v>
      </c>
      <c r="I327">
        <v>2982</v>
      </c>
      <c r="J327">
        <v>2214</v>
      </c>
      <c r="K327">
        <v>970</v>
      </c>
      <c r="L327">
        <v>28962</v>
      </c>
    </row>
    <row r="328" spans="1:12" x14ac:dyDescent="0.25">
      <c r="A328" t="s">
        <v>2</v>
      </c>
      <c r="B328" t="s">
        <v>52</v>
      </c>
      <c r="C328">
        <v>2015</v>
      </c>
      <c r="D328">
        <v>760</v>
      </c>
      <c r="E328">
        <v>4165</v>
      </c>
      <c r="F328">
        <v>5570</v>
      </c>
      <c r="G328">
        <v>5577</v>
      </c>
      <c r="H328">
        <v>7015</v>
      </c>
      <c r="I328">
        <v>3004</v>
      </c>
      <c r="J328">
        <v>2262</v>
      </c>
      <c r="K328">
        <v>1002</v>
      </c>
      <c r="L328">
        <v>29355</v>
      </c>
    </row>
    <row r="329" spans="1:12" x14ac:dyDescent="0.25">
      <c r="A329" t="s">
        <v>2</v>
      </c>
      <c r="B329" t="s">
        <v>52</v>
      </c>
      <c r="C329">
        <v>2016</v>
      </c>
      <c r="D329">
        <v>824</v>
      </c>
      <c r="E329">
        <v>4293</v>
      </c>
      <c r="F329">
        <v>5873</v>
      </c>
      <c r="G329">
        <v>5410</v>
      </c>
      <c r="H329">
        <v>7111</v>
      </c>
      <c r="I329">
        <v>3007</v>
      </c>
      <c r="J329">
        <v>2353</v>
      </c>
      <c r="K329">
        <v>1003</v>
      </c>
      <c r="L329">
        <v>29874</v>
      </c>
    </row>
    <row r="330" spans="1:12" x14ac:dyDescent="0.25">
      <c r="A330" t="s">
        <v>2</v>
      </c>
      <c r="B330" t="s">
        <v>52</v>
      </c>
      <c r="C330">
        <v>2017</v>
      </c>
      <c r="D330">
        <v>858</v>
      </c>
      <c r="E330">
        <v>4379</v>
      </c>
      <c r="F330">
        <v>6019</v>
      </c>
      <c r="G330">
        <v>5318</v>
      </c>
      <c r="H330">
        <v>7094</v>
      </c>
      <c r="I330">
        <v>3044</v>
      </c>
      <c r="J330">
        <v>2379</v>
      </c>
      <c r="K330">
        <v>1108</v>
      </c>
      <c r="L330">
        <v>30199</v>
      </c>
    </row>
    <row r="331" spans="1:12" x14ac:dyDescent="0.25">
      <c r="A331" t="s">
        <v>2</v>
      </c>
      <c r="B331" t="s">
        <v>52</v>
      </c>
      <c r="C331">
        <v>2018</v>
      </c>
      <c r="D331">
        <v>843</v>
      </c>
      <c r="E331">
        <v>4338</v>
      </c>
      <c r="F331">
        <v>6131</v>
      </c>
      <c r="G331">
        <v>5244</v>
      </c>
      <c r="H331">
        <v>7048</v>
      </c>
      <c r="I331">
        <v>3090</v>
      </c>
      <c r="J331">
        <v>2477</v>
      </c>
      <c r="K331">
        <v>1181</v>
      </c>
      <c r="L331">
        <v>30352</v>
      </c>
    </row>
    <row r="332" spans="1:12" x14ac:dyDescent="0.25">
      <c r="A332" t="s">
        <v>2</v>
      </c>
      <c r="B332" t="s">
        <v>52</v>
      </c>
      <c r="C332">
        <v>2019</v>
      </c>
      <c r="D332">
        <v>807</v>
      </c>
      <c r="E332">
        <v>3825</v>
      </c>
      <c r="F332">
        <v>6285</v>
      </c>
      <c r="G332">
        <v>5076</v>
      </c>
      <c r="H332">
        <v>6849</v>
      </c>
      <c r="I332">
        <v>3274</v>
      </c>
      <c r="J332">
        <v>2530</v>
      </c>
      <c r="K332">
        <v>1317</v>
      </c>
      <c r="L332">
        <v>29963</v>
      </c>
    </row>
    <row r="333" spans="1:12" x14ac:dyDescent="0.25">
      <c r="A333" t="s">
        <v>2</v>
      </c>
      <c r="B333" t="s">
        <v>52</v>
      </c>
      <c r="C333">
        <v>2020</v>
      </c>
      <c r="D333">
        <v>796</v>
      </c>
      <c r="E333">
        <v>3756</v>
      </c>
      <c r="F333">
        <v>6237</v>
      </c>
      <c r="G333">
        <v>4990</v>
      </c>
      <c r="H333">
        <v>6550</v>
      </c>
      <c r="I333">
        <v>3373</v>
      </c>
      <c r="J333">
        <v>2514</v>
      </c>
      <c r="K333">
        <v>1246</v>
      </c>
      <c r="L333">
        <v>29462</v>
      </c>
    </row>
    <row r="334" spans="1:12" x14ac:dyDescent="0.25">
      <c r="A334" t="s">
        <v>2</v>
      </c>
      <c r="B334" t="s">
        <v>52</v>
      </c>
      <c r="C334">
        <v>2021</v>
      </c>
      <c r="D334">
        <v>889</v>
      </c>
      <c r="E334">
        <v>3913</v>
      </c>
      <c r="F334">
        <v>6267</v>
      </c>
      <c r="G334">
        <v>5013</v>
      </c>
      <c r="H334">
        <v>6358</v>
      </c>
      <c r="I334">
        <v>3488</v>
      </c>
      <c r="J334">
        <v>2561</v>
      </c>
      <c r="K334">
        <v>1303</v>
      </c>
      <c r="L334">
        <v>29792</v>
      </c>
    </row>
    <row r="335" spans="1:12" x14ac:dyDescent="0.25">
      <c r="A335" t="s">
        <v>2</v>
      </c>
      <c r="B335" t="s">
        <v>52</v>
      </c>
      <c r="C335">
        <v>2022</v>
      </c>
      <c r="D335">
        <v>958</v>
      </c>
      <c r="E335">
        <v>4037</v>
      </c>
      <c r="F335">
        <v>6159</v>
      </c>
      <c r="G335">
        <v>5003</v>
      </c>
      <c r="H335">
        <v>6205</v>
      </c>
      <c r="I335">
        <v>3617</v>
      </c>
      <c r="J335">
        <v>2621</v>
      </c>
      <c r="K335">
        <v>1385</v>
      </c>
      <c r="L335">
        <v>29985</v>
      </c>
    </row>
    <row r="336" spans="1:12" x14ac:dyDescent="0.25">
      <c r="A336" t="s">
        <v>2</v>
      </c>
      <c r="B336" t="s">
        <v>52</v>
      </c>
      <c r="C336">
        <v>2023</v>
      </c>
      <c r="D336">
        <v>931</v>
      </c>
      <c r="E336">
        <v>4070</v>
      </c>
      <c r="F336">
        <v>6135</v>
      </c>
      <c r="G336">
        <v>5058</v>
      </c>
      <c r="H336">
        <v>5966</v>
      </c>
      <c r="I336">
        <v>3604</v>
      </c>
      <c r="J336">
        <v>2701</v>
      </c>
      <c r="K336">
        <v>1485</v>
      </c>
      <c r="L336">
        <v>29950</v>
      </c>
    </row>
    <row r="337" spans="1:12" x14ac:dyDescent="0.25">
      <c r="A337" t="s">
        <v>2</v>
      </c>
      <c r="B337" t="s">
        <v>52</v>
      </c>
      <c r="C337">
        <v>2024</v>
      </c>
      <c r="D337">
        <v>931</v>
      </c>
      <c r="E337">
        <v>4125</v>
      </c>
      <c r="F337">
        <v>6027</v>
      </c>
      <c r="G337">
        <v>5011</v>
      </c>
      <c r="H337">
        <v>5724</v>
      </c>
      <c r="I337">
        <v>3501</v>
      </c>
      <c r="J337">
        <v>2886</v>
      </c>
      <c r="K337">
        <v>1570</v>
      </c>
      <c r="L337">
        <v>29775</v>
      </c>
    </row>
    <row r="338" spans="1:12" x14ac:dyDescent="0.25">
      <c r="A338" t="s">
        <v>2</v>
      </c>
      <c r="B338" t="s">
        <v>53</v>
      </c>
      <c r="C338">
        <v>2001</v>
      </c>
      <c r="D338">
        <v>2</v>
      </c>
      <c r="E338">
        <v>918</v>
      </c>
      <c r="F338">
        <v>2710</v>
      </c>
      <c r="G338">
        <v>2745</v>
      </c>
      <c r="H338">
        <v>2296</v>
      </c>
      <c r="I338">
        <v>835</v>
      </c>
      <c r="J338">
        <v>396</v>
      </c>
      <c r="K338">
        <v>57</v>
      </c>
      <c r="L338">
        <v>9959</v>
      </c>
    </row>
    <row r="339" spans="1:12" x14ac:dyDescent="0.25">
      <c r="A339" t="s">
        <v>2</v>
      </c>
      <c r="B339" t="s">
        <v>53</v>
      </c>
      <c r="C339">
        <v>2002</v>
      </c>
      <c r="D339">
        <v>4</v>
      </c>
      <c r="E339">
        <v>920</v>
      </c>
      <c r="F339">
        <v>2446</v>
      </c>
      <c r="G339">
        <v>2824</v>
      </c>
      <c r="H339">
        <v>2323</v>
      </c>
      <c r="I339">
        <v>912</v>
      </c>
      <c r="J339">
        <v>462</v>
      </c>
      <c r="K339">
        <v>81</v>
      </c>
      <c r="L339">
        <v>9972</v>
      </c>
    </row>
    <row r="340" spans="1:12" x14ac:dyDescent="0.25">
      <c r="A340" t="s">
        <v>2</v>
      </c>
      <c r="B340" t="s">
        <v>53</v>
      </c>
      <c r="C340">
        <v>2003</v>
      </c>
      <c r="D340">
        <v>0</v>
      </c>
      <c r="E340">
        <v>832</v>
      </c>
      <c r="F340">
        <v>2210</v>
      </c>
      <c r="G340">
        <v>2920</v>
      </c>
      <c r="H340">
        <v>2379</v>
      </c>
      <c r="I340">
        <v>900</v>
      </c>
      <c r="J340">
        <v>518</v>
      </c>
      <c r="K340">
        <v>74</v>
      </c>
      <c r="L340">
        <v>9833</v>
      </c>
    </row>
    <row r="341" spans="1:12" x14ac:dyDescent="0.25">
      <c r="A341" t="s">
        <v>2</v>
      </c>
      <c r="B341" t="s">
        <v>53</v>
      </c>
      <c r="C341">
        <v>2004</v>
      </c>
      <c r="D341">
        <v>2</v>
      </c>
      <c r="E341">
        <v>907</v>
      </c>
      <c r="F341">
        <v>2152</v>
      </c>
      <c r="G341">
        <v>2963</v>
      </c>
      <c r="H341">
        <v>2377</v>
      </c>
      <c r="I341">
        <v>951</v>
      </c>
      <c r="J341">
        <v>586</v>
      </c>
      <c r="K341">
        <v>101</v>
      </c>
      <c r="L341">
        <v>10039</v>
      </c>
    </row>
    <row r="342" spans="1:12" x14ac:dyDescent="0.25">
      <c r="A342" t="s">
        <v>2</v>
      </c>
      <c r="B342" t="s">
        <v>53</v>
      </c>
      <c r="C342">
        <v>2005</v>
      </c>
      <c r="D342">
        <v>7</v>
      </c>
      <c r="E342">
        <v>834</v>
      </c>
      <c r="F342">
        <v>2008</v>
      </c>
      <c r="G342">
        <v>2944</v>
      </c>
      <c r="H342">
        <v>2351</v>
      </c>
      <c r="I342">
        <v>972</v>
      </c>
      <c r="J342">
        <v>647</v>
      </c>
      <c r="K342">
        <v>118</v>
      </c>
      <c r="L342">
        <v>9881</v>
      </c>
    </row>
    <row r="343" spans="1:12" x14ac:dyDescent="0.25">
      <c r="A343" t="s">
        <v>2</v>
      </c>
      <c r="B343" t="s">
        <v>53</v>
      </c>
      <c r="C343">
        <v>2006</v>
      </c>
      <c r="D343">
        <v>2</v>
      </c>
      <c r="E343">
        <v>1148</v>
      </c>
      <c r="F343">
        <v>1944</v>
      </c>
      <c r="G343">
        <v>2958</v>
      </c>
      <c r="H343">
        <v>2381</v>
      </c>
      <c r="I343">
        <v>1043</v>
      </c>
      <c r="J343">
        <v>646</v>
      </c>
      <c r="K343">
        <v>130</v>
      </c>
      <c r="L343">
        <v>10252</v>
      </c>
    </row>
    <row r="344" spans="1:12" x14ac:dyDescent="0.25">
      <c r="A344" t="s">
        <v>2</v>
      </c>
      <c r="B344" t="s">
        <v>53</v>
      </c>
      <c r="C344">
        <v>2007</v>
      </c>
      <c r="D344">
        <v>4</v>
      </c>
      <c r="E344">
        <v>1242</v>
      </c>
      <c r="F344">
        <v>1909</v>
      </c>
      <c r="G344">
        <v>2971</v>
      </c>
      <c r="H344">
        <v>2388</v>
      </c>
      <c r="I344">
        <v>1081</v>
      </c>
      <c r="J344">
        <v>728</v>
      </c>
      <c r="K344">
        <v>161</v>
      </c>
      <c r="L344">
        <v>10484</v>
      </c>
    </row>
    <row r="345" spans="1:12" x14ac:dyDescent="0.25">
      <c r="A345" t="s">
        <v>2</v>
      </c>
      <c r="B345" t="s">
        <v>53</v>
      </c>
      <c r="C345">
        <v>2008</v>
      </c>
      <c r="D345">
        <v>3</v>
      </c>
      <c r="E345">
        <v>1174</v>
      </c>
      <c r="F345">
        <v>1862</v>
      </c>
      <c r="G345">
        <v>2931</v>
      </c>
      <c r="H345">
        <v>2452</v>
      </c>
      <c r="I345">
        <v>1121</v>
      </c>
      <c r="J345">
        <v>744</v>
      </c>
      <c r="K345">
        <v>197</v>
      </c>
      <c r="L345">
        <v>10484</v>
      </c>
    </row>
    <row r="346" spans="1:12" x14ac:dyDescent="0.25">
      <c r="A346" t="s">
        <v>2</v>
      </c>
      <c r="B346" t="s">
        <v>53</v>
      </c>
      <c r="C346">
        <v>2009</v>
      </c>
      <c r="D346">
        <v>8</v>
      </c>
      <c r="E346">
        <v>945</v>
      </c>
      <c r="F346">
        <v>1762</v>
      </c>
      <c r="G346">
        <v>2837</v>
      </c>
      <c r="H346">
        <v>2496</v>
      </c>
      <c r="I346">
        <v>1094</v>
      </c>
      <c r="J346">
        <v>789</v>
      </c>
      <c r="K346">
        <v>228</v>
      </c>
      <c r="L346">
        <v>10159</v>
      </c>
    </row>
    <row r="347" spans="1:12" x14ac:dyDescent="0.25">
      <c r="A347" t="s">
        <v>2</v>
      </c>
      <c r="B347" t="s">
        <v>53</v>
      </c>
      <c r="C347">
        <v>2010</v>
      </c>
      <c r="D347">
        <v>6</v>
      </c>
      <c r="E347">
        <v>1213</v>
      </c>
      <c r="F347">
        <v>1920</v>
      </c>
      <c r="G347">
        <v>2717</v>
      </c>
      <c r="H347">
        <v>2559</v>
      </c>
      <c r="I347">
        <v>1110</v>
      </c>
      <c r="J347">
        <v>867</v>
      </c>
      <c r="K347">
        <v>230</v>
      </c>
      <c r="L347">
        <v>10622</v>
      </c>
    </row>
    <row r="348" spans="1:12" x14ac:dyDescent="0.25">
      <c r="A348" t="s">
        <v>2</v>
      </c>
      <c r="B348" t="s">
        <v>53</v>
      </c>
      <c r="C348">
        <v>2011</v>
      </c>
      <c r="D348">
        <v>9</v>
      </c>
      <c r="E348">
        <v>1167</v>
      </c>
      <c r="F348">
        <v>1956</v>
      </c>
      <c r="G348">
        <v>2622</v>
      </c>
      <c r="H348">
        <v>2658</v>
      </c>
      <c r="I348">
        <v>1117</v>
      </c>
      <c r="J348">
        <v>867</v>
      </c>
      <c r="K348">
        <v>282</v>
      </c>
      <c r="L348">
        <v>10678</v>
      </c>
    </row>
    <row r="349" spans="1:12" x14ac:dyDescent="0.25">
      <c r="A349" t="s">
        <v>2</v>
      </c>
      <c r="B349" t="s">
        <v>53</v>
      </c>
      <c r="C349">
        <v>2012</v>
      </c>
      <c r="D349">
        <v>4</v>
      </c>
      <c r="E349">
        <v>1269</v>
      </c>
      <c r="F349">
        <v>2001</v>
      </c>
      <c r="G349">
        <v>2455</v>
      </c>
      <c r="H349">
        <v>2782</v>
      </c>
      <c r="I349">
        <v>1087</v>
      </c>
      <c r="J349">
        <v>900</v>
      </c>
      <c r="K349">
        <v>334</v>
      </c>
      <c r="L349">
        <v>10832</v>
      </c>
    </row>
    <row r="350" spans="1:12" x14ac:dyDescent="0.25">
      <c r="A350" t="s">
        <v>2</v>
      </c>
      <c r="B350" t="s">
        <v>53</v>
      </c>
      <c r="C350">
        <v>2013</v>
      </c>
      <c r="D350">
        <v>7</v>
      </c>
      <c r="E350">
        <v>1318</v>
      </c>
      <c r="F350">
        <v>2104</v>
      </c>
      <c r="G350">
        <v>2370</v>
      </c>
      <c r="H350">
        <v>2868</v>
      </c>
      <c r="I350">
        <v>1070</v>
      </c>
      <c r="J350">
        <v>942</v>
      </c>
      <c r="K350">
        <v>343</v>
      </c>
      <c r="L350">
        <v>11022</v>
      </c>
    </row>
    <row r="351" spans="1:12" x14ac:dyDescent="0.25">
      <c r="A351" t="s">
        <v>2</v>
      </c>
      <c r="B351" t="s">
        <v>53</v>
      </c>
      <c r="C351">
        <v>2014</v>
      </c>
      <c r="D351">
        <v>8</v>
      </c>
      <c r="E351">
        <v>1276</v>
      </c>
      <c r="F351">
        <v>2240</v>
      </c>
      <c r="G351">
        <v>2268</v>
      </c>
      <c r="H351">
        <v>2971</v>
      </c>
      <c r="I351">
        <v>1075</v>
      </c>
      <c r="J351">
        <v>929</v>
      </c>
      <c r="K351">
        <v>360</v>
      </c>
      <c r="L351">
        <v>11127</v>
      </c>
    </row>
    <row r="352" spans="1:12" x14ac:dyDescent="0.25">
      <c r="A352" t="s">
        <v>2</v>
      </c>
      <c r="B352" t="s">
        <v>53</v>
      </c>
      <c r="C352">
        <v>2015</v>
      </c>
      <c r="D352">
        <v>3</v>
      </c>
      <c r="E352">
        <v>1368</v>
      </c>
      <c r="F352">
        <v>2390</v>
      </c>
      <c r="G352">
        <v>2171</v>
      </c>
      <c r="H352">
        <v>2989</v>
      </c>
      <c r="I352">
        <v>1091</v>
      </c>
      <c r="J352">
        <v>931</v>
      </c>
      <c r="K352">
        <v>389</v>
      </c>
      <c r="L352">
        <v>11332</v>
      </c>
    </row>
    <row r="353" spans="1:12" x14ac:dyDescent="0.25">
      <c r="A353" t="s">
        <v>2</v>
      </c>
      <c r="B353" t="s">
        <v>53</v>
      </c>
      <c r="C353">
        <v>2016</v>
      </c>
      <c r="D353">
        <v>3</v>
      </c>
      <c r="E353">
        <v>1554</v>
      </c>
      <c r="F353">
        <v>2632</v>
      </c>
      <c r="G353">
        <v>2088</v>
      </c>
      <c r="H353">
        <v>3043</v>
      </c>
      <c r="I353">
        <v>1129</v>
      </c>
      <c r="J353">
        <v>948</v>
      </c>
      <c r="K353">
        <v>410</v>
      </c>
      <c r="L353">
        <v>11807</v>
      </c>
    </row>
    <row r="354" spans="1:12" x14ac:dyDescent="0.25">
      <c r="A354" t="s">
        <v>2</v>
      </c>
      <c r="B354" t="s">
        <v>53</v>
      </c>
      <c r="C354">
        <v>2017</v>
      </c>
      <c r="D354">
        <v>4</v>
      </c>
      <c r="E354">
        <v>1602</v>
      </c>
      <c r="F354">
        <v>2856</v>
      </c>
      <c r="G354">
        <v>2069</v>
      </c>
      <c r="H354">
        <v>3057</v>
      </c>
      <c r="I354">
        <v>1171</v>
      </c>
      <c r="J354">
        <v>911</v>
      </c>
      <c r="K354">
        <v>450</v>
      </c>
      <c r="L354">
        <v>12120</v>
      </c>
    </row>
    <row r="355" spans="1:12" x14ac:dyDescent="0.25">
      <c r="A355" t="s">
        <v>2</v>
      </c>
      <c r="B355" t="s">
        <v>53</v>
      </c>
      <c r="C355">
        <v>2018</v>
      </c>
      <c r="D355">
        <v>5</v>
      </c>
      <c r="E355">
        <v>1310</v>
      </c>
      <c r="F355">
        <v>3124</v>
      </c>
      <c r="G355">
        <v>2117</v>
      </c>
      <c r="H355">
        <v>3034</v>
      </c>
      <c r="I355">
        <v>1278</v>
      </c>
      <c r="J355">
        <v>902</v>
      </c>
      <c r="K355">
        <v>498</v>
      </c>
      <c r="L355">
        <v>12268</v>
      </c>
    </row>
    <row r="356" spans="1:12" x14ac:dyDescent="0.25">
      <c r="A356" t="s">
        <v>2</v>
      </c>
      <c r="B356" t="s">
        <v>53</v>
      </c>
      <c r="C356">
        <v>2019</v>
      </c>
      <c r="D356">
        <v>1</v>
      </c>
      <c r="E356">
        <v>1690</v>
      </c>
      <c r="F356">
        <v>3414</v>
      </c>
      <c r="G356">
        <v>2103</v>
      </c>
      <c r="H356">
        <v>3011</v>
      </c>
      <c r="I356">
        <v>1333</v>
      </c>
      <c r="J356">
        <v>929</v>
      </c>
      <c r="K356">
        <v>571</v>
      </c>
      <c r="L356">
        <v>13052</v>
      </c>
    </row>
    <row r="357" spans="1:12" x14ac:dyDescent="0.25">
      <c r="A357" t="s">
        <v>2</v>
      </c>
      <c r="B357" t="s">
        <v>53</v>
      </c>
      <c r="C357">
        <v>2020</v>
      </c>
      <c r="D357">
        <v>4</v>
      </c>
      <c r="E357">
        <v>1517</v>
      </c>
      <c r="F357">
        <v>3314</v>
      </c>
      <c r="G357">
        <v>2206</v>
      </c>
      <c r="H357">
        <v>2905</v>
      </c>
      <c r="I357">
        <v>1414</v>
      </c>
      <c r="J357">
        <v>951</v>
      </c>
      <c r="K357">
        <v>535</v>
      </c>
      <c r="L357">
        <v>12846</v>
      </c>
    </row>
    <row r="358" spans="1:12" x14ac:dyDescent="0.25">
      <c r="A358" t="s">
        <v>2</v>
      </c>
      <c r="B358" t="s">
        <v>53</v>
      </c>
      <c r="C358">
        <v>2021</v>
      </c>
      <c r="D358">
        <v>1</v>
      </c>
      <c r="E358">
        <v>1664</v>
      </c>
      <c r="F358">
        <v>3299</v>
      </c>
      <c r="G358">
        <v>2297</v>
      </c>
      <c r="H358">
        <v>2858</v>
      </c>
      <c r="I358">
        <v>1516</v>
      </c>
      <c r="J358">
        <v>989</v>
      </c>
      <c r="K358">
        <v>574</v>
      </c>
      <c r="L358">
        <v>13198</v>
      </c>
    </row>
    <row r="359" spans="1:12" x14ac:dyDescent="0.25">
      <c r="A359" t="s">
        <v>2</v>
      </c>
      <c r="B359" t="s">
        <v>53</v>
      </c>
      <c r="C359">
        <v>2022</v>
      </c>
      <c r="D359">
        <v>7</v>
      </c>
      <c r="E359">
        <v>1963</v>
      </c>
      <c r="F359">
        <v>3457</v>
      </c>
      <c r="G359">
        <v>2458</v>
      </c>
      <c r="H359">
        <v>2787</v>
      </c>
      <c r="I359">
        <v>1634</v>
      </c>
      <c r="J359">
        <v>1068</v>
      </c>
      <c r="K359">
        <v>575</v>
      </c>
      <c r="L359">
        <v>13949</v>
      </c>
    </row>
    <row r="360" spans="1:12" x14ac:dyDescent="0.25">
      <c r="A360" t="s">
        <v>2</v>
      </c>
      <c r="B360" t="s">
        <v>53</v>
      </c>
      <c r="C360">
        <v>2023</v>
      </c>
      <c r="D360">
        <v>2</v>
      </c>
      <c r="E360">
        <v>2016</v>
      </c>
      <c r="F360">
        <v>3500</v>
      </c>
      <c r="G360">
        <v>2598</v>
      </c>
      <c r="H360">
        <v>2674</v>
      </c>
      <c r="I360">
        <v>1642</v>
      </c>
      <c r="J360">
        <v>1155</v>
      </c>
      <c r="K360">
        <v>657</v>
      </c>
      <c r="L360">
        <v>14244</v>
      </c>
    </row>
    <row r="361" spans="1:12" x14ac:dyDescent="0.25">
      <c r="A361" t="s">
        <v>2</v>
      </c>
      <c r="B361" t="s">
        <v>53</v>
      </c>
      <c r="C361">
        <v>2024</v>
      </c>
      <c r="D361">
        <v>4</v>
      </c>
      <c r="E361">
        <v>1808</v>
      </c>
      <c r="F361">
        <v>3487</v>
      </c>
      <c r="G361">
        <v>2758</v>
      </c>
      <c r="H361">
        <v>2568</v>
      </c>
      <c r="I361">
        <v>1641</v>
      </c>
      <c r="J361">
        <v>1216</v>
      </c>
      <c r="K361">
        <v>704</v>
      </c>
      <c r="L361">
        <v>14186</v>
      </c>
    </row>
    <row r="362" spans="1:12" x14ac:dyDescent="0.25">
      <c r="A362" t="s">
        <v>2</v>
      </c>
      <c r="B362" t="s">
        <v>54</v>
      </c>
      <c r="C362">
        <v>2001</v>
      </c>
      <c r="D362">
        <v>0</v>
      </c>
      <c r="E362">
        <v>484</v>
      </c>
      <c r="F362">
        <v>5195</v>
      </c>
      <c r="G362">
        <v>4006</v>
      </c>
      <c r="H362">
        <v>3721</v>
      </c>
      <c r="I362">
        <v>1519</v>
      </c>
      <c r="J362">
        <v>752</v>
      </c>
      <c r="K362">
        <v>186</v>
      </c>
      <c r="L362">
        <v>15863</v>
      </c>
    </row>
    <row r="363" spans="1:12" x14ac:dyDescent="0.25">
      <c r="A363" t="s">
        <v>2</v>
      </c>
      <c r="B363" t="s">
        <v>54</v>
      </c>
      <c r="C363">
        <v>2002</v>
      </c>
      <c r="D363">
        <v>0</v>
      </c>
      <c r="E363">
        <v>468</v>
      </c>
      <c r="F363">
        <v>5524</v>
      </c>
      <c r="G363">
        <v>4183</v>
      </c>
      <c r="H363">
        <v>3763</v>
      </c>
      <c r="I363">
        <v>1596</v>
      </c>
      <c r="J363">
        <v>839</v>
      </c>
      <c r="K363">
        <v>224</v>
      </c>
      <c r="L363">
        <v>16597</v>
      </c>
    </row>
    <row r="364" spans="1:12" x14ac:dyDescent="0.25">
      <c r="A364" t="s">
        <v>2</v>
      </c>
      <c r="B364" t="s">
        <v>54</v>
      </c>
      <c r="C364">
        <v>2003</v>
      </c>
      <c r="D364">
        <v>0</v>
      </c>
      <c r="E364">
        <v>384</v>
      </c>
      <c r="F364">
        <v>5730</v>
      </c>
      <c r="G364">
        <v>4220</v>
      </c>
      <c r="H364">
        <v>3766</v>
      </c>
      <c r="I364">
        <v>1625</v>
      </c>
      <c r="J364">
        <v>918</v>
      </c>
      <c r="K364">
        <v>212</v>
      </c>
      <c r="L364">
        <v>16855</v>
      </c>
    </row>
    <row r="365" spans="1:12" x14ac:dyDescent="0.25">
      <c r="A365" t="s">
        <v>2</v>
      </c>
      <c r="B365" t="s">
        <v>54</v>
      </c>
      <c r="C365">
        <v>2004</v>
      </c>
      <c r="D365">
        <v>0</v>
      </c>
      <c r="E365">
        <v>460</v>
      </c>
      <c r="F365">
        <v>6022</v>
      </c>
      <c r="G365">
        <v>4376</v>
      </c>
      <c r="H365">
        <v>3764</v>
      </c>
      <c r="I365">
        <v>1691</v>
      </c>
      <c r="J365">
        <v>1057</v>
      </c>
      <c r="K365">
        <v>283</v>
      </c>
      <c r="L365">
        <v>17653</v>
      </c>
    </row>
    <row r="366" spans="1:12" x14ac:dyDescent="0.25">
      <c r="A366" t="s">
        <v>2</v>
      </c>
      <c r="B366" t="s">
        <v>54</v>
      </c>
      <c r="C366">
        <v>2005</v>
      </c>
      <c r="D366">
        <v>0</v>
      </c>
      <c r="E366">
        <v>426</v>
      </c>
      <c r="F366">
        <v>6282</v>
      </c>
      <c r="G366">
        <v>4609</v>
      </c>
      <c r="H366">
        <v>3843</v>
      </c>
      <c r="I366">
        <v>1670</v>
      </c>
      <c r="J366">
        <v>1190</v>
      </c>
      <c r="K366">
        <v>301</v>
      </c>
      <c r="L366">
        <v>18321</v>
      </c>
    </row>
    <row r="367" spans="1:12" x14ac:dyDescent="0.25">
      <c r="A367" t="s">
        <v>2</v>
      </c>
      <c r="B367" t="s">
        <v>54</v>
      </c>
      <c r="C367">
        <v>2006</v>
      </c>
      <c r="D367">
        <v>0</v>
      </c>
      <c r="E367">
        <v>454</v>
      </c>
      <c r="F367">
        <v>6684</v>
      </c>
      <c r="G367">
        <v>4885</v>
      </c>
      <c r="H367">
        <v>3900</v>
      </c>
      <c r="I367">
        <v>1730</v>
      </c>
      <c r="J367">
        <v>1284</v>
      </c>
      <c r="K367">
        <v>321</v>
      </c>
      <c r="L367">
        <v>19258</v>
      </c>
    </row>
    <row r="368" spans="1:12" x14ac:dyDescent="0.25">
      <c r="A368" t="s">
        <v>2</v>
      </c>
      <c r="B368" t="s">
        <v>54</v>
      </c>
      <c r="C368">
        <v>2007</v>
      </c>
      <c r="D368">
        <v>0</v>
      </c>
      <c r="E368">
        <v>521</v>
      </c>
      <c r="F368">
        <v>7021</v>
      </c>
      <c r="G368">
        <v>5191</v>
      </c>
      <c r="H368">
        <v>3984</v>
      </c>
      <c r="I368">
        <v>1760</v>
      </c>
      <c r="J368">
        <v>1363</v>
      </c>
      <c r="K368">
        <v>374</v>
      </c>
      <c r="L368">
        <v>20214</v>
      </c>
    </row>
    <row r="369" spans="1:12" x14ac:dyDescent="0.25">
      <c r="A369" t="s">
        <v>2</v>
      </c>
      <c r="B369" t="s">
        <v>54</v>
      </c>
      <c r="C369">
        <v>2008</v>
      </c>
      <c r="D369">
        <v>0</v>
      </c>
      <c r="E369">
        <v>517</v>
      </c>
      <c r="F369">
        <v>6999</v>
      </c>
      <c r="G369">
        <v>5583</v>
      </c>
      <c r="H369">
        <v>4067</v>
      </c>
      <c r="I369">
        <v>1809</v>
      </c>
      <c r="J369">
        <v>1429</v>
      </c>
      <c r="K369">
        <v>442</v>
      </c>
      <c r="L369">
        <v>20846</v>
      </c>
    </row>
    <row r="370" spans="1:12" x14ac:dyDescent="0.25">
      <c r="A370" t="s">
        <v>2</v>
      </c>
      <c r="B370" t="s">
        <v>54</v>
      </c>
      <c r="C370">
        <v>2009</v>
      </c>
      <c r="D370">
        <v>0</v>
      </c>
      <c r="E370">
        <v>494</v>
      </c>
      <c r="F370">
        <v>6908</v>
      </c>
      <c r="G370">
        <v>5855</v>
      </c>
      <c r="H370">
        <v>4190</v>
      </c>
      <c r="I370">
        <v>1759</v>
      </c>
      <c r="J370">
        <v>1482</v>
      </c>
      <c r="K370">
        <v>531</v>
      </c>
      <c r="L370">
        <v>21219</v>
      </c>
    </row>
    <row r="371" spans="1:12" x14ac:dyDescent="0.25">
      <c r="A371" t="s">
        <v>2</v>
      </c>
      <c r="B371" t="s">
        <v>54</v>
      </c>
      <c r="C371">
        <v>2010</v>
      </c>
      <c r="D371">
        <v>0</v>
      </c>
      <c r="E371">
        <v>548</v>
      </c>
      <c r="F371">
        <v>7172</v>
      </c>
      <c r="G371">
        <v>6231</v>
      </c>
      <c r="H371">
        <v>4400</v>
      </c>
      <c r="I371">
        <v>1785</v>
      </c>
      <c r="J371">
        <v>1503</v>
      </c>
      <c r="K371">
        <v>585</v>
      </c>
      <c r="L371">
        <v>22224</v>
      </c>
    </row>
    <row r="372" spans="1:12" x14ac:dyDescent="0.25">
      <c r="A372" t="s">
        <v>2</v>
      </c>
      <c r="B372" t="s">
        <v>54</v>
      </c>
      <c r="C372">
        <v>2011</v>
      </c>
      <c r="D372">
        <v>0</v>
      </c>
      <c r="E372">
        <v>591</v>
      </c>
      <c r="F372">
        <v>7153</v>
      </c>
      <c r="G372">
        <v>6597</v>
      </c>
      <c r="H372">
        <v>4576</v>
      </c>
      <c r="I372">
        <v>1807</v>
      </c>
      <c r="J372">
        <v>1539</v>
      </c>
      <c r="K372">
        <v>718</v>
      </c>
      <c r="L372">
        <v>22981</v>
      </c>
    </row>
    <row r="373" spans="1:12" x14ac:dyDescent="0.25">
      <c r="A373" t="s">
        <v>2</v>
      </c>
      <c r="B373" t="s">
        <v>54</v>
      </c>
      <c r="C373">
        <v>2012</v>
      </c>
      <c r="D373">
        <v>0</v>
      </c>
      <c r="E373">
        <v>666</v>
      </c>
      <c r="F373">
        <v>7294</v>
      </c>
      <c r="G373">
        <v>6903</v>
      </c>
      <c r="H373">
        <v>4732</v>
      </c>
      <c r="I373">
        <v>1828</v>
      </c>
      <c r="J373">
        <v>1574</v>
      </c>
      <c r="K373">
        <v>775</v>
      </c>
      <c r="L373">
        <v>23772</v>
      </c>
    </row>
    <row r="374" spans="1:12" x14ac:dyDescent="0.25">
      <c r="A374" t="s">
        <v>2</v>
      </c>
      <c r="B374" t="s">
        <v>54</v>
      </c>
      <c r="C374">
        <v>2013</v>
      </c>
      <c r="D374">
        <v>0</v>
      </c>
      <c r="E374">
        <v>758</v>
      </c>
      <c r="F374">
        <v>7424</v>
      </c>
      <c r="G374">
        <v>7196</v>
      </c>
      <c r="H374">
        <v>4882</v>
      </c>
      <c r="I374">
        <v>1849</v>
      </c>
      <c r="J374">
        <v>1600</v>
      </c>
      <c r="K374">
        <v>886</v>
      </c>
      <c r="L374">
        <v>24595</v>
      </c>
    </row>
    <row r="375" spans="1:12" x14ac:dyDescent="0.25">
      <c r="A375" t="s">
        <v>2</v>
      </c>
      <c r="B375" t="s">
        <v>54</v>
      </c>
      <c r="C375">
        <v>2014</v>
      </c>
      <c r="D375">
        <v>0</v>
      </c>
      <c r="E375">
        <v>764</v>
      </c>
      <c r="F375">
        <v>7552</v>
      </c>
      <c r="G375">
        <v>7553</v>
      </c>
      <c r="H375">
        <v>5056</v>
      </c>
      <c r="I375">
        <v>1927</v>
      </c>
      <c r="J375">
        <v>1534</v>
      </c>
      <c r="K375">
        <v>1005</v>
      </c>
      <c r="L375">
        <v>25391</v>
      </c>
    </row>
    <row r="376" spans="1:12" x14ac:dyDescent="0.25">
      <c r="A376" t="s">
        <v>2</v>
      </c>
      <c r="B376" t="s">
        <v>54</v>
      </c>
      <c r="C376">
        <v>2015</v>
      </c>
      <c r="D376">
        <v>0</v>
      </c>
      <c r="E376">
        <v>776</v>
      </c>
      <c r="F376">
        <v>7692</v>
      </c>
      <c r="G376">
        <v>7878</v>
      </c>
      <c r="H376">
        <v>5279</v>
      </c>
      <c r="I376">
        <v>1981</v>
      </c>
      <c r="J376">
        <v>1555</v>
      </c>
      <c r="K376">
        <v>1042</v>
      </c>
      <c r="L376">
        <v>26203</v>
      </c>
    </row>
    <row r="377" spans="1:12" x14ac:dyDescent="0.25">
      <c r="A377" t="s">
        <v>2</v>
      </c>
      <c r="B377" t="s">
        <v>54</v>
      </c>
      <c r="C377">
        <v>2016</v>
      </c>
      <c r="D377">
        <v>0</v>
      </c>
      <c r="E377">
        <v>881</v>
      </c>
      <c r="F377">
        <v>8083</v>
      </c>
      <c r="G377">
        <v>8153</v>
      </c>
      <c r="H377">
        <v>5564</v>
      </c>
      <c r="I377">
        <v>2015</v>
      </c>
      <c r="J377">
        <v>1606</v>
      </c>
      <c r="K377">
        <v>1034</v>
      </c>
      <c r="L377">
        <v>27336</v>
      </c>
    </row>
    <row r="378" spans="1:12" x14ac:dyDescent="0.25">
      <c r="A378" t="s">
        <v>2</v>
      </c>
      <c r="B378" t="s">
        <v>54</v>
      </c>
      <c r="C378">
        <v>2017</v>
      </c>
      <c r="D378">
        <v>0</v>
      </c>
      <c r="E378">
        <v>896</v>
      </c>
      <c r="F378">
        <v>8314</v>
      </c>
      <c r="G378">
        <v>8343</v>
      </c>
      <c r="H378">
        <v>5879</v>
      </c>
      <c r="I378">
        <v>2059</v>
      </c>
      <c r="J378">
        <v>1623</v>
      </c>
      <c r="K378">
        <v>1106</v>
      </c>
      <c r="L378">
        <v>28220</v>
      </c>
    </row>
    <row r="379" spans="1:12" x14ac:dyDescent="0.25">
      <c r="A379" t="s">
        <v>2</v>
      </c>
      <c r="B379" t="s">
        <v>54</v>
      </c>
      <c r="C379">
        <v>2018</v>
      </c>
      <c r="D379">
        <v>0</v>
      </c>
      <c r="E379">
        <v>888</v>
      </c>
      <c r="F379">
        <v>8590</v>
      </c>
      <c r="G379">
        <v>8505</v>
      </c>
      <c r="H379">
        <v>6204</v>
      </c>
      <c r="I379">
        <v>2125</v>
      </c>
      <c r="J379">
        <v>1663</v>
      </c>
      <c r="K379">
        <v>1130</v>
      </c>
      <c r="L379">
        <v>29105</v>
      </c>
    </row>
    <row r="380" spans="1:12" x14ac:dyDescent="0.25">
      <c r="A380" t="s">
        <v>2</v>
      </c>
      <c r="B380" t="s">
        <v>54</v>
      </c>
      <c r="C380">
        <v>2019</v>
      </c>
      <c r="D380">
        <v>0</v>
      </c>
      <c r="E380">
        <v>844</v>
      </c>
      <c r="F380">
        <v>9178</v>
      </c>
      <c r="G380">
        <v>8573</v>
      </c>
      <c r="H380">
        <v>6501</v>
      </c>
      <c r="I380">
        <v>2227</v>
      </c>
      <c r="J380">
        <v>1704</v>
      </c>
      <c r="K380">
        <v>1184</v>
      </c>
      <c r="L380">
        <v>30211</v>
      </c>
    </row>
    <row r="381" spans="1:12" x14ac:dyDescent="0.25">
      <c r="A381" t="s">
        <v>2</v>
      </c>
      <c r="B381" t="s">
        <v>54</v>
      </c>
      <c r="C381">
        <v>2020</v>
      </c>
      <c r="D381">
        <v>0</v>
      </c>
      <c r="E381">
        <v>813</v>
      </c>
      <c r="F381">
        <v>9238</v>
      </c>
      <c r="G381">
        <v>8635</v>
      </c>
      <c r="H381">
        <v>6825</v>
      </c>
      <c r="I381">
        <v>2332</v>
      </c>
      <c r="J381">
        <v>1709</v>
      </c>
      <c r="K381">
        <v>1093</v>
      </c>
      <c r="L381">
        <v>30645</v>
      </c>
    </row>
    <row r="382" spans="1:12" x14ac:dyDescent="0.25">
      <c r="A382" t="s">
        <v>2</v>
      </c>
      <c r="B382" t="s">
        <v>54</v>
      </c>
      <c r="C382">
        <v>2021</v>
      </c>
      <c r="D382">
        <v>0</v>
      </c>
      <c r="E382">
        <v>856</v>
      </c>
      <c r="F382">
        <v>9241</v>
      </c>
      <c r="G382">
        <v>8687</v>
      </c>
      <c r="H382">
        <v>7186</v>
      </c>
      <c r="I382">
        <v>2462</v>
      </c>
      <c r="J382">
        <v>1745</v>
      </c>
      <c r="K382">
        <v>1170</v>
      </c>
      <c r="L382">
        <v>31347</v>
      </c>
    </row>
    <row r="383" spans="1:12" x14ac:dyDescent="0.25">
      <c r="A383" t="s">
        <v>2</v>
      </c>
      <c r="B383" t="s">
        <v>54</v>
      </c>
      <c r="C383">
        <v>2022</v>
      </c>
      <c r="D383">
        <v>0</v>
      </c>
      <c r="E383">
        <v>859</v>
      </c>
      <c r="F383">
        <v>9208</v>
      </c>
      <c r="G383">
        <v>8823</v>
      </c>
      <c r="H383">
        <v>7493</v>
      </c>
      <c r="I383">
        <v>2665</v>
      </c>
      <c r="J383">
        <v>1830</v>
      </c>
      <c r="K383">
        <v>1275</v>
      </c>
      <c r="L383">
        <v>32153</v>
      </c>
    </row>
    <row r="384" spans="1:12" x14ac:dyDescent="0.25">
      <c r="A384" t="s">
        <v>2</v>
      </c>
      <c r="B384" t="s">
        <v>54</v>
      </c>
      <c r="C384">
        <v>2023</v>
      </c>
      <c r="D384">
        <v>0</v>
      </c>
      <c r="E384">
        <v>967</v>
      </c>
      <c r="F384">
        <v>9246</v>
      </c>
      <c r="G384">
        <v>8996</v>
      </c>
      <c r="H384">
        <v>7756</v>
      </c>
      <c r="I384">
        <v>2735</v>
      </c>
      <c r="J384">
        <v>1910</v>
      </c>
      <c r="K384">
        <v>1330</v>
      </c>
      <c r="L384">
        <v>32940</v>
      </c>
    </row>
    <row r="385" spans="1:12" x14ac:dyDescent="0.25">
      <c r="A385" t="s">
        <v>2</v>
      </c>
      <c r="B385" t="s">
        <v>54</v>
      </c>
      <c r="C385">
        <v>2024</v>
      </c>
      <c r="D385">
        <v>0</v>
      </c>
      <c r="E385">
        <v>1038</v>
      </c>
      <c r="F385">
        <v>9003</v>
      </c>
      <c r="G385">
        <v>9105</v>
      </c>
      <c r="H385">
        <v>8032</v>
      </c>
      <c r="I385">
        <v>2779</v>
      </c>
      <c r="J385">
        <v>1985</v>
      </c>
      <c r="K385">
        <v>1379</v>
      </c>
      <c r="L385">
        <v>33321</v>
      </c>
    </row>
    <row r="386" spans="1:12" x14ac:dyDescent="0.25">
      <c r="A386" t="s">
        <v>2</v>
      </c>
      <c r="B386" t="s">
        <v>55</v>
      </c>
      <c r="C386">
        <v>2001</v>
      </c>
      <c r="D386">
        <v>18</v>
      </c>
      <c r="E386">
        <v>29</v>
      </c>
      <c r="F386">
        <v>68</v>
      </c>
      <c r="G386">
        <v>32</v>
      </c>
      <c r="H386">
        <v>15</v>
      </c>
      <c r="I386">
        <v>8</v>
      </c>
      <c r="J386">
        <v>6</v>
      </c>
      <c r="K386">
        <v>56</v>
      </c>
      <c r="L386">
        <v>232</v>
      </c>
    </row>
    <row r="387" spans="1:12" x14ac:dyDescent="0.25">
      <c r="A387" t="s">
        <v>2</v>
      </c>
      <c r="B387" t="s">
        <v>55</v>
      </c>
      <c r="C387">
        <v>2002</v>
      </c>
      <c r="D387">
        <v>8</v>
      </c>
      <c r="E387">
        <v>17</v>
      </c>
      <c r="F387">
        <v>42</v>
      </c>
      <c r="G387">
        <v>18</v>
      </c>
      <c r="H387">
        <v>11</v>
      </c>
      <c r="I387">
        <v>11</v>
      </c>
      <c r="J387">
        <v>5</v>
      </c>
      <c r="K387">
        <v>55</v>
      </c>
      <c r="L387">
        <v>167</v>
      </c>
    </row>
    <row r="388" spans="1:12" x14ac:dyDescent="0.25">
      <c r="A388" t="s">
        <v>2</v>
      </c>
      <c r="B388" t="s">
        <v>55</v>
      </c>
      <c r="C388">
        <v>2003</v>
      </c>
      <c r="D388">
        <v>14</v>
      </c>
      <c r="E388">
        <v>16</v>
      </c>
      <c r="F388">
        <v>51</v>
      </c>
      <c r="G388">
        <v>23</v>
      </c>
      <c r="H388">
        <v>16</v>
      </c>
      <c r="I388">
        <v>5</v>
      </c>
      <c r="J388">
        <v>4</v>
      </c>
      <c r="K388">
        <v>38</v>
      </c>
      <c r="L388">
        <v>167</v>
      </c>
    </row>
    <row r="389" spans="1:12" x14ac:dyDescent="0.25">
      <c r="A389" t="s">
        <v>2</v>
      </c>
      <c r="B389" t="s">
        <v>55</v>
      </c>
      <c r="C389">
        <v>2004</v>
      </c>
      <c r="D389">
        <v>10</v>
      </c>
      <c r="E389">
        <v>15</v>
      </c>
      <c r="F389">
        <v>48</v>
      </c>
      <c r="G389">
        <v>22</v>
      </c>
      <c r="H389">
        <v>20</v>
      </c>
      <c r="I389">
        <v>4</v>
      </c>
      <c r="J389">
        <v>6</v>
      </c>
      <c r="K389">
        <v>101</v>
      </c>
      <c r="L389">
        <v>226</v>
      </c>
    </row>
    <row r="390" spans="1:12" x14ac:dyDescent="0.25">
      <c r="A390" t="s">
        <v>2</v>
      </c>
      <c r="B390" t="s">
        <v>55</v>
      </c>
      <c r="C390">
        <v>2005</v>
      </c>
      <c r="D390">
        <v>11</v>
      </c>
      <c r="E390">
        <v>21</v>
      </c>
      <c r="F390">
        <v>49</v>
      </c>
      <c r="G390">
        <v>19</v>
      </c>
      <c r="H390">
        <v>18</v>
      </c>
      <c r="I390">
        <v>2</v>
      </c>
      <c r="J390">
        <v>5</v>
      </c>
      <c r="K390">
        <v>82</v>
      </c>
      <c r="L390">
        <v>207</v>
      </c>
    </row>
    <row r="391" spans="1:12" x14ac:dyDescent="0.25">
      <c r="A391" t="s">
        <v>2</v>
      </c>
      <c r="B391" t="s">
        <v>55</v>
      </c>
      <c r="C391">
        <v>2006</v>
      </c>
      <c r="D391">
        <v>10</v>
      </c>
      <c r="E391">
        <v>39</v>
      </c>
      <c r="F391">
        <v>44</v>
      </c>
      <c r="G391">
        <v>22</v>
      </c>
      <c r="H391">
        <v>25</v>
      </c>
      <c r="I391">
        <v>2</v>
      </c>
      <c r="J391">
        <v>3</v>
      </c>
      <c r="K391">
        <v>101</v>
      </c>
      <c r="L391">
        <v>246</v>
      </c>
    </row>
    <row r="392" spans="1:12" x14ac:dyDescent="0.25">
      <c r="A392" t="s">
        <v>2</v>
      </c>
      <c r="B392" t="s">
        <v>55</v>
      </c>
      <c r="C392">
        <v>2007</v>
      </c>
      <c r="D392">
        <v>4</v>
      </c>
      <c r="E392">
        <v>22</v>
      </c>
      <c r="F392">
        <v>51</v>
      </c>
      <c r="G392">
        <v>22</v>
      </c>
      <c r="H392">
        <v>19</v>
      </c>
      <c r="I392">
        <v>3</v>
      </c>
      <c r="J392">
        <v>4</v>
      </c>
      <c r="K392">
        <v>83</v>
      </c>
      <c r="L392">
        <v>208</v>
      </c>
    </row>
    <row r="393" spans="1:12" x14ac:dyDescent="0.25">
      <c r="A393" t="s">
        <v>2</v>
      </c>
      <c r="B393" t="s">
        <v>55</v>
      </c>
      <c r="C393">
        <v>2008</v>
      </c>
      <c r="D393">
        <v>5</v>
      </c>
      <c r="E393">
        <v>27</v>
      </c>
      <c r="F393">
        <v>72</v>
      </c>
      <c r="G393">
        <v>34</v>
      </c>
      <c r="H393">
        <v>19</v>
      </c>
      <c r="I393">
        <v>7</v>
      </c>
      <c r="J393">
        <v>5</v>
      </c>
      <c r="K393">
        <v>2</v>
      </c>
      <c r="L393">
        <v>171</v>
      </c>
    </row>
    <row r="394" spans="1:12" x14ac:dyDescent="0.25">
      <c r="A394" t="s">
        <v>2</v>
      </c>
      <c r="B394" t="s">
        <v>55</v>
      </c>
      <c r="C394">
        <v>2009</v>
      </c>
      <c r="D394">
        <v>6</v>
      </c>
      <c r="E394">
        <v>33</v>
      </c>
      <c r="F394">
        <v>91</v>
      </c>
      <c r="G394">
        <v>39</v>
      </c>
      <c r="H394">
        <v>21</v>
      </c>
      <c r="I394">
        <v>7</v>
      </c>
      <c r="J394">
        <v>3</v>
      </c>
      <c r="K394">
        <v>2</v>
      </c>
      <c r="L394">
        <v>202</v>
      </c>
    </row>
    <row r="395" spans="1:12" x14ac:dyDescent="0.25">
      <c r="A395" t="s">
        <v>2</v>
      </c>
      <c r="B395" t="s">
        <v>55</v>
      </c>
      <c r="C395">
        <v>2010</v>
      </c>
      <c r="D395">
        <v>9</v>
      </c>
      <c r="E395">
        <v>38</v>
      </c>
      <c r="F395">
        <v>110</v>
      </c>
      <c r="G395">
        <v>47</v>
      </c>
      <c r="H395">
        <v>20</v>
      </c>
      <c r="I395">
        <v>8</v>
      </c>
      <c r="J395">
        <v>4</v>
      </c>
      <c r="K395">
        <v>83</v>
      </c>
      <c r="L395">
        <v>319</v>
      </c>
    </row>
    <row r="396" spans="1:12" x14ac:dyDescent="0.25">
      <c r="A396" t="s">
        <v>2</v>
      </c>
      <c r="B396" t="s">
        <v>55</v>
      </c>
      <c r="C396">
        <v>2011</v>
      </c>
      <c r="D396">
        <v>10</v>
      </c>
      <c r="E396">
        <v>29</v>
      </c>
      <c r="F396">
        <v>120</v>
      </c>
      <c r="G396">
        <v>52</v>
      </c>
      <c r="H396">
        <v>21</v>
      </c>
      <c r="I396">
        <v>8</v>
      </c>
      <c r="J396">
        <v>2</v>
      </c>
      <c r="K396">
        <v>4</v>
      </c>
      <c r="L396">
        <v>246</v>
      </c>
    </row>
    <row r="397" spans="1:12" x14ac:dyDescent="0.25">
      <c r="A397" t="s">
        <v>2</v>
      </c>
      <c r="B397" t="s">
        <v>55</v>
      </c>
      <c r="C397">
        <v>2012</v>
      </c>
      <c r="D397">
        <v>10</v>
      </c>
      <c r="E397">
        <v>36</v>
      </c>
      <c r="F397">
        <v>136</v>
      </c>
      <c r="G397">
        <v>58</v>
      </c>
      <c r="H397">
        <v>20</v>
      </c>
      <c r="I397">
        <v>10</v>
      </c>
      <c r="J397">
        <v>2</v>
      </c>
      <c r="K397">
        <v>4</v>
      </c>
      <c r="L397">
        <v>276</v>
      </c>
    </row>
    <row r="398" spans="1:12" x14ac:dyDescent="0.25">
      <c r="A398" t="s">
        <v>2</v>
      </c>
      <c r="B398" t="s">
        <v>55</v>
      </c>
      <c r="C398">
        <v>2013</v>
      </c>
      <c r="D398">
        <v>14</v>
      </c>
      <c r="E398">
        <v>40</v>
      </c>
      <c r="F398">
        <v>155</v>
      </c>
      <c r="G398">
        <v>77</v>
      </c>
      <c r="H398">
        <v>22</v>
      </c>
      <c r="I398">
        <v>9</v>
      </c>
      <c r="J398">
        <v>3</v>
      </c>
      <c r="K398">
        <v>5</v>
      </c>
      <c r="L398">
        <v>325</v>
      </c>
    </row>
    <row r="399" spans="1:12" x14ac:dyDescent="0.25">
      <c r="A399" t="s">
        <v>2</v>
      </c>
      <c r="B399" t="s">
        <v>55</v>
      </c>
      <c r="C399">
        <v>2014</v>
      </c>
      <c r="D399">
        <v>8</v>
      </c>
      <c r="E399">
        <v>44</v>
      </c>
      <c r="F399">
        <v>190</v>
      </c>
      <c r="G399">
        <v>104</v>
      </c>
      <c r="H399">
        <v>32</v>
      </c>
      <c r="I399">
        <v>10</v>
      </c>
      <c r="J399">
        <v>6</v>
      </c>
      <c r="K399">
        <v>4</v>
      </c>
      <c r="L399">
        <v>398</v>
      </c>
    </row>
    <row r="400" spans="1:12" x14ac:dyDescent="0.25">
      <c r="A400" t="s">
        <v>2</v>
      </c>
      <c r="B400" t="s">
        <v>55</v>
      </c>
      <c r="C400">
        <v>2015</v>
      </c>
      <c r="D400">
        <v>13</v>
      </c>
      <c r="E400">
        <v>48</v>
      </c>
      <c r="F400">
        <v>209</v>
      </c>
      <c r="G400">
        <v>123</v>
      </c>
      <c r="H400">
        <v>41</v>
      </c>
      <c r="I400">
        <v>16</v>
      </c>
      <c r="J400">
        <v>6</v>
      </c>
      <c r="K400">
        <v>5</v>
      </c>
      <c r="L400">
        <v>461</v>
      </c>
    </row>
    <row r="401" spans="1:12" x14ac:dyDescent="0.25">
      <c r="A401" t="s">
        <v>2</v>
      </c>
      <c r="B401" t="s">
        <v>55</v>
      </c>
      <c r="C401">
        <v>2016</v>
      </c>
      <c r="D401">
        <v>15</v>
      </c>
      <c r="E401">
        <v>68</v>
      </c>
      <c r="F401">
        <v>254</v>
      </c>
      <c r="G401">
        <v>161</v>
      </c>
      <c r="H401">
        <v>75</v>
      </c>
      <c r="I401">
        <v>17</v>
      </c>
      <c r="J401">
        <v>7</v>
      </c>
      <c r="K401">
        <v>6</v>
      </c>
      <c r="L401">
        <v>603</v>
      </c>
    </row>
    <row r="402" spans="1:12" x14ac:dyDescent="0.25">
      <c r="A402" t="s">
        <v>2</v>
      </c>
      <c r="B402" t="s">
        <v>55</v>
      </c>
      <c r="C402">
        <v>2017</v>
      </c>
      <c r="D402">
        <v>22</v>
      </c>
      <c r="E402">
        <v>95</v>
      </c>
      <c r="F402">
        <v>279</v>
      </c>
      <c r="G402">
        <v>198</v>
      </c>
      <c r="H402">
        <v>81</v>
      </c>
      <c r="I402">
        <v>19</v>
      </c>
      <c r="J402">
        <v>8</v>
      </c>
      <c r="K402">
        <v>3</v>
      </c>
      <c r="L402">
        <v>705</v>
      </c>
    </row>
    <row r="403" spans="1:12" x14ac:dyDescent="0.25">
      <c r="A403" t="s">
        <v>2</v>
      </c>
      <c r="B403" t="s">
        <v>55</v>
      </c>
      <c r="C403">
        <v>2018</v>
      </c>
      <c r="D403">
        <v>26</v>
      </c>
      <c r="E403">
        <v>83</v>
      </c>
      <c r="F403">
        <v>275</v>
      </c>
      <c r="G403">
        <v>184</v>
      </c>
      <c r="H403">
        <v>90</v>
      </c>
      <c r="I403">
        <v>17</v>
      </c>
      <c r="J403">
        <v>13</v>
      </c>
      <c r="K403">
        <v>4</v>
      </c>
      <c r="L403">
        <v>692</v>
      </c>
    </row>
    <row r="404" spans="1:12" x14ac:dyDescent="0.25">
      <c r="A404" t="s">
        <v>2</v>
      </c>
      <c r="B404" t="s">
        <v>55</v>
      </c>
      <c r="C404">
        <v>2019</v>
      </c>
      <c r="D404">
        <v>32</v>
      </c>
      <c r="E404">
        <v>138</v>
      </c>
      <c r="F404">
        <v>325</v>
      </c>
      <c r="G404">
        <v>185</v>
      </c>
      <c r="H404">
        <v>83</v>
      </c>
      <c r="I404">
        <v>12</v>
      </c>
      <c r="J404">
        <v>15</v>
      </c>
      <c r="K404">
        <v>6</v>
      </c>
      <c r="L404">
        <v>796</v>
      </c>
    </row>
    <row r="405" spans="1:12" x14ac:dyDescent="0.25">
      <c r="A405" t="s">
        <v>2</v>
      </c>
      <c r="B405" t="s">
        <v>55</v>
      </c>
      <c r="C405">
        <v>2020</v>
      </c>
      <c r="D405">
        <v>22</v>
      </c>
      <c r="E405">
        <v>131</v>
      </c>
      <c r="F405">
        <v>293</v>
      </c>
      <c r="G405">
        <v>203</v>
      </c>
      <c r="H405">
        <v>78</v>
      </c>
      <c r="I405">
        <v>16</v>
      </c>
      <c r="J405">
        <v>13</v>
      </c>
      <c r="K405">
        <v>8</v>
      </c>
      <c r="L405">
        <v>764</v>
      </c>
    </row>
    <row r="406" spans="1:12" x14ac:dyDescent="0.25">
      <c r="A406" t="s">
        <v>2</v>
      </c>
      <c r="B406" t="s">
        <v>55</v>
      </c>
      <c r="C406">
        <v>2021</v>
      </c>
      <c r="D406">
        <v>24</v>
      </c>
      <c r="E406">
        <v>141</v>
      </c>
      <c r="F406">
        <v>297</v>
      </c>
      <c r="G406">
        <v>218</v>
      </c>
      <c r="H406">
        <v>98</v>
      </c>
      <c r="I406">
        <v>23</v>
      </c>
      <c r="J406">
        <v>15</v>
      </c>
      <c r="K406">
        <v>11</v>
      </c>
      <c r="L406">
        <v>827</v>
      </c>
    </row>
    <row r="407" spans="1:12" x14ac:dyDescent="0.25">
      <c r="A407" t="s">
        <v>2</v>
      </c>
      <c r="B407" t="s">
        <v>55</v>
      </c>
      <c r="C407">
        <v>2022</v>
      </c>
      <c r="D407">
        <v>31</v>
      </c>
      <c r="E407">
        <v>128</v>
      </c>
      <c r="F407">
        <v>337</v>
      </c>
      <c r="G407">
        <v>214</v>
      </c>
      <c r="H407">
        <v>89</v>
      </c>
      <c r="I407">
        <v>21</v>
      </c>
      <c r="J407">
        <v>16</v>
      </c>
      <c r="K407">
        <v>10</v>
      </c>
      <c r="L407">
        <v>846</v>
      </c>
    </row>
    <row r="408" spans="1:12" x14ac:dyDescent="0.25">
      <c r="A408" t="s">
        <v>2</v>
      </c>
      <c r="B408" t="s">
        <v>55</v>
      </c>
      <c r="C408">
        <v>2023</v>
      </c>
      <c r="D408">
        <v>28</v>
      </c>
      <c r="E408">
        <v>144</v>
      </c>
      <c r="F408">
        <v>360</v>
      </c>
      <c r="G408">
        <v>257</v>
      </c>
      <c r="H408">
        <v>105</v>
      </c>
      <c r="I408">
        <v>26</v>
      </c>
      <c r="J408">
        <v>15</v>
      </c>
      <c r="K408">
        <v>11</v>
      </c>
      <c r="L408">
        <v>946</v>
      </c>
    </row>
    <row r="409" spans="1:12" x14ac:dyDescent="0.25">
      <c r="A409" t="s">
        <v>2</v>
      </c>
      <c r="B409" t="s">
        <v>55</v>
      </c>
      <c r="C409">
        <v>2024</v>
      </c>
      <c r="D409">
        <v>35</v>
      </c>
      <c r="E409">
        <v>89</v>
      </c>
      <c r="F409">
        <v>333</v>
      </c>
      <c r="G409">
        <v>246</v>
      </c>
      <c r="H409">
        <v>118</v>
      </c>
      <c r="I409">
        <v>32</v>
      </c>
      <c r="J409">
        <v>13</v>
      </c>
      <c r="K409">
        <v>10</v>
      </c>
      <c r="L409">
        <v>876</v>
      </c>
    </row>
    <row r="410" spans="1:12" x14ac:dyDescent="0.25">
      <c r="A410" t="s">
        <v>2</v>
      </c>
      <c r="B410" t="s">
        <v>2</v>
      </c>
      <c r="C410">
        <v>2001</v>
      </c>
      <c r="D410">
        <v>962</v>
      </c>
      <c r="E410">
        <v>5148</v>
      </c>
      <c r="F410">
        <v>15777</v>
      </c>
      <c r="G410">
        <v>15180</v>
      </c>
      <c r="H410">
        <v>14107</v>
      </c>
      <c r="I410">
        <v>6558</v>
      </c>
      <c r="J410">
        <v>3308</v>
      </c>
      <c r="K410">
        <v>698</v>
      </c>
      <c r="L410">
        <v>61738</v>
      </c>
    </row>
    <row r="411" spans="1:12" x14ac:dyDescent="0.25">
      <c r="A411" t="s">
        <v>2</v>
      </c>
      <c r="B411" t="s">
        <v>2</v>
      </c>
      <c r="C411">
        <v>2002</v>
      </c>
      <c r="D411">
        <v>1166</v>
      </c>
      <c r="E411">
        <v>5072</v>
      </c>
      <c r="F411">
        <v>15425</v>
      </c>
      <c r="G411">
        <v>15498</v>
      </c>
      <c r="H411">
        <v>14067</v>
      </c>
      <c r="I411">
        <v>6705</v>
      </c>
      <c r="J411">
        <v>3717</v>
      </c>
      <c r="K411">
        <v>879</v>
      </c>
      <c r="L411">
        <v>62529</v>
      </c>
    </row>
    <row r="412" spans="1:12" x14ac:dyDescent="0.25">
      <c r="A412" t="s">
        <v>2</v>
      </c>
      <c r="B412" t="s">
        <v>2</v>
      </c>
      <c r="C412">
        <v>2003</v>
      </c>
      <c r="D412">
        <v>1008</v>
      </c>
      <c r="E412">
        <v>4758</v>
      </c>
      <c r="F412">
        <v>14888</v>
      </c>
      <c r="G412">
        <v>15392</v>
      </c>
      <c r="H412">
        <v>13951</v>
      </c>
      <c r="I412">
        <v>6713</v>
      </c>
      <c r="J412">
        <v>4021</v>
      </c>
      <c r="K412">
        <v>692</v>
      </c>
      <c r="L412">
        <v>61423</v>
      </c>
    </row>
    <row r="413" spans="1:12" x14ac:dyDescent="0.25">
      <c r="A413" t="s">
        <v>2</v>
      </c>
      <c r="B413" t="s">
        <v>2</v>
      </c>
      <c r="C413">
        <v>2004</v>
      </c>
      <c r="D413">
        <v>945</v>
      </c>
      <c r="E413">
        <v>4881</v>
      </c>
      <c r="F413">
        <v>14804</v>
      </c>
      <c r="G413">
        <v>15430</v>
      </c>
      <c r="H413">
        <v>13764</v>
      </c>
      <c r="I413">
        <v>6784</v>
      </c>
      <c r="J413">
        <v>4501</v>
      </c>
      <c r="K413">
        <v>1041</v>
      </c>
      <c r="L413">
        <v>62150</v>
      </c>
    </row>
    <row r="414" spans="1:12" x14ac:dyDescent="0.25">
      <c r="A414" t="s">
        <v>2</v>
      </c>
      <c r="B414" t="s">
        <v>2</v>
      </c>
      <c r="C414">
        <v>2005</v>
      </c>
      <c r="D414">
        <v>965</v>
      </c>
      <c r="E414">
        <v>4745</v>
      </c>
      <c r="F414">
        <v>14654</v>
      </c>
      <c r="G414">
        <v>15538</v>
      </c>
      <c r="H414">
        <v>13771</v>
      </c>
      <c r="I414">
        <v>6603</v>
      </c>
      <c r="J414">
        <v>4812</v>
      </c>
      <c r="K414">
        <v>1024</v>
      </c>
      <c r="L414">
        <v>62112</v>
      </c>
    </row>
    <row r="415" spans="1:12" x14ac:dyDescent="0.25">
      <c r="A415" t="s">
        <v>2</v>
      </c>
      <c r="B415" t="s">
        <v>2</v>
      </c>
      <c r="C415">
        <v>2006</v>
      </c>
      <c r="D415">
        <v>1017</v>
      </c>
      <c r="E415">
        <v>5249</v>
      </c>
      <c r="F415">
        <v>14840</v>
      </c>
      <c r="G415">
        <v>15845</v>
      </c>
      <c r="H415">
        <v>13906</v>
      </c>
      <c r="I415">
        <v>6541</v>
      </c>
      <c r="J415">
        <v>5084</v>
      </c>
      <c r="K415">
        <v>1124</v>
      </c>
      <c r="L415">
        <v>63606</v>
      </c>
    </row>
    <row r="416" spans="1:12" x14ac:dyDescent="0.25">
      <c r="A416" t="s">
        <v>2</v>
      </c>
      <c r="B416" t="s">
        <v>2</v>
      </c>
      <c r="C416">
        <v>2007</v>
      </c>
      <c r="D416">
        <v>1056</v>
      </c>
      <c r="E416">
        <v>5725</v>
      </c>
      <c r="F416">
        <v>15106</v>
      </c>
      <c r="G416">
        <v>16171</v>
      </c>
      <c r="H416">
        <v>14089</v>
      </c>
      <c r="I416">
        <v>6573</v>
      </c>
      <c r="J416">
        <v>5367</v>
      </c>
      <c r="K416">
        <v>1367</v>
      </c>
      <c r="L416">
        <v>65454</v>
      </c>
    </row>
    <row r="417" spans="1:12" x14ac:dyDescent="0.25">
      <c r="A417" t="s">
        <v>2</v>
      </c>
      <c r="B417" t="s">
        <v>2</v>
      </c>
      <c r="C417">
        <v>2008</v>
      </c>
      <c r="D417">
        <v>1027</v>
      </c>
      <c r="E417">
        <v>5682</v>
      </c>
      <c r="F417">
        <v>14918</v>
      </c>
      <c r="G417">
        <v>16423</v>
      </c>
      <c r="H417">
        <v>14271</v>
      </c>
      <c r="I417">
        <v>6515</v>
      </c>
      <c r="J417">
        <v>5425</v>
      </c>
      <c r="K417">
        <v>1496</v>
      </c>
      <c r="L417">
        <v>65757</v>
      </c>
    </row>
    <row r="418" spans="1:12" x14ac:dyDescent="0.25">
      <c r="A418" t="s">
        <v>2</v>
      </c>
      <c r="B418" t="s">
        <v>2</v>
      </c>
      <c r="C418">
        <v>2009</v>
      </c>
      <c r="D418">
        <v>950</v>
      </c>
      <c r="E418">
        <v>5126</v>
      </c>
      <c r="F418">
        <v>14352</v>
      </c>
      <c r="G418">
        <v>16138</v>
      </c>
      <c r="H418">
        <v>14422</v>
      </c>
      <c r="I418">
        <v>6252</v>
      </c>
      <c r="J418">
        <v>5455</v>
      </c>
      <c r="K418">
        <v>1755</v>
      </c>
      <c r="L418">
        <v>64450</v>
      </c>
    </row>
    <row r="419" spans="1:12" x14ac:dyDescent="0.25">
      <c r="A419" t="s">
        <v>2</v>
      </c>
      <c r="B419" t="s">
        <v>2</v>
      </c>
      <c r="C419">
        <v>2010</v>
      </c>
      <c r="D419">
        <v>1084</v>
      </c>
      <c r="E419">
        <v>5690</v>
      </c>
      <c r="F419">
        <v>14847</v>
      </c>
      <c r="G419">
        <v>16179</v>
      </c>
      <c r="H419">
        <v>14912</v>
      </c>
      <c r="I419">
        <v>6354</v>
      </c>
      <c r="J419">
        <v>5513</v>
      </c>
      <c r="K419">
        <v>1810</v>
      </c>
      <c r="L419">
        <v>66389</v>
      </c>
    </row>
    <row r="420" spans="1:12" x14ac:dyDescent="0.25">
      <c r="A420" t="s">
        <v>2</v>
      </c>
      <c r="B420" t="s">
        <v>2</v>
      </c>
      <c r="C420">
        <v>2011</v>
      </c>
      <c r="D420">
        <v>1083</v>
      </c>
      <c r="E420">
        <v>5937</v>
      </c>
      <c r="F420">
        <v>15016</v>
      </c>
      <c r="G420">
        <v>16256</v>
      </c>
      <c r="H420">
        <v>15250</v>
      </c>
      <c r="I420">
        <v>6471</v>
      </c>
      <c r="J420">
        <v>5400</v>
      </c>
      <c r="K420">
        <v>2272</v>
      </c>
      <c r="L420">
        <v>67685</v>
      </c>
    </row>
    <row r="421" spans="1:12" x14ac:dyDescent="0.25">
      <c r="A421" t="s">
        <v>2</v>
      </c>
      <c r="B421" t="s">
        <v>2</v>
      </c>
      <c r="C421">
        <v>2012</v>
      </c>
      <c r="D421">
        <v>1118</v>
      </c>
      <c r="E421">
        <v>6147</v>
      </c>
      <c r="F421">
        <v>15264</v>
      </c>
      <c r="G421">
        <v>16223</v>
      </c>
      <c r="H421">
        <v>15529</v>
      </c>
      <c r="I421">
        <v>6500</v>
      </c>
      <c r="J421">
        <v>5435</v>
      </c>
      <c r="K421">
        <v>2439</v>
      </c>
      <c r="L421">
        <v>68655</v>
      </c>
    </row>
    <row r="422" spans="1:12" x14ac:dyDescent="0.25">
      <c r="A422" t="s">
        <v>2</v>
      </c>
      <c r="B422" t="s">
        <v>2</v>
      </c>
      <c r="C422">
        <v>2013</v>
      </c>
      <c r="D422">
        <v>1131</v>
      </c>
      <c r="E422">
        <v>6508</v>
      </c>
      <c r="F422">
        <v>15674</v>
      </c>
      <c r="G422">
        <v>16296</v>
      </c>
      <c r="H422">
        <v>15734</v>
      </c>
      <c r="I422">
        <v>6556</v>
      </c>
      <c r="J422">
        <v>5453</v>
      </c>
      <c r="K422">
        <v>2680</v>
      </c>
      <c r="L422">
        <v>70032</v>
      </c>
    </row>
    <row r="423" spans="1:12" x14ac:dyDescent="0.25">
      <c r="A423" t="s">
        <v>2</v>
      </c>
      <c r="B423" t="s">
        <v>2</v>
      </c>
      <c r="C423">
        <v>2014</v>
      </c>
      <c r="D423">
        <v>1033</v>
      </c>
      <c r="E423">
        <v>6595</v>
      </c>
      <c r="F423">
        <v>16073</v>
      </c>
      <c r="G423">
        <v>16442</v>
      </c>
      <c r="H423">
        <v>16059</v>
      </c>
      <c r="I423">
        <v>6697</v>
      </c>
      <c r="J423">
        <v>5374</v>
      </c>
      <c r="K423">
        <v>2787</v>
      </c>
      <c r="L423">
        <v>71060</v>
      </c>
    </row>
    <row r="424" spans="1:12" x14ac:dyDescent="0.25">
      <c r="A424" t="s">
        <v>2</v>
      </c>
      <c r="B424" t="s">
        <v>2</v>
      </c>
      <c r="C424">
        <v>2015</v>
      </c>
      <c r="D424">
        <v>1115</v>
      </c>
      <c r="E424">
        <v>6750</v>
      </c>
      <c r="F424">
        <v>16649</v>
      </c>
      <c r="G424">
        <v>16584</v>
      </c>
      <c r="H424">
        <v>16349</v>
      </c>
      <c r="I424">
        <v>6809</v>
      </c>
      <c r="J424">
        <v>5419</v>
      </c>
      <c r="K424">
        <v>2853</v>
      </c>
      <c r="L424">
        <v>72528</v>
      </c>
    </row>
    <row r="425" spans="1:12" x14ac:dyDescent="0.25">
      <c r="A425" t="s">
        <v>2</v>
      </c>
      <c r="B425" t="s">
        <v>2</v>
      </c>
      <c r="C425">
        <v>2016</v>
      </c>
      <c r="D425">
        <v>1334</v>
      </c>
      <c r="E425">
        <v>7204</v>
      </c>
      <c r="F425">
        <v>17669</v>
      </c>
      <c r="G425">
        <v>16693</v>
      </c>
      <c r="H425">
        <v>16808</v>
      </c>
      <c r="I425">
        <v>6827</v>
      </c>
      <c r="J425">
        <v>5591</v>
      </c>
      <c r="K425">
        <v>2851</v>
      </c>
      <c r="L425">
        <v>74977</v>
      </c>
    </row>
    <row r="426" spans="1:12" x14ac:dyDescent="0.25">
      <c r="A426" t="s">
        <v>2</v>
      </c>
      <c r="B426" t="s">
        <v>2</v>
      </c>
      <c r="C426">
        <v>2017</v>
      </c>
      <c r="D426">
        <v>1439</v>
      </c>
      <c r="E426">
        <v>7386</v>
      </c>
      <c r="F426">
        <v>18356</v>
      </c>
      <c r="G426">
        <v>16807</v>
      </c>
      <c r="H426">
        <v>17085</v>
      </c>
      <c r="I426">
        <v>6912</v>
      </c>
      <c r="J426">
        <v>5591</v>
      </c>
      <c r="K426">
        <v>3064</v>
      </c>
      <c r="L426">
        <v>76640</v>
      </c>
    </row>
    <row r="427" spans="1:12" x14ac:dyDescent="0.25">
      <c r="A427" t="s">
        <v>2</v>
      </c>
      <c r="B427" t="s">
        <v>2</v>
      </c>
      <c r="C427">
        <v>2018</v>
      </c>
      <c r="D427">
        <v>1487</v>
      </c>
      <c r="E427">
        <v>7029</v>
      </c>
      <c r="F427">
        <v>19087</v>
      </c>
      <c r="G427">
        <v>16957</v>
      </c>
      <c r="H427">
        <v>17314</v>
      </c>
      <c r="I427">
        <v>7103</v>
      </c>
      <c r="J427">
        <v>5694</v>
      </c>
      <c r="K427">
        <v>3204</v>
      </c>
      <c r="L427">
        <v>77875</v>
      </c>
    </row>
    <row r="428" spans="1:12" x14ac:dyDescent="0.25">
      <c r="A428" t="s">
        <v>2</v>
      </c>
      <c r="B428" t="s">
        <v>2</v>
      </c>
      <c r="C428">
        <v>2019</v>
      </c>
      <c r="D428">
        <v>1900</v>
      </c>
      <c r="E428">
        <v>6942</v>
      </c>
      <c r="F428">
        <v>20192</v>
      </c>
      <c r="G428">
        <v>16880</v>
      </c>
      <c r="H428">
        <v>17350</v>
      </c>
      <c r="I428">
        <v>7455</v>
      </c>
      <c r="J428">
        <v>5789</v>
      </c>
      <c r="K428">
        <v>3518</v>
      </c>
      <c r="L428">
        <v>80026</v>
      </c>
    </row>
    <row r="429" spans="1:12" x14ac:dyDescent="0.25">
      <c r="A429" t="s">
        <v>2</v>
      </c>
      <c r="B429" t="s">
        <v>2</v>
      </c>
      <c r="C429">
        <v>2020</v>
      </c>
      <c r="D429">
        <v>1757</v>
      </c>
      <c r="E429">
        <v>6606</v>
      </c>
      <c r="F429">
        <v>20030</v>
      </c>
      <c r="G429">
        <v>16963</v>
      </c>
      <c r="H429">
        <v>17174</v>
      </c>
      <c r="I429">
        <v>7701</v>
      </c>
      <c r="J429">
        <v>5788</v>
      </c>
      <c r="K429">
        <v>3268</v>
      </c>
      <c r="L429">
        <v>79287</v>
      </c>
    </row>
    <row r="430" spans="1:12" x14ac:dyDescent="0.25">
      <c r="A430" t="s">
        <v>2</v>
      </c>
      <c r="B430" t="s">
        <v>2</v>
      </c>
      <c r="C430">
        <v>2021</v>
      </c>
      <c r="D430">
        <v>2024</v>
      </c>
      <c r="E430">
        <v>6970</v>
      </c>
      <c r="F430">
        <v>20066</v>
      </c>
      <c r="G430">
        <v>17202</v>
      </c>
      <c r="H430">
        <v>17315</v>
      </c>
      <c r="I430">
        <v>8043</v>
      </c>
      <c r="J430">
        <v>5856</v>
      </c>
      <c r="K430">
        <v>3457</v>
      </c>
      <c r="L430">
        <v>80933</v>
      </c>
    </row>
    <row r="431" spans="1:12" x14ac:dyDescent="0.25">
      <c r="A431" t="s">
        <v>2</v>
      </c>
      <c r="B431" t="s">
        <v>2</v>
      </c>
      <c r="C431">
        <v>2022</v>
      </c>
      <c r="D431">
        <v>2331</v>
      </c>
      <c r="E431">
        <v>7404</v>
      </c>
      <c r="F431">
        <v>20163</v>
      </c>
      <c r="G431">
        <v>17540</v>
      </c>
      <c r="H431">
        <v>17441</v>
      </c>
      <c r="I431">
        <v>8460</v>
      </c>
      <c r="J431">
        <v>6064</v>
      </c>
      <c r="K431">
        <v>3650</v>
      </c>
      <c r="L431">
        <v>83053</v>
      </c>
    </row>
    <row r="432" spans="1:12" x14ac:dyDescent="0.25">
      <c r="A432" t="s">
        <v>2</v>
      </c>
      <c r="B432" t="s">
        <v>2</v>
      </c>
      <c r="C432">
        <v>2023</v>
      </c>
      <c r="D432">
        <v>2345</v>
      </c>
      <c r="E432">
        <v>7592</v>
      </c>
      <c r="F432">
        <v>20251</v>
      </c>
      <c r="G432">
        <v>17948</v>
      </c>
      <c r="H432">
        <v>17399</v>
      </c>
      <c r="I432">
        <v>8493</v>
      </c>
      <c r="J432">
        <v>6303</v>
      </c>
      <c r="K432">
        <v>3891</v>
      </c>
      <c r="L432">
        <v>84222</v>
      </c>
    </row>
    <row r="433" spans="1:12" x14ac:dyDescent="0.25">
      <c r="A433" t="s">
        <v>2</v>
      </c>
      <c r="B433" t="s">
        <v>2</v>
      </c>
      <c r="C433">
        <v>2024</v>
      </c>
      <c r="D433">
        <v>2292</v>
      </c>
      <c r="E433">
        <v>7392</v>
      </c>
      <c r="F433">
        <v>19836</v>
      </c>
      <c r="G433">
        <v>18122</v>
      </c>
      <c r="H433">
        <v>17353</v>
      </c>
      <c r="I433">
        <v>8403</v>
      </c>
      <c r="J433">
        <v>6640</v>
      </c>
      <c r="K433">
        <v>4090</v>
      </c>
      <c r="L433">
        <v>84128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C46A-8966-46FF-A03C-BB9EAFF33B2D}">
  <dimension ref="A1:P81"/>
  <sheetViews>
    <sheetView workbookViewId="0"/>
  </sheetViews>
  <sheetFormatPr defaultRowHeight="15" x14ac:dyDescent="0.25"/>
  <cols>
    <col min="2" max="2" width="11.5703125" bestFit="1" customWidth="1"/>
  </cols>
  <sheetData>
    <row r="1" spans="1:16" x14ac:dyDescent="0.25">
      <c r="A1" s="4" t="s">
        <v>22</v>
      </c>
      <c r="B1" s="4" t="s">
        <v>24</v>
      </c>
      <c r="C1" s="4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2</v>
      </c>
    </row>
    <row r="2" spans="1:16" x14ac:dyDescent="0.25">
      <c r="A2" t="s">
        <v>0</v>
      </c>
      <c r="B2" t="s">
        <v>25</v>
      </c>
      <c r="C2">
        <v>2005</v>
      </c>
      <c r="D2">
        <v>414</v>
      </c>
      <c r="E2">
        <v>1979</v>
      </c>
      <c r="F2">
        <v>3329</v>
      </c>
      <c r="G2">
        <v>4220</v>
      </c>
      <c r="H2">
        <v>4361</v>
      </c>
      <c r="I2">
        <v>4219</v>
      </c>
      <c r="J2">
        <v>3763</v>
      </c>
      <c r="K2">
        <v>3619</v>
      </c>
      <c r="L2">
        <v>3630</v>
      </c>
      <c r="M2">
        <v>2672</v>
      </c>
      <c r="N2">
        <v>501</v>
      </c>
      <c r="O2">
        <v>106</v>
      </c>
      <c r="P2">
        <v>32813</v>
      </c>
    </row>
    <row r="3" spans="1:16" x14ac:dyDescent="0.25">
      <c r="A3" t="s">
        <v>0</v>
      </c>
      <c r="B3" t="s">
        <v>25</v>
      </c>
      <c r="C3">
        <v>2006</v>
      </c>
      <c r="D3">
        <v>419</v>
      </c>
      <c r="E3">
        <v>2151</v>
      </c>
      <c r="F3">
        <v>3369</v>
      </c>
      <c r="G3">
        <v>4207</v>
      </c>
      <c r="H3">
        <v>4404</v>
      </c>
      <c r="I3">
        <v>4352</v>
      </c>
      <c r="J3">
        <v>3746</v>
      </c>
      <c r="K3">
        <v>3662</v>
      </c>
      <c r="L3">
        <v>3575</v>
      </c>
      <c r="M3">
        <v>2942</v>
      </c>
      <c r="N3">
        <v>520</v>
      </c>
      <c r="O3">
        <v>114</v>
      </c>
      <c r="P3">
        <v>33461</v>
      </c>
    </row>
    <row r="4" spans="1:16" x14ac:dyDescent="0.25">
      <c r="A4" t="s">
        <v>0</v>
      </c>
      <c r="B4" t="s">
        <v>25</v>
      </c>
      <c r="C4">
        <v>2007</v>
      </c>
      <c r="D4">
        <v>458</v>
      </c>
      <c r="E4">
        <v>2351</v>
      </c>
      <c r="F4">
        <v>3458</v>
      </c>
      <c r="G4">
        <v>4182</v>
      </c>
      <c r="H4">
        <v>4337</v>
      </c>
      <c r="I4">
        <v>4598</v>
      </c>
      <c r="J4">
        <v>3771</v>
      </c>
      <c r="K4">
        <v>3602</v>
      </c>
      <c r="L4">
        <v>3557</v>
      </c>
      <c r="M4">
        <v>3113</v>
      </c>
      <c r="N4">
        <v>661</v>
      </c>
      <c r="O4">
        <v>148</v>
      </c>
      <c r="P4">
        <v>34236</v>
      </c>
    </row>
    <row r="5" spans="1:16" x14ac:dyDescent="0.25">
      <c r="A5" t="s">
        <v>0</v>
      </c>
      <c r="B5" t="s">
        <v>25</v>
      </c>
      <c r="C5">
        <v>2008</v>
      </c>
      <c r="D5">
        <v>434</v>
      </c>
      <c r="E5">
        <v>2339</v>
      </c>
      <c r="F5">
        <v>3281</v>
      </c>
      <c r="G5">
        <v>3781</v>
      </c>
      <c r="H5">
        <v>4182</v>
      </c>
      <c r="I5">
        <v>4389</v>
      </c>
      <c r="J5">
        <v>3696</v>
      </c>
      <c r="K5">
        <v>3508</v>
      </c>
      <c r="L5">
        <v>3390</v>
      </c>
      <c r="M5">
        <v>2971</v>
      </c>
      <c r="N5">
        <v>745</v>
      </c>
      <c r="O5">
        <v>131</v>
      </c>
      <c r="P5">
        <v>32847</v>
      </c>
    </row>
    <row r="6" spans="1:16" x14ac:dyDescent="0.25">
      <c r="A6" t="s">
        <v>0</v>
      </c>
      <c r="B6" t="s">
        <v>25</v>
      </c>
      <c r="C6">
        <v>2009</v>
      </c>
      <c r="D6">
        <v>376</v>
      </c>
      <c r="E6">
        <v>2232</v>
      </c>
      <c r="F6">
        <v>3241</v>
      </c>
      <c r="G6">
        <v>3843</v>
      </c>
      <c r="H6">
        <v>4363</v>
      </c>
      <c r="I6">
        <v>4532</v>
      </c>
      <c r="J6">
        <v>3993</v>
      </c>
      <c r="K6">
        <v>3695</v>
      </c>
      <c r="L6">
        <v>3436</v>
      </c>
      <c r="M6">
        <v>3087</v>
      </c>
      <c r="N6">
        <v>914</v>
      </c>
      <c r="O6">
        <v>191</v>
      </c>
      <c r="P6">
        <v>33903</v>
      </c>
    </row>
    <row r="7" spans="1:16" x14ac:dyDescent="0.25">
      <c r="A7" t="s">
        <v>0</v>
      </c>
      <c r="B7" t="s">
        <v>25</v>
      </c>
      <c r="C7">
        <v>2010</v>
      </c>
      <c r="D7">
        <v>485</v>
      </c>
      <c r="E7">
        <v>2507</v>
      </c>
      <c r="F7">
        <v>3332</v>
      </c>
      <c r="G7">
        <v>3863</v>
      </c>
      <c r="H7">
        <v>4344</v>
      </c>
      <c r="I7">
        <v>4416</v>
      </c>
      <c r="J7">
        <v>4187</v>
      </c>
      <c r="K7">
        <v>3682</v>
      </c>
      <c r="L7">
        <v>3413</v>
      </c>
      <c r="M7">
        <v>3095</v>
      </c>
      <c r="N7">
        <v>898</v>
      </c>
      <c r="O7">
        <v>201</v>
      </c>
      <c r="P7">
        <v>34423</v>
      </c>
    </row>
    <row r="8" spans="1:16" x14ac:dyDescent="0.25">
      <c r="A8" t="s">
        <v>0</v>
      </c>
      <c r="B8" t="s">
        <v>25</v>
      </c>
      <c r="C8">
        <v>2011</v>
      </c>
      <c r="D8">
        <v>541</v>
      </c>
      <c r="E8">
        <v>2810</v>
      </c>
      <c r="F8">
        <v>3388</v>
      </c>
      <c r="G8">
        <v>3785</v>
      </c>
      <c r="H8">
        <v>4335</v>
      </c>
      <c r="I8">
        <v>4467</v>
      </c>
      <c r="J8">
        <v>4368</v>
      </c>
      <c r="K8">
        <v>3698</v>
      </c>
      <c r="L8">
        <v>3462</v>
      </c>
      <c r="M8">
        <v>2989</v>
      </c>
      <c r="N8">
        <v>1199</v>
      </c>
      <c r="O8">
        <v>322</v>
      </c>
      <c r="P8">
        <v>35364</v>
      </c>
    </row>
    <row r="9" spans="1:16" x14ac:dyDescent="0.25">
      <c r="A9" t="s">
        <v>0</v>
      </c>
      <c r="B9" t="s">
        <v>25</v>
      </c>
      <c r="C9">
        <v>2012</v>
      </c>
      <c r="D9">
        <v>532</v>
      </c>
      <c r="E9">
        <v>2919</v>
      </c>
      <c r="F9">
        <v>3565</v>
      </c>
      <c r="G9">
        <v>3694</v>
      </c>
      <c r="H9">
        <v>4266</v>
      </c>
      <c r="I9">
        <v>4368</v>
      </c>
      <c r="J9">
        <v>4622</v>
      </c>
      <c r="K9">
        <v>3709</v>
      </c>
      <c r="L9">
        <v>3436</v>
      </c>
      <c r="M9">
        <v>3035</v>
      </c>
      <c r="N9">
        <v>1179</v>
      </c>
      <c r="O9">
        <v>409</v>
      </c>
      <c r="P9">
        <v>35734</v>
      </c>
    </row>
    <row r="10" spans="1:16" x14ac:dyDescent="0.25">
      <c r="A10" t="s">
        <v>0</v>
      </c>
      <c r="B10" t="s">
        <v>25</v>
      </c>
      <c r="C10">
        <v>2013</v>
      </c>
      <c r="D10">
        <v>495</v>
      </c>
      <c r="E10">
        <v>2999</v>
      </c>
      <c r="F10">
        <v>3743</v>
      </c>
      <c r="G10">
        <v>3771</v>
      </c>
      <c r="H10">
        <v>4140</v>
      </c>
      <c r="I10">
        <v>4408</v>
      </c>
      <c r="J10">
        <v>4654</v>
      </c>
      <c r="K10">
        <v>3832</v>
      </c>
      <c r="L10">
        <v>3470</v>
      </c>
      <c r="M10">
        <v>3015</v>
      </c>
      <c r="N10">
        <v>1234</v>
      </c>
      <c r="O10">
        <v>473</v>
      </c>
      <c r="P10">
        <v>36234</v>
      </c>
    </row>
    <row r="11" spans="1:16" x14ac:dyDescent="0.25">
      <c r="A11" t="s">
        <v>0</v>
      </c>
      <c r="B11" t="s">
        <v>25</v>
      </c>
      <c r="C11">
        <v>2014</v>
      </c>
      <c r="D11">
        <v>461</v>
      </c>
      <c r="E11">
        <v>3176</v>
      </c>
      <c r="F11">
        <v>3971</v>
      </c>
      <c r="G11">
        <v>3712</v>
      </c>
      <c r="H11">
        <v>4045</v>
      </c>
      <c r="I11">
        <v>4494</v>
      </c>
      <c r="J11">
        <v>4673</v>
      </c>
      <c r="K11">
        <v>3999</v>
      </c>
      <c r="L11">
        <v>3597</v>
      </c>
      <c r="M11">
        <v>2925</v>
      </c>
      <c r="N11">
        <v>1223</v>
      </c>
      <c r="O11">
        <v>522</v>
      </c>
      <c r="P11">
        <v>36798</v>
      </c>
    </row>
    <row r="12" spans="1:16" x14ac:dyDescent="0.25">
      <c r="A12" t="s">
        <v>0</v>
      </c>
      <c r="B12" t="s">
        <v>25</v>
      </c>
      <c r="C12">
        <v>2015</v>
      </c>
      <c r="D12">
        <v>438</v>
      </c>
      <c r="E12">
        <v>3170</v>
      </c>
      <c r="F12">
        <v>4154</v>
      </c>
      <c r="G12">
        <v>3753</v>
      </c>
      <c r="H12">
        <v>3970</v>
      </c>
      <c r="I12">
        <v>4494</v>
      </c>
      <c r="J12">
        <v>4526</v>
      </c>
      <c r="K12">
        <v>4242</v>
      </c>
      <c r="L12">
        <v>3597</v>
      </c>
      <c r="M12">
        <v>2992</v>
      </c>
      <c r="N12">
        <v>1210</v>
      </c>
      <c r="O12">
        <v>540</v>
      </c>
      <c r="P12">
        <v>37086</v>
      </c>
    </row>
    <row r="13" spans="1:16" x14ac:dyDescent="0.25">
      <c r="A13" t="s">
        <v>0</v>
      </c>
      <c r="B13" t="s">
        <v>25</v>
      </c>
      <c r="C13">
        <v>2016</v>
      </c>
      <c r="D13">
        <v>541</v>
      </c>
      <c r="E13">
        <v>3139</v>
      </c>
      <c r="F13">
        <v>4519</v>
      </c>
      <c r="G13">
        <v>3899</v>
      </c>
      <c r="H13">
        <v>3877</v>
      </c>
      <c r="I13">
        <v>4454</v>
      </c>
      <c r="J13">
        <v>4491</v>
      </c>
      <c r="K13">
        <v>4371</v>
      </c>
      <c r="L13">
        <v>3603</v>
      </c>
      <c r="M13">
        <v>3090</v>
      </c>
      <c r="N13">
        <v>1167</v>
      </c>
      <c r="O13">
        <v>579</v>
      </c>
      <c r="P13">
        <v>37730</v>
      </c>
    </row>
    <row r="14" spans="1:16" x14ac:dyDescent="0.25">
      <c r="A14" t="s">
        <v>0</v>
      </c>
      <c r="B14" t="s">
        <v>25</v>
      </c>
      <c r="C14">
        <v>2017</v>
      </c>
      <c r="D14">
        <v>576</v>
      </c>
      <c r="E14">
        <v>3162</v>
      </c>
      <c r="F14">
        <v>4736</v>
      </c>
      <c r="G14">
        <v>4022</v>
      </c>
      <c r="H14">
        <v>3849</v>
      </c>
      <c r="I14">
        <v>4291</v>
      </c>
      <c r="J14">
        <v>4468</v>
      </c>
      <c r="K14">
        <v>4637</v>
      </c>
      <c r="L14">
        <v>3610</v>
      </c>
      <c r="M14">
        <v>3043</v>
      </c>
      <c r="N14">
        <v>1246</v>
      </c>
      <c r="O14">
        <v>621</v>
      </c>
      <c r="P14">
        <v>38261</v>
      </c>
    </row>
    <row r="15" spans="1:16" x14ac:dyDescent="0.25">
      <c r="A15" t="s">
        <v>0</v>
      </c>
      <c r="B15" t="s">
        <v>25</v>
      </c>
      <c r="C15">
        <v>2018</v>
      </c>
      <c r="D15">
        <v>601</v>
      </c>
      <c r="E15">
        <v>3024</v>
      </c>
      <c r="F15">
        <v>4890</v>
      </c>
      <c r="G15">
        <v>4263</v>
      </c>
      <c r="H15">
        <v>3907</v>
      </c>
      <c r="I15">
        <v>4224</v>
      </c>
      <c r="J15">
        <v>4504</v>
      </c>
      <c r="K15">
        <v>4652</v>
      </c>
      <c r="L15">
        <v>3719</v>
      </c>
      <c r="M15">
        <v>3090</v>
      </c>
      <c r="N15">
        <v>1266</v>
      </c>
      <c r="O15">
        <v>660</v>
      </c>
      <c r="P15">
        <v>38800</v>
      </c>
    </row>
    <row r="16" spans="1:16" x14ac:dyDescent="0.25">
      <c r="A16" t="s">
        <v>0</v>
      </c>
      <c r="B16" t="s">
        <v>25</v>
      </c>
      <c r="C16">
        <v>2019</v>
      </c>
      <c r="D16">
        <v>817</v>
      </c>
      <c r="E16">
        <v>2991</v>
      </c>
      <c r="F16">
        <v>5224</v>
      </c>
      <c r="G16">
        <v>4518</v>
      </c>
      <c r="H16">
        <v>3862</v>
      </c>
      <c r="I16">
        <v>4126</v>
      </c>
      <c r="J16">
        <v>4576</v>
      </c>
      <c r="K16">
        <v>4629</v>
      </c>
      <c r="L16">
        <v>3879</v>
      </c>
      <c r="M16">
        <v>3109</v>
      </c>
      <c r="N16">
        <v>1227</v>
      </c>
      <c r="O16">
        <v>734</v>
      </c>
      <c r="P16">
        <v>39692</v>
      </c>
    </row>
    <row r="17" spans="1:16" x14ac:dyDescent="0.25">
      <c r="A17" t="s">
        <v>0</v>
      </c>
      <c r="B17" t="s">
        <v>25</v>
      </c>
      <c r="C17">
        <v>2020</v>
      </c>
      <c r="D17">
        <v>698</v>
      </c>
      <c r="E17">
        <v>2913</v>
      </c>
      <c r="F17">
        <v>5026</v>
      </c>
      <c r="G17">
        <v>4745</v>
      </c>
      <c r="H17">
        <v>3869</v>
      </c>
      <c r="I17">
        <v>3999</v>
      </c>
      <c r="J17">
        <v>4515</v>
      </c>
      <c r="K17">
        <v>4474</v>
      </c>
      <c r="L17">
        <v>4096</v>
      </c>
      <c r="M17">
        <v>3043</v>
      </c>
      <c r="N17">
        <v>1222</v>
      </c>
      <c r="O17">
        <v>667</v>
      </c>
      <c r="P17">
        <v>39267</v>
      </c>
    </row>
    <row r="18" spans="1:16" x14ac:dyDescent="0.25">
      <c r="A18" t="s">
        <v>0</v>
      </c>
      <c r="B18" t="s">
        <v>25</v>
      </c>
      <c r="C18">
        <v>2021</v>
      </c>
      <c r="D18">
        <v>848</v>
      </c>
      <c r="E18">
        <v>2946</v>
      </c>
      <c r="F18">
        <v>4744</v>
      </c>
      <c r="G18">
        <v>5009</v>
      </c>
      <c r="H18">
        <v>4034</v>
      </c>
      <c r="I18">
        <v>3934</v>
      </c>
      <c r="J18">
        <v>4444</v>
      </c>
      <c r="K18">
        <v>4481</v>
      </c>
      <c r="L18">
        <v>4270</v>
      </c>
      <c r="M18">
        <v>3047</v>
      </c>
      <c r="N18">
        <v>1264</v>
      </c>
      <c r="O18">
        <v>675</v>
      </c>
      <c r="P18">
        <v>39696</v>
      </c>
    </row>
    <row r="19" spans="1:16" x14ac:dyDescent="0.25">
      <c r="A19" t="s">
        <v>0</v>
      </c>
      <c r="B19" t="s">
        <v>25</v>
      </c>
      <c r="C19">
        <v>2022</v>
      </c>
      <c r="D19">
        <v>969</v>
      </c>
      <c r="E19">
        <v>3105</v>
      </c>
      <c r="F19">
        <v>4611</v>
      </c>
      <c r="G19">
        <v>5187</v>
      </c>
      <c r="H19">
        <v>4171</v>
      </c>
      <c r="I19">
        <v>3899</v>
      </c>
      <c r="J19">
        <v>4431</v>
      </c>
      <c r="K19">
        <v>4440</v>
      </c>
      <c r="L19">
        <v>4562</v>
      </c>
      <c r="M19">
        <v>3099</v>
      </c>
      <c r="N19">
        <v>1340</v>
      </c>
      <c r="O19">
        <v>679</v>
      </c>
      <c r="P19">
        <v>40493</v>
      </c>
    </row>
    <row r="20" spans="1:16" x14ac:dyDescent="0.25">
      <c r="A20" t="s">
        <v>0</v>
      </c>
      <c r="B20" t="s">
        <v>25</v>
      </c>
      <c r="C20">
        <v>2023</v>
      </c>
      <c r="D20">
        <v>899</v>
      </c>
      <c r="E20">
        <v>3206</v>
      </c>
      <c r="F20">
        <v>4484</v>
      </c>
      <c r="G20">
        <v>5335</v>
      </c>
      <c r="H20">
        <v>4352</v>
      </c>
      <c r="I20">
        <v>3918</v>
      </c>
      <c r="J20">
        <v>4272</v>
      </c>
      <c r="K20">
        <v>4429</v>
      </c>
      <c r="L20">
        <v>4593</v>
      </c>
      <c r="M20">
        <v>3292</v>
      </c>
      <c r="N20">
        <v>1388</v>
      </c>
      <c r="O20">
        <v>703</v>
      </c>
      <c r="P20">
        <v>40871</v>
      </c>
    </row>
    <row r="21" spans="1:16" x14ac:dyDescent="0.25">
      <c r="A21" t="s">
        <v>0</v>
      </c>
      <c r="B21" t="s">
        <v>25</v>
      </c>
      <c r="C21">
        <v>2024</v>
      </c>
      <c r="D21">
        <v>851</v>
      </c>
      <c r="E21">
        <v>3166</v>
      </c>
      <c r="F21">
        <v>4269</v>
      </c>
      <c r="G21">
        <v>5303</v>
      </c>
      <c r="H21">
        <v>4547</v>
      </c>
      <c r="I21">
        <v>3859</v>
      </c>
      <c r="J21">
        <v>4114</v>
      </c>
      <c r="K21">
        <v>4524</v>
      </c>
      <c r="L21">
        <v>4492</v>
      </c>
      <c r="M21">
        <v>3494</v>
      </c>
      <c r="N21">
        <v>1511</v>
      </c>
      <c r="O21">
        <v>736</v>
      </c>
      <c r="P21">
        <v>40866</v>
      </c>
    </row>
    <row r="22" spans="1:16" x14ac:dyDescent="0.25">
      <c r="A22" t="s">
        <v>0</v>
      </c>
      <c r="B22" t="s">
        <v>26</v>
      </c>
      <c r="C22">
        <v>2005</v>
      </c>
      <c r="D22">
        <v>32</v>
      </c>
      <c r="E22">
        <v>166</v>
      </c>
      <c r="F22">
        <v>293</v>
      </c>
      <c r="G22">
        <v>378</v>
      </c>
      <c r="H22">
        <v>412</v>
      </c>
      <c r="I22">
        <v>465</v>
      </c>
      <c r="J22">
        <v>398</v>
      </c>
      <c r="K22">
        <v>279</v>
      </c>
      <c r="L22">
        <v>216</v>
      </c>
      <c r="M22">
        <v>124</v>
      </c>
      <c r="N22">
        <v>27</v>
      </c>
      <c r="O22">
        <v>6</v>
      </c>
      <c r="P22">
        <v>2796</v>
      </c>
    </row>
    <row r="23" spans="1:16" x14ac:dyDescent="0.25">
      <c r="A23" t="s">
        <v>0</v>
      </c>
      <c r="B23" t="s">
        <v>26</v>
      </c>
      <c r="C23">
        <v>2006</v>
      </c>
      <c r="D23">
        <v>35</v>
      </c>
      <c r="E23">
        <v>209</v>
      </c>
      <c r="F23">
        <v>285</v>
      </c>
      <c r="G23">
        <v>398</v>
      </c>
      <c r="H23">
        <v>424</v>
      </c>
      <c r="I23">
        <v>456</v>
      </c>
      <c r="J23">
        <v>430</v>
      </c>
      <c r="K23">
        <v>273</v>
      </c>
      <c r="L23">
        <v>234</v>
      </c>
      <c r="M23">
        <v>144</v>
      </c>
      <c r="N23">
        <v>40</v>
      </c>
      <c r="O23">
        <v>5</v>
      </c>
      <c r="P23">
        <v>2933</v>
      </c>
    </row>
    <row r="24" spans="1:16" x14ac:dyDescent="0.25">
      <c r="A24" t="s">
        <v>0</v>
      </c>
      <c r="B24" t="s">
        <v>26</v>
      </c>
      <c r="C24">
        <v>2007</v>
      </c>
      <c r="D24">
        <v>28</v>
      </c>
      <c r="E24">
        <v>239</v>
      </c>
      <c r="F24">
        <v>371</v>
      </c>
      <c r="G24">
        <v>471</v>
      </c>
      <c r="H24">
        <v>413</v>
      </c>
      <c r="I24">
        <v>484</v>
      </c>
      <c r="J24">
        <v>464</v>
      </c>
      <c r="K24">
        <v>327</v>
      </c>
      <c r="L24">
        <v>252</v>
      </c>
      <c r="M24">
        <v>169</v>
      </c>
      <c r="N24">
        <v>39</v>
      </c>
      <c r="O24">
        <v>11</v>
      </c>
      <c r="P24">
        <v>3268</v>
      </c>
    </row>
    <row r="25" spans="1:16" x14ac:dyDescent="0.25">
      <c r="A25" t="s">
        <v>0</v>
      </c>
      <c r="B25" t="s">
        <v>26</v>
      </c>
      <c r="C25">
        <v>2008</v>
      </c>
      <c r="D25">
        <v>27</v>
      </c>
      <c r="E25">
        <v>226</v>
      </c>
      <c r="F25">
        <v>390</v>
      </c>
      <c r="G25">
        <v>472</v>
      </c>
      <c r="H25">
        <v>434</v>
      </c>
      <c r="I25">
        <v>436</v>
      </c>
      <c r="J25">
        <v>480</v>
      </c>
      <c r="K25">
        <v>340</v>
      </c>
      <c r="L25">
        <v>232</v>
      </c>
      <c r="M25">
        <v>168</v>
      </c>
      <c r="N25">
        <v>33</v>
      </c>
      <c r="O25">
        <v>8</v>
      </c>
      <c r="P25">
        <v>3246</v>
      </c>
    </row>
    <row r="26" spans="1:16" x14ac:dyDescent="0.25">
      <c r="A26" t="s">
        <v>0</v>
      </c>
      <c r="B26" t="s">
        <v>26</v>
      </c>
      <c r="C26">
        <v>2009</v>
      </c>
      <c r="D26">
        <v>22</v>
      </c>
      <c r="E26">
        <v>183</v>
      </c>
      <c r="F26">
        <v>442</v>
      </c>
      <c r="G26">
        <v>511</v>
      </c>
      <c r="H26">
        <v>454</v>
      </c>
      <c r="I26">
        <v>485</v>
      </c>
      <c r="J26">
        <v>496</v>
      </c>
      <c r="K26">
        <v>382</v>
      </c>
      <c r="L26">
        <v>249</v>
      </c>
      <c r="M26">
        <v>184</v>
      </c>
      <c r="N26">
        <v>37</v>
      </c>
      <c r="O26">
        <v>10</v>
      </c>
      <c r="P26">
        <v>3455</v>
      </c>
    </row>
    <row r="27" spans="1:16" x14ac:dyDescent="0.25">
      <c r="A27" t="s">
        <v>0</v>
      </c>
      <c r="B27" t="s">
        <v>26</v>
      </c>
      <c r="C27">
        <v>2010</v>
      </c>
      <c r="D27">
        <v>19</v>
      </c>
      <c r="E27">
        <v>229</v>
      </c>
      <c r="F27">
        <v>531</v>
      </c>
      <c r="G27">
        <v>582</v>
      </c>
      <c r="H27">
        <v>504</v>
      </c>
      <c r="I27">
        <v>504</v>
      </c>
      <c r="J27">
        <v>496</v>
      </c>
      <c r="K27">
        <v>432</v>
      </c>
      <c r="L27">
        <v>271</v>
      </c>
      <c r="M27">
        <v>189</v>
      </c>
      <c r="N27">
        <v>49</v>
      </c>
      <c r="O27">
        <v>9</v>
      </c>
      <c r="P27">
        <v>3815</v>
      </c>
    </row>
    <row r="28" spans="1:16" x14ac:dyDescent="0.25">
      <c r="A28" t="s">
        <v>0</v>
      </c>
      <c r="B28" t="s">
        <v>26</v>
      </c>
      <c r="C28">
        <v>2011</v>
      </c>
      <c r="D28">
        <v>19</v>
      </c>
      <c r="E28">
        <v>257</v>
      </c>
      <c r="F28">
        <v>599</v>
      </c>
      <c r="G28">
        <v>666</v>
      </c>
      <c r="H28">
        <v>594</v>
      </c>
      <c r="I28">
        <v>534</v>
      </c>
      <c r="J28">
        <v>522</v>
      </c>
      <c r="K28">
        <v>485</v>
      </c>
      <c r="L28">
        <v>283</v>
      </c>
      <c r="M28">
        <v>199</v>
      </c>
      <c r="N28">
        <v>51</v>
      </c>
      <c r="O28">
        <v>20</v>
      </c>
      <c r="P28">
        <v>4229</v>
      </c>
    </row>
    <row r="29" spans="1:16" x14ac:dyDescent="0.25">
      <c r="A29" t="s">
        <v>0</v>
      </c>
      <c r="B29" t="s">
        <v>26</v>
      </c>
      <c r="C29">
        <v>2012</v>
      </c>
      <c r="D29">
        <v>30</v>
      </c>
      <c r="E29">
        <v>258</v>
      </c>
      <c r="F29">
        <v>634</v>
      </c>
      <c r="G29">
        <v>718</v>
      </c>
      <c r="H29">
        <v>627</v>
      </c>
      <c r="I29">
        <v>553</v>
      </c>
      <c r="J29">
        <v>513</v>
      </c>
      <c r="K29">
        <v>511</v>
      </c>
      <c r="L29">
        <v>338</v>
      </c>
      <c r="M29">
        <v>213</v>
      </c>
      <c r="N29">
        <v>63</v>
      </c>
      <c r="O29">
        <v>22</v>
      </c>
      <c r="P29">
        <v>4480</v>
      </c>
    </row>
    <row r="30" spans="1:16" x14ac:dyDescent="0.25">
      <c r="A30" t="s">
        <v>0</v>
      </c>
      <c r="B30" t="s">
        <v>26</v>
      </c>
      <c r="C30">
        <v>2013</v>
      </c>
      <c r="D30">
        <v>37</v>
      </c>
      <c r="E30">
        <v>277</v>
      </c>
      <c r="F30">
        <v>648</v>
      </c>
      <c r="G30">
        <v>789</v>
      </c>
      <c r="H30">
        <v>677</v>
      </c>
      <c r="I30">
        <v>604</v>
      </c>
      <c r="J30">
        <v>530</v>
      </c>
      <c r="K30">
        <v>521</v>
      </c>
      <c r="L30">
        <v>356</v>
      </c>
      <c r="M30">
        <v>202</v>
      </c>
      <c r="N30">
        <v>89</v>
      </c>
      <c r="O30">
        <v>23</v>
      </c>
      <c r="P30">
        <v>4753</v>
      </c>
    </row>
    <row r="31" spans="1:16" x14ac:dyDescent="0.25">
      <c r="A31" t="s">
        <v>0</v>
      </c>
      <c r="B31" t="s">
        <v>26</v>
      </c>
      <c r="C31">
        <v>2014</v>
      </c>
      <c r="D31">
        <v>31</v>
      </c>
      <c r="E31">
        <v>296</v>
      </c>
      <c r="F31">
        <v>685</v>
      </c>
      <c r="G31">
        <v>908</v>
      </c>
      <c r="H31">
        <v>761</v>
      </c>
      <c r="I31">
        <v>641</v>
      </c>
      <c r="J31">
        <v>569</v>
      </c>
      <c r="K31">
        <v>566</v>
      </c>
      <c r="L31">
        <v>379</v>
      </c>
      <c r="M31">
        <v>227</v>
      </c>
      <c r="N31">
        <v>84</v>
      </c>
      <c r="O31">
        <v>22</v>
      </c>
      <c r="P31">
        <v>5169</v>
      </c>
    </row>
    <row r="32" spans="1:16" x14ac:dyDescent="0.25">
      <c r="A32" t="s">
        <v>0</v>
      </c>
      <c r="B32" t="s">
        <v>26</v>
      </c>
      <c r="C32">
        <v>2015</v>
      </c>
      <c r="D32">
        <v>53</v>
      </c>
      <c r="E32">
        <v>329</v>
      </c>
      <c r="F32">
        <v>718</v>
      </c>
      <c r="G32">
        <v>977</v>
      </c>
      <c r="H32">
        <v>838</v>
      </c>
      <c r="I32">
        <v>697</v>
      </c>
      <c r="J32">
        <v>617</v>
      </c>
      <c r="K32">
        <v>564</v>
      </c>
      <c r="L32">
        <v>453</v>
      </c>
      <c r="M32">
        <v>238</v>
      </c>
      <c r="N32">
        <v>93</v>
      </c>
      <c r="O32">
        <v>30</v>
      </c>
      <c r="P32">
        <v>5607</v>
      </c>
    </row>
    <row r="33" spans="1:16" x14ac:dyDescent="0.25">
      <c r="A33" t="s">
        <v>0</v>
      </c>
      <c r="B33" t="s">
        <v>26</v>
      </c>
      <c r="C33">
        <v>2016</v>
      </c>
      <c r="D33">
        <v>63</v>
      </c>
      <c r="E33">
        <v>404</v>
      </c>
      <c r="F33">
        <v>758</v>
      </c>
      <c r="G33">
        <v>1041</v>
      </c>
      <c r="H33">
        <v>927</v>
      </c>
      <c r="I33">
        <v>789</v>
      </c>
      <c r="J33">
        <v>664</v>
      </c>
      <c r="K33">
        <v>566</v>
      </c>
      <c r="L33">
        <v>484</v>
      </c>
      <c r="M33">
        <v>252</v>
      </c>
      <c r="N33">
        <v>104</v>
      </c>
      <c r="O33">
        <v>30</v>
      </c>
      <c r="P33">
        <v>6082</v>
      </c>
    </row>
    <row r="34" spans="1:16" x14ac:dyDescent="0.25">
      <c r="A34" t="s">
        <v>0</v>
      </c>
      <c r="B34" t="s">
        <v>26</v>
      </c>
      <c r="C34">
        <v>2017</v>
      </c>
      <c r="D34">
        <v>92</v>
      </c>
      <c r="E34">
        <v>511</v>
      </c>
      <c r="F34">
        <v>792</v>
      </c>
      <c r="G34">
        <v>1074</v>
      </c>
      <c r="H34">
        <v>1005</v>
      </c>
      <c r="I34">
        <v>822</v>
      </c>
      <c r="J34">
        <v>682</v>
      </c>
      <c r="K34">
        <v>604</v>
      </c>
      <c r="L34">
        <v>513</v>
      </c>
      <c r="M34">
        <v>282</v>
      </c>
      <c r="N34">
        <v>106</v>
      </c>
      <c r="O34">
        <v>34</v>
      </c>
      <c r="P34">
        <v>6517</v>
      </c>
    </row>
    <row r="35" spans="1:16" x14ac:dyDescent="0.25">
      <c r="A35" t="s">
        <v>0</v>
      </c>
      <c r="B35" t="s">
        <v>26</v>
      </c>
      <c r="C35">
        <v>2018</v>
      </c>
      <c r="D35">
        <v>121</v>
      </c>
      <c r="E35">
        <v>535</v>
      </c>
      <c r="F35">
        <v>868</v>
      </c>
      <c r="G35">
        <v>1118</v>
      </c>
      <c r="H35">
        <v>1079</v>
      </c>
      <c r="I35">
        <v>888</v>
      </c>
      <c r="J35">
        <v>757</v>
      </c>
      <c r="K35">
        <v>628</v>
      </c>
      <c r="L35">
        <v>530</v>
      </c>
      <c r="M35">
        <v>318</v>
      </c>
      <c r="N35">
        <v>120</v>
      </c>
      <c r="O35">
        <v>35</v>
      </c>
      <c r="P35">
        <v>6997</v>
      </c>
    </row>
    <row r="36" spans="1:16" x14ac:dyDescent="0.25">
      <c r="A36" t="s">
        <v>0</v>
      </c>
      <c r="B36" t="s">
        <v>26</v>
      </c>
      <c r="C36">
        <v>2019</v>
      </c>
      <c r="D36">
        <v>143</v>
      </c>
      <c r="E36">
        <v>683</v>
      </c>
      <c r="F36">
        <v>956</v>
      </c>
      <c r="G36">
        <v>1166</v>
      </c>
      <c r="H36">
        <v>1174</v>
      </c>
      <c r="I36">
        <v>973</v>
      </c>
      <c r="J36">
        <v>817</v>
      </c>
      <c r="K36">
        <v>643</v>
      </c>
      <c r="L36">
        <v>571</v>
      </c>
      <c r="M36">
        <v>360</v>
      </c>
      <c r="N36">
        <v>140</v>
      </c>
      <c r="O36">
        <v>42</v>
      </c>
      <c r="P36">
        <v>7668</v>
      </c>
    </row>
    <row r="37" spans="1:16" x14ac:dyDescent="0.25">
      <c r="A37" t="s">
        <v>0</v>
      </c>
      <c r="B37" t="s">
        <v>26</v>
      </c>
      <c r="C37">
        <v>2020</v>
      </c>
      <c r="D37">
        <v>123</v>
      </c>
      <c r="E37">
        <v>722</v>
      </c>
      <c r="F37">
        <v>989</v>
      </c>
      <c r="G37">
        <v>1128</v>
      </c>
      <c r="H37">
        <v>1212</v>
      </c>
      <c r="I37">
        <v>1007</v>
      </c>
      <c r="J37">
        <v>816</v>
      </c>
      <c r="K37">
        <v>672</v>
      </c>
      <c r="L37">
        <v>536</v>
      </c>
      <c r="M37">
        <v>383</v>
      </c>
      <c r="N37">
        <v>135</v>
      </c>
      <c r="O37">
        <v>37</v>
      </c>
      <c r="P37">
        <v>7760</v>
      </c>
    </row>
    <row r="38" spans="1:16" x14ac:dyDescent="0.25">
      <c r="A38" t="s">
        <v>0</v>
      </c>
      <c r="B38" t="s">
        <v>26</v>
      </c>
      <c r="C38">
        <v>2021</v>
      </c>
      <c r="D38">
        <v>118</v>
      </c>
      <c r="E38">
        <v>849</v>
      </c>
      <c r="F38">
        <v>1041</v>
      </c>
      <c r="G38">
        <v>1170</v>
      </c>
      <c r="H38">
        <v>1276</v>
      </c>
      <c r="I38">
        <v>1047</v>
      </c>
      <c r="J38">
        <v>890</v>
      </c>
      <c r="K38">
        <v>723</v>
      </c>
      <c r="L38">
        <v>595</v>
      </c>
      <c r="M38">
        <v>436</v>
      </c>
      <c r="N38">
        <v>137</v>
      </c>
      <c r="O38">
        <v>51</v>
      </c>
      <c r="P38">
        <v>8333</v>
      </c>
    </row>
    <row r="39" spans="1:16" x14ac:dyDescent="0.25">
      <c r="A39" t="s">
        <v>0</v>
      </c>
      <c r="B39" t="s">
        <v>26</v>
      </c>
      <c r="C39">
        <v>2022</v>
      </c>
      <c r="D39">
        <v>153</v>
      </c>
      <c r="E39">
        <v>894</v>
      </c>
      <c r="F39">
        <v>1117</v>
      </c>
      <c r="G39">
        <v>1230</v>
      </c>
      <c r="H39">
        <v>1293</v>
      </c>
      <c r="I39">
        <v>1130</v>
      </c>
      <c r="J39">
        <v>932</v>
      </c>
      <c r="K39">
        <v>750</v>
      </c>
      <c r="L39">
        <v>619</v>
      </c>
      <c r="M39">
        <v>489</v>
      </c>
      <c r="N39">
        <v>168</v>
      </c>
      <c r="O39">
        <v>52</v>
      </c>
      <c r="P39">
        <v>8827</v>
      </c>
    </row>
    <row r="40" spans="1:16" x14ac:dyDescent="0.25">
      <c r="A40" t="s">
        <v>0</v>
      </c>
      <c r="B40" t="s">
        <v>26</v>
      </c>
      <c r="C40">
        <v>2023</v>
      </c>
      <c r="D40">
        <v>168</v>
      </c>
      <c r="E40">
        <v>855</v>
      </c>
      <c r="F40">
        <v>1215</v>
      </c>
      <c r="G40">
        <v>1249</v>
      </c>
      <c r="H40">
        <v>1320</v>
      </c>
      <c r="I40">
        <v>1211</v>
      </c>
      <c r="J40">
        <v>986</v>
      </c>
      <c r="K40">
        <v>806</v>
      </c>
      <c r="L40">
        <v>637</v>
      </c>
      <c r="M40">
        <v>526</v>
      </c>
      <c r="N40">
        <v>217</v>
      </c>
      <c r="O40">
        <v>48</v>
      </c>
      <c r="P40">
        <v>9238</v>
      </c>
    </row>
    <row r="41" spans="1:16" x14ac:dyDescent="0.25">
      <c r="A41" t="s">
        <v>0</v>
      </c>
      <c r="B41" t="s">
        <v>26</v>
      </c>
      <c r="C41">
        <v>2024</v>
      </c>
      <c r="D41">
        <v>148</v>
      </c>
      <c r="E41">
        <v>650</v>
      </c>
      <c r="F41">
        <v>1255</v>
      </c>
      <c r="G41">
        <v>1196</v>
      </c>
      <c r="H41">
        <v>1188</v>
      </c>
      <c r="I41">
        <v>1226</v>
      </c>
      <c r="J41">
        <v>980</v>
      </c>
      <c r="K41">
        <v>800</v>
      </c>
      <c r="L41">
        <v>649</v>
      </c>
      <c r="M41">
        <v>552</v>
      </c>
      <c r="N41">
        <v>241</v>
      </c>
      <c r="O41">
        <v>64</v>
      </c>
      <c r="P41">
        <v>8949</v>
      </c>
    </row>
    <row r="42" spans="1:16" x14ac:dyDescent="0.25">
      <c r="A42" t="s">
        <v>1</v>
      </c>
      <c r="B42" t="s">
        <v>25</v>
      </c>
      <c r="C42">
        <v>2005</v>
      </c>
      <c r="D42">
        <v>521</v>
      </c>
      <c r="E42">
        <v>2069</v>
      </c>
      <c r="F42">
        <v>3002</v>
      </c>
      <c r="G42">
        <v>3467</v>
      </c>
      <c r="H42">
        <v>3750</v>
      </c>
      <c r="I42">
        <v>3739</v>
      </c>
      <c r="J42">
        <v>3429</v>
      </c>
      <c r="K42">
        <v>3447</v>
      </c>
      <c r="L42">
        <v>3422</v>
      </c>
      <c r="M42">
        <v>2433</v>
      </c>
      <c r="N42">
        <v>294</v>
      </c>
      <c r="O42">
        <v>50</v>
      </c>
      <c r="P42">
        <v>29623</v>
      </c>
    </row>
    <row r="43" spans="1:16" x14ac:dyDescent="0.25">
      <c r="A43" t="s">
        <v>1</v>
      </c>
      <c r="B43" t="s">
        <v>25</v>
      </c>
      <c r="C43">
        <v>2006</v>
      </c>
      <c r="D43">
        <v>541</v>
      </c>
      <c r="E43">
        <v>2323</v>
      </c>
      <c r="F43">
        <v>3080</v>
      </c>
      <c r="G43">
        <v>3555</v>
      </c>
      <c r="H43">
        <v>3664</v>
      </c>
      <c r="I43">
        <v>3952</v>
      </c>
      <c r="J43">
        <v>3404</v>
      </c>
      <c r="K43">
        <v>3457</v>
      </c>
      <c r="L43">
        <v>3411</v>
      </c>
      <c r="M43">
        <v>2536</v>
      </c>
      <c r="N43">
        <v>337</v>
      </c>
      <c r="O43">
        <v>48</v>
      </c>
      <c r="P43">
        <v>30308</v>
      </c>
    </row>
    <row r="44" spans="1:16" x14ac:dyDescent="0.25">
      <c r="A44" t="s">
        <v>1</v>
      </c>
      <c r="B44" t="s">
        <v>25</v>
      </c>
      <c r="C44">
        <v>2007</v>
      </c>
      <c r="D44">
        <v>539</v>
      </c>
      <c r="E44">
        <v>2470</v>
      </c>
      <c r="F44">
        <v>3029</v>
      </c>
      <c r="G44">
        <v>3538</v>
      </c>
      <c r="H44">
        <v>3674</v>
      </c>
      <c r="I44">
        <v>4000</v>
      </c>
      <c r="J44">
        <v>3512</v>
      </c>
      <c r="K44">
        <v>3447</v>
      </c>
      <c r="L44">
        <v>3390</v>
      </c>
      <c r="M44">
        <v>2685</v>
      </c>
      <c r="N44">
        <v>407</v>
      </c>
      <c r="O44">
        <v>63</v>
      </c>
      <c r="P44">
        <v>30754</v>
      </c>
    </row>
    <row r="45" spans="1:16" x14ac:dyDescent="0.25">
      <c r="A45" t="s">
        <v>1</v>
      </c>
      <c r="B45" t="s">
        <v>25</v>
      </c>
      <c r="C45">
        <v>2008</v>
      </c>
      <c r="D45">
        <v>482</v>
      </c>
      <c r="E45">
        <v>2192</v>
      </c>
      <c r="F45">
        <v>2871</v>
      </c>
      <c r="G45">
        <v>3386</v>
      </c>
      <c r="H45">
        <v>3616</v>
      </c>
      <c r="I45">
        <v>3993</v>
      </c>
      <c r="J45">
        <v>3465</v>
      </c>
      <c r="K45">
        <v>3310</v>
      </c>
      <c r="L45">
        <v>3324</v>
      </c>
      <c r="M45">
        <v>2711</v>
      </c>
      <c r="N45">
        <v>435</v>
      </c>
      <c r="O45">
        <v>58</v>
      </c>
      <c r="P45">
        <v>29843</v>
      </c>
    </row>
    <row r="46" spans="1:16" x14ac:dyDescent="0.25">
      <c r="A46" t="s">
        <v>1</v>
      </c>
      <c r="B46" t="s">
        <v>25</v>
      </c>
      <c r="C46">
        <v>2009</v>
      </c>
      <c r="D46">
        <v>501</v>
      </c>
      <c r="E46">
        <v>2269</v>
      </c>
      <c r="F46">
        <v>2917</v>
      </c>
      <c r="G46">
        <v>3327</v>
      </c>
      <c r="H46">
        <v>3694</v>
      </c>
      <c r="I46">
        <v>4016</v>
      </c>
      <c r="J46">
        <v>3639</v>
      </c>
      <c r="K46">
        <v>3402</v>
      </c>
      <c r="L46">
        <v>3201</v>
      </c>
      <c r="M46">
        <v>2858</v>
      </c>
      <c r="N46">
        <v>559</v>
      </c>
      <c r="O46">
        <v>84</v>
      </c>
      <c r="P46">
        <v>30467</v>
      </c>
    </row>
    <row r="47" spans="1:16" x14ac:dyDescent="0.25">
      <c r="A47" t="s">
        <v>1</v>
      </c>
      <c r="B47" t="s">
        <v>25</v>
      </c>
      <c r="C47">
        <v>2010</v>
      </c>
      <c r="D47">
        <v>540</v>
      </c>
      <c r="E47">
        <v>2456</v>
      </c>
      <c r="F47">
        <v>3040</v>
      </c>
      <c r="G47">
        <v>3321</v>
      </c>
      <c r="H47">
        <v>3700</v>
      </c>
      <c r="I47">
        <v>3942</v>
      </c>
      <c r="J47">
        <v>3840</v>
      </c>
      <c r="K47">
        <v>3351</v>
      </c>
      <c r="L47">
        <v>3220</v>
      </c>
      <c r="M47">
        <v>2864</v>
      </c>
      <c r="N47">
        <v>586</v>
      </c>
      <c r="O47">
        <v>82</v>
      </c>
      <c r="P47">
        <v>30942</v>
      </c>
    </row>
    <row r="48" spans="1:16" x14ac:dyDescent="0.25">
      <c r="A48" t="s">
        <v>1</v>
      </c>
      <c r="B48" t="s">
        <v>25</v>
      </c>
      <c r="C48">
        <v>2011</v>
      </c>
      <c r="D48">
        <v>538</v>
      </c>
      <c r="E48">
        <v>2443</v>
      </c>
      <c r="F48">
        <v>3080</v>
      </c>
      <c r="G48">
        <v>3282</v>
      </c>
      <c r="H48">
        <v>3688</v>
      </c>
      <c r="I48">
        <v>3866</v>
      </c>
      <c r="J48">
        <v>4015</v>
      </c>
      <c r="K48">
        <v>3354</v>
      </c>
      <c r="L48">
        <v>3230</v>
      </c>
      <c r="M48">
        <v>2775</v>
      </c>
      <c r="N48">
        <v>660</v>
      </c>
      <c r="O48">
        <v>144</v>
      </c>
      <c r="P48">
        <v>31075</v>
      </c>
    </row>
    <row r="49" spans="1:16" x14ac:dyDescent="0.25">
      <c r="A49" t="s">
        <v>1</v>
      </c>
      <c r="B49" t="s">
        <v>25</v>
      </c>
      <c r="C49">
        <v>2012</v>
      </c>
      <c r="D49">
        <v>587</v>
      </c>
      <c r="E49">
        <v>2660</v>
      </c>
      <c r="F49">
        <v>3175</v>
      </c>
      <c r="G49">
        <v>3259</v>
      </c>
      <c r="H49">
        <v>3680</v>
      </c>
      <c r="I49">
        <v>3773</v>
      </c>
      <c r="J49">
        <v>4075</v>
      </c>
      <c r="K49">
        <v>3469</v>
      </c>
      <c r="L49">
        <v>3267</v>
      </c>
      <c r="M49">
        <v>2785</v>
      </c>
      <c r="N49">
        <v>696</v>
      </c>
      <c r="O49">
        <v>192</v>
      </c>
      <c r="P49">
        <v>31618</v>
      </c>
    </row>
    <row r="50" spans="1:16" x14ac:dyDescent="0.25">
      <c r="A50" t="s">
        <v>1</v>
      </c>
      <c r="B50" t="s">
        <v>25</v>
      </c>
      <c r="C50">
        <v>2013</v>
      </c>
      <c r="D50">
        <v>596</v>
      </c>
      <c r="E50">
        <v>2915</v>
      </c>
      <c r="F50">
        <v>3190</v>
      </c>
      <c r="G50">
        <v>3286</v>
      </c>
      <c r="H50">
        <v>3627</v>
      </c>
      <c r="I50">
        <v>3790</v>
      </c>
      <c r="J50">
        <v>4087</v>
      </c>
      <c r="K50">
        <v>3503</v>
      </c>
      <c r="L50">
        <v>3268</v>
      </c>
      <c r="M50">
        <v>2811</v>
      </c>
      <c r="N50">
        <v>792</v>
      </c>
      <c r="O50">
        <v>227</v>
      </c>
      <c r="P50">
        <v>32092</v>
      </c>
    </row>
    <row r="51" spans="1:16" x14ac:dyDescent="0.25">
      <c r="A51" t="s">
        <v>1</v>
      </c>
      <c r="B51" t="s">
        <v>25</v>
      </c>
      <c r="C51">
        <v>2014</v>
      </c>
      <c r="D51">
        <v>527</v>
      </c>
      <c r="E51">
        <v>2933</v>
      </c>
      <c r="F51">
        <v>3410</v>
      </c>
      <c r="G51">
        <v>3272</v>
      </c>
      <c r="H51">
        <v>3613</v>
      </c>
      <c r="I51">
        <v>3908</v>
      </c>
      <c r="J51">
        <v>4075</v>
      </c>
      <c r="K51">
        <v>3698</v>
      </c>
      <c r="L51">
        <v>3320</v>
      </c>
      <c r="M51">
        <v>2753</v>
      </c>
      <c r="N51">
        <v>841</v>
      </c>
      <c r="O51">
        <v>239</v>
      </c>
      <c r="P51">
        <v>32589</v>
      </c>
    </row>
    <row r="52" spans="1:16" x14ac:dyDescent="0.25">
      <c r="A52" t="s">
        <v>1</v>
      </c>
      <c r="B52" t="s">
        <v>25</v>
      </c>
      <c r="C52">
        <v>2015</v>
      </c>
      <c r="D52">
        <v>572</v>
      </c>
      <c r="E52">
        <v>3092</v>
      </c>
      <c r="F52">
        <v>3675</v>
      </c>
      <c r="G52">
        <v>3382</v>
      </c>
      <c r="H52">
        <v>3561</v>
      </c>
      <c r="I52">
        <v>3903</v>
      </c>
      <c r="J52">
        <v>3988</v>
      </c>
      <c r="K52">
        <v>3937</v>
      </c>
      <c r="L52">
        <v>3324</v>
      </c>
      <c r="M52">
        <v>2742</v>
      </c>
      <c r="N52">
        <v>868</v>
      </c>
      <c r="O52">
        <v>256</v>
      </c>
      <c r="P52">
        <v>33300</v>
      </c>
    </row>
    <row r="53" spans="1:16" x14ac:dyDescent="0.25">
      <c r="A53" t="s">
        <v>1</v>
      </c>
      <c r="B53" t="s">
        <v>25</v>
      </c>
      <c r="C53">
        <v>2016</v>
      </c>
      <c r="D53">
        <v>653</v>
      </c>
      <c r="E53">
        <v>3208</v>
      </c>
      <c r="F53">
        <v>3906</v>
      </c>
      <c r="G53">
        <v>3440</v>
      </c>
      <c r="H53">
        <v>3512</v>
      </c>
      <c r="I53">
        <v>3843</v>
      </c>
      <c r="J53">
        <v>3973</v>
      </c>
      <c r="K53">
        <v>4090</v>
      </c>
      <c r="L53">
        <v>3350</v>
      </c>
      <c r="M53">
        <v>2770</v>
      </c>
      <c r="N53">
        <v>825</v>
      </c>
      <c r="O53">
        <v>270</v>
      </c>
      <c r="P53">
        <v>33840</v>
      </c>
    </row>
    <row r="54" spans="1:16" x14ac:dyDescent="0.25">
      <c r="A54" t="s">
        <v>1</v>
      </c>
      <c r="B54" t="s">
        <v>25</v>
      </c>
      <c r="C54">
        <v>2017</v>
      </c>
      <c r="D54">
        <v>693</v>
      </c>
      <c r="E54">
        <v>3116</v>
      </c>
      <c r="F54">
        <v>4070</v>
      </c>
      <c r="G54">
        <v>3540</v>
      </c>
      <c r="H54">
        <v>3475</v>
      </c>
      <c r="I54">
        <v>3865</v>
      </c>
      <c r="J54">
        <v>3879</v>
      </c>
      <c r="K54">
        <v>4167</v>
      </c>
      <c r="L54">
        <v>3437</v>
      </c>
      <c r="M54">
        <v>2804</v>
      </c>
      <c r="N54">
        <v>822</v>
      </c>
      <c r="O54">
        <v>351</v>
      </c>
      <c r="P54">
        <v>34219</v>
      </c>
    </row>
    <row r="55" spans="1:16" x14ac:dyDescent="0.25">
      <c r="A55" t="s">
        <v>1</v>
      </c>
      <c r="B55" t="s">
        <v>25</v>
      </c>
      <c r="C55">
        <v>2018</v>
      </c>
      <c r="D55">
        <v>706</v>
      </c>
      <c r="E55">
        <v>2842</v>
      </c>
      <c r="F55">
        <v>4280</v>
      </c>
      <c r="G55">
        <v>3703</v>
      </c>
      <c r="H55">
        <v>3480</v>
      </c>
      <c r="I55">
        <v>3811</v>
      </c>
      <c r="J55">
        <v>3908</v>
      </c>
      <c r="K55">
        <v>4211</v>
      </c>
      <c r="L55">
        <v>3468</v>
      </c>
      <c r="M55">
        <v>2872</v>
      </c>
      <c r="N55">
        <v>909</v>
      </c>
      <c r="O55">
        <v>355</v>
      </c>
      <c r="P55">
        <v>34545</v>
      </c>
    </row>
    <row r="56" spans="1:16" x14ac:dyDescent="0.25">
      <c r="A56" t="s">
        <v>1</v>
      </c>
      <c r="B56" t="s">
        <v>25</v>
      </c>
      <c r="C56">
        <v>2019</v>
      </c>
      <c r="D56">
        <v>1080</v>
      </c>
      <c r="E56">
        <v>3015</v>
      </c>
      <c r="F56">
        <v>4571</v>
      </c>
      <c r="G56">
        <v>3842</v>
      </c>
      <c r="H56">
        <v>3447</v>
      </c>
      <c r="I56">
        <v>3786</v>
      </c>
      <c r="J56">
        <v>3986</v>
      </c>
      <c r="K56">
        <v>4106</v>
      </c>
      <c r="L56">
        <v>3710</v>
      </c>
      <c r="M56">
        <v>2881</v>
      </c>
      <c r="N56">
        <v>1112</v>
      </c>
      <c r="O56">
        <v>486</v>
      </c>
      <c r="P56">
        <v>36022</v>
      </c>
    </row>
    <row r="57" spans="1:16" x14ac:dyDescent="0.25">
      <c r="A57" t="s">
        <v>1</v>
      </c>
      <c r="B57" t="s">
        <v>25</v>
      </c>
      <c r="C57">
        <v>2020</v>
      </c>
      <c r="D57">
        <v>984</v>
      </c>
      <c r="E57">
        <v>2813</v>
      </c>
      <c r="F57">
        <v>4486</v>
      </c>
      <c r="G57">
        <v>4134</v>
      </c>
      <c r="H57">
        <v>3517</v>
      </c>
      <c r="I57">
        <v>3691</v>
      </c>
      <c r="J57">
        <v>3952</v>
      </c>
      <c r="K57">
        <v>4010</v>
      </c>
      <c r="L57">
        <v>3830</v>
      </c>
      <c r="M57">
        <v>2839</v>
      </c>
      <c r="N57">
        <v>990</v>
      </c>
      <c r="O57">
        <v>383</v>
      </c>
      <c r="P57">
        <v>35629</v>
      </c>
    </row>
    <row r="58" spans="1:16" x14ac:dyDescent="0.25">
      <c r="A58" t="s">
        <v>1</v>
      </c>
      <c r="B58" t="s">
        <v>25</v>
      </c>
      <c r="C58">
        <v>2021</v>
      </c>
      <c r="D58">
        <v>1065</v>
      </c>
      <c r="E58">
        <v>2812</v>
      </c>
      <c r="F58">
        <v>4280</v>
      </c>
      <c r="G58">
        <v>4308</v>
      </c>
      <c r="H58">
        <v>3584</v>
      </c>
      <c r="I58">
        <v>3628</v>
      </c>
      <c r="J58">
        <v>3954</v>
      </c>
      <c r="K58">
        <v>4023</v>
      </c>
      <c r="L58">
        <v>4072</v>
      </c>
      <c r="M58">
        <v>2884</v>
      </c>
      <c r="N58">
        <v>1069</v>
      </c>
      <c r="O58">
        <v>476</v>
      </c>
      <c r="P58">
        <v>36155</v>
      </c>
    </row>
    <row r="59" spans="1:16" x14ac:dyDescent="0.25">
      <c r="A59" t="s">
        <v>1</v>
      </c>
      <c r="B59" t="s">
        <v>25</v>
      </c>
      <c r="C59">
        <v>2022</v>
      </c>
      <c r="D59">
        <v>1153</v>
      </c>
      <c r="E59">
        <v>2959</v>
      </c>
      <c r="F59">
        <v>4124</v>
      </c>
      <c r="G59">
        <v>4579</v>
      </c>
      <c r="H59">
        <v>3712</v>
      </c>
      <c r="I59">
        <v>3601</v>
      </c>
      <c r="J59">
        <v>3972</v>
      </c>
      <c r="K59">
        <v>3919</v>
      </c>
      <c r="L59">
        <v>4152</v>
      </c>
      <c r="M59">
        <v>2983</v>
      </c>
      <c r="N59">
        <v>1145</v>
      </c>
      <c r="O59">
        <v>482</v>
      </c>
      <c r="P59">
        <v>36781</v>
      </c>
    </row>
    <row r="60" spans="1:16" x14ac:dyDescent="0.25">
      <c r="A60" t="s">
        <v>1</v>
      </c>
      <c r="B60" t="s">
        <v>25</v>
      </c>
      <c r="C60">
        <v>2023</v>
      </c>
      <c r="D60">
        <v>1208</v>
      </c>
      <c r="E60">
        <v>3099</v>
      </c>
      <c r="F60">
        <v>3924</v>
      </c>
      <c r="G60">
        <v>4693</v>
      </c>
      <c r="H60">
        <v>3867</v>
      </c>
      <c r="I60">
        <v>3620</v>
      </c>
      <c r="J60">
        <v>3860</v>
      </c>
      <c r="K60">
        <v>3920</v>
      </c>
      <c r="L60">
        <v>4148</v>
      </c>
      <c r="M60">
        <v>3057</v>
      </c>
      <c r="N60">
        <v>1257</v>
      </c>
      <c r="O60">
        <v>506</v>
      </c>
      <c r="P60">
        <v>37159</v>
      </c>
    </row>
    <row r="61" spans="1:16" x14ac:dyDescent="0.25">
      <c r="A61" t="s">
        <v>1</v>
      </c>
      <c r="B61" t="s">
        <v>25</v>
      </c>
      <c r="C61">
        <v>2024</v>
      </c>
      <c r="D61">
        <v>1194</v>
      </c>
      <c r="E61">
        <v>2888</v>
      </c>
      <c r="F61">
        <v>3632</v>
      </c>
      <c r="G61">
        <v>4655</v>
      </c>
      <c r="H61">
        <v>3998</v>
      </c>
      <c r="I61">
        <v>3549</v>
      </c>
      <c r="J61">
        <v>3776</v>
      </c>
      <c r="K61">
        <v>3969</v>
      </c>
      <c r="L61">
        <v>4027</v>
      </c>
      <c r="M61">
        <v>3227</v>
      </c>
      <c r="N61">
        <v>1275</v>
      </c>
      <c r="O61">
        <v>515</v>
      </c>
      <c r="P61">
        <v>36705</v>
      </c>
    </row>
    <row r="62" spans="1:16" x14ac:dyDescent="0.25">
      <c r="A62" t="s">
        <v>1</v>
      </c>
      <c r="B62" t="s">
        <v>26</v>
      </c>
      <c r="C62">
        <v>2005</v>
      </c>
      <c r="D62">
        <v>32</v>
      </c>
      <c r="E62">
        <v>176</v>
      </c>
      <c r="F62">
        <v>276</v>
      </c>
      <c r="G62">
        <v>377</v>
      </c>
      <c r="H62">
        <v>409</v>
      </c>
      <c r="I62">
        <v>395</v>
      </c>
      <c r="J62">
        <v>358</v>
      </c>
      <c r="K62">
        <v>276</v>
      </c>
      <c r="L62">
        <v>187</v>
      </c>
      <c r="M62">
        <v>80</v>
      </c>
      <c r="N62">
        <v>19</v>
      </c>
      <c r="O62">
        <v>1</v>
      </c>
      <c r="P62">
        <v>2586</v>
      </c>
    </row>
    <row r="63" spans="1:16" x14ac:dyDescent="0.25">
      <c r="A63" t="s">
        <v>1</v>
      </c>
      <c r="B63" t="s">
        <v>26</v>
      </c>
      <c r="C63">
        <v>2006</v>
      </c>
      <c r="D63">
        <v>33</v>
      </c>
      <c r="E63">
        <v>199</v>
      </c>
      <c r="F63">
        <v>300</v>
      </c>
      <c r="G63">
        <v>397</v>
      </c>
      <c r="H63">
        <v>420</v>
      </c>
      <c r="I63">
        <v>454</v>
      </c>
      <c r="J63">
        <v>370</v>
      </c>
      <c r="K63">
        <v>277</v>
      </c>
      <c r="L63">
        <v>211</v>
      </c>
      <c r="M63">
        <v>87</v>
      </c>
      <c r="N63">
        <v>21</v>
      </c>
      <c r="O63">
        <v>1</v>
      </c>
      <c r="P63">
        <v>2770</v>
      </c>
    </row>
    <row r="64" spans="1:16" x14ac:dyDescent="0.25">
      <c r="A64" t="s">
        <v>1</v>
      </c>
      <c r="B64" t="s">
        <v>26</v>
      </c>
      <c r="C64">
        <v>2007</v>
      </c>
      <c r="D64">
        <v>21</v>
      </c>
      <c r="E64">
        <v>212</v>
      </c>
      <c r="F64">
        <v>314</v>
      </c>
      <c r="G64">
        <v>434</v>
      </c>
      <c r="H64">
        <v>433</v>
      </c>
      <c r="I64">
        <v>465</v>
      </c>
      <c r="J64">
        <v>414</v>
      </c>
      <c r="K64">
        <v>298</v>
      </c>
      <c r="L64">
        <v>224</v>
      </c>
      <c r="M64">
        <v>100</v>
      </c>
      <c r="N64">
        <v>19</v>
      </c>
      <c r="O64">
        <v>3</v>
      </c>
      <c r="P64">
        <v>2937</v>
      </c>
    </row>
    <row r="65" spans="1:16" x14ac:dyDescent="0.25">
      <c r="A65" t="s">
        <v>1</v>
      </c>
      <c r="B65" t="s">
        <v>26</v>
      </c>
      <c r="C65">
        <v>2008</v>
      </c>
      <c r="D65">
        <v>27</v>
      </c>
      <c r="E65">
        <v>153</v>
      </c>
      <c r="F65">
        <v>328</v>
      </c>
      <c r="G65">
        <v>424</v>
      </c>
      <c r="H65">
        <v>468</v>
      </c>
      <c r="I65">
        <v>441</v>
      </c>
      <c r="J65">
        <v>429</v>
      </c>
      <c r="K65">
        <v>320</v>
      </c>
      <c r="L65">
        <v>221</v>
      </c>
      <c r="M65">
        <v>124</v>
      </c>
      <c r="N65">
        <v>26</v>
      </c>
      <c r="O65">
        <v>1</v>
      </c>
      <c r="P65">
        <v>2962</v>
      </c>
    </row>
    <row r="66" spans="1:16" x14ac:dyDescent="0.25">
      <c r="A66" t="s">
        <v>1</v>
      </c>
      <c r="B66" t="s">
        <v>26</v>
      </c>
      <c r="C66">
        <v>2009</v>
      </c>
      <c r="D66">
        <v>32</v>
      </c>
      <c r="E66">
        <v>173</v>
      </c>
      <c r="F66">
        <v>338</v>
      </c>
      <c r="G66">
        <v>460</v>
      </c>
      <c r="H66">
        <v>489</v>
      </c>
      <c r="I66">
        <v>493</v>
      </c>
      <c r="J66">
        <v>451</v>
      </c>
      <c r="K66">
        <v>350</v>
      </c>
      <c r="L66">
        <v>235</v>
      </c>
      <c r="M66">
        <v>141</v>
      </c>
      <c r="N66">
        <v>29</v>
      </c>
      <c r="O66">
        <v>7</v>
      </c>
      <c r="P66">
        <v>3198</v>
      </c>
    </row>
    <row r="67" spans="1:16" x14ac:dyDescent="0.25">
      <c r="A67" t="s">
        <v>1</v>
      </c>
      <c r="B67" t="s">
        <v>26</v>
      </c>
      <c r="C67">
        <v>2010</v>
      </c>
      <c r="D67">
        <v>48</v>
      </c>
      <c r="E67">
        <v>202</v>
      </c>
      <c r="F67">
        <v>359</v>
      </c>
      <c r="G67">
        <v>501</v>
      </c>
      <c r="H67">
        <v>524</v>
      </c>
      <c r="I67">
        <v>502</v>
      </c>
      <c r="J67">
        <v>489</v>
      </c>
      <c r="K67">
        <v>404</v>
      </c>
      <c r="L67">
        <v>265</v>
      </c>
      <c r="M67">
        <v>151</v>
      </c>
      <c r="N67">
        <v>22</v>
      </c>
      <c r="O67">
        <v>7</v>
      </c>
      <c r="P67">
        <v>3474</v>
      </c>
    </row>
    <row r="68" spans="1:16" x14ac:dyDescent="0.25">
      <c r="A68" t="s">
        <v>1</v>
      </c>
      <c r="B68" t="s">
        <v>26</v>
      </c>
      <c r="C68">
        <v>2011</v>
      </c>
      <c r="D68">
        <v>32</v>
      </c>
      <c r="E68">
        <v>216</v>
      </c>
      <c r="F68">
        <v>401</v>
      </c>
      <c r="G68">
        <v>515</v>
      </c>
      <c r="H68">
        <v>545</v>
      </c>
      <c r="I68">
        <v>524</v>
      </c>
      <c r="J68">
        <v>519</v>
      </c>
      <c r="K68">
        <v>429</v>
      </c>
      <c r="L68">
        <v>266</v>
      </c>
      <c r="M68">
        <v>173</v>
      </c>
      <c r="N68">
        <v>29</v>
      </c>
      <c r="O68">
        <v>11</v>
      </c>
      <c r="P68">
        <v>3660</v>
      </c>
    </row>
    <row r="69" spans="1:16" x14ac:dyDescent="0.25">
      <c r="A69" t="s">
        <v>1</v>
      </c>
      <c r="B69" t="s">
        <v>26</v>
      </c>
      <c r="C69">
        <v>2012</v>
      </c>
      <c r="D69">
        <v>36</v>
      </c>
      <c r="E69">
        <v>225</v>
      </c>
      <c r="F69">
        <v>456</v>
      </c>
      <c r="G69">
        <v>533</v>
      </c>
      <c r="H69">
        <v>601</v>
      </c>
      <c r="I69">
        <v>580</v>
      </c>
      <c r="J69">
        <v>526</v>
      </c>
      <c r="K69">
        <v>434</v>
      </c>
      <c r="L69">
        <v>287</v>
      </c>
      <c r="M69">
        <v>175</v>
      </c>
      <c r="N69">
        <v>32</v>
      </c>
      <c r="O69">
        <v>15</v>
      </c>
      <c r="P69">
        <v>3900</v>
      </c>
    </row>
    <row r="70" spans="1:16" x14ac:dyDescent="0.25">
      <c r="A70" t="s">
        <v>1</v>
      </c>
      <c r="B70" t="s">
        <v>26</v>
      </c>
      <c r="C70">
        <v>2013</v>
      </c>
      <c r="D70">
        <v>31</v>
      </c>
      <c r="E70">
        <v>229</v>
      </c>
      <c r="F70">
        <v>446</v>
      </c>
      <c r="G70">
        <v>583</v>
      </c>
      <c r="H70">
        <v>612</v>
      </c>
      <c r="I70">
        <v>628</v>
      </c>
      <c r="J70">
        <v>533</v>
      </c>
      <c r="K70">
        <v>462</v>
      </c>
      <c r="L70">
        <v>324</v>
      </c>
      <c r="M70">
        <v>184</v>
      </c>
      <c r="N70">
        <v>37</v>
      </c>
      <c r="O70">
        <v>21</v>
      </c>
      <c r="P70">
        <v>4090</v>
      </c>
    </row>
    <row r="71" spans="1:16" x14ac:dyDescent="0.25">
      <c r="A71" t="s">
        <v>1</v>
      </c>
      <c r="B71" t="s">
        <v>26</v>
      </c>
      <c r="C71">
        <v>2014</v>
      </c>
      <c r="D71">
        <v>26</v>
      </c>
      <c r="E71">
        <v>242</v>
      </c>
      <c r="F71">
        <v>515</v>
      </c>
      <c r="G71">
        <v>606</v>
      </c>
      <c r="H71">
        <v>691</v>
      </c>
      <c r="I71">
        <v>675</v>
      </c>
      <c r="J71">
        <v>596</v>
      </c>
      <c r="K71">
        <v>495</v>
      </c>
      <c r="L71">
        <v>350</v>
      </c>
      <c r="M71">
        <v>211</v>
      </c>
      <c r="N71">
        <v>52</v>
      </c>
      <c r="O71">
        <v>13</v>
      </c>
      <c r="P71">
        <v>4472</v>
      </c>
    </row>
    <row r="72" spans="1:16" x14ac:dyDescent="0.25">
      <c r="A72" t="s">
        <v>1</v>
      </c>
      <c r="B72" t="s">
        <v>26</v>
      </c>
      <c r="C72">
        <v>2015</v>
      </c>
      <c r="D72">
        <v>62</v>
      </c>
      <c r="E72">
        <v>291</v>
      </c>
      <c r="F72">
        <v>506</v>
      </c>
      <c r="G72">
        <v>673</v>
      </c>
      <c r="H72">
        <v>757</v>
      </c>
      <c r="I72">
        <v>722</v>
      </c>
      <c r="J72">
        <v>634</v>
      </c>
      <c r="K72">
        <v>526</v>
      </c>
      <c r="L72">
        <v>408</v>
      </c>
      <c r="M72">
        <v>230</v>
      </c>
      <c r="N72">
        <v>59</v>
      </c>
      <c r="O72">
        <v>11</v>
      </c>
      <c r="P72">
        <v>4879</v>
      </c>
    </row>
    <row r="73" spans="1:16" x14ac:dyDescent="0.25">
      <c r="A73" t="s">
        <v>1</v>
      </c>
      <c r="B73" t="s">
        <v>26</v>
      </c>
      <c r="C73">
        <v>2016</v>
      </c>
      <c r="D73">
        <v>72</v>
      </c>
      <c r="E73">
        <v>330</v>
      </c>
      <c r="F73">
        <v>598</v>
      </c>
      <c r="G73">
        <v>746</v>
      </c>
      <c r="H73">
        <v>822</v>
      </c>
      <c r="I73">
        <v>782</v>
      </c>
      <c r="J73">
        <v>671</v>
      </c>
      <c r="K73">
        <v>583</v>
      </c>
      <c r="L73">
        <v>423</v>
      </c>
      <c r="M73">
        <v>246</v>
      </c>
      <c r="N73">
        <v>75</v>
      </c>
      <c r="O73">
        <v>13</v>
      </c>
      <c r="P73">
        <v>5361</v>
      </c>
    </row>
    <row r="74" spans="1:16" x14ac:dyDescent="0.25">
      <c r="A74" t="s">
        <v>1</v>
      </c>
      <c r="B74" t="s">
        <v>26</v>
      </c>
      <c r="C74">
        <v>2017</v>
      </c>
      <c r="D74">
        <v>78</v>
      </c>
      <c r="E74">
        <v>347</v>
      </c>
      <c r="F74">
        <v>586</v>
      </c>
      <c r="G74">
        <v>790</v>
      </c>
      <c r="H74">
        <v>829</v>
      </c>
      <c r="I74">
        <v>833</v>
      </c>
      <c r="J74">
        <v>711</v>
      </c>
      <c r="K74">
        <v>582</v>
      </c>
      <c r="L74">
        <v>435</v>
      </c>
      <c r="M74">
        <v>247</v>
      </c>
      <c r="N74">
        <v>98</v>
      </c>
      <c r="O74">
        <v>15</v>
      </c>
      <c r="P74">
        <v>5551</v>
      </c>
    </row>
    <row r="75" spans="1:16" x14ac:dyDescent="0.25">
      <c r="A75" t="s">
        <v>1</v>
      </c>
      <c r="B75" t="s">
        <v>26</v>
      </c>
      <c r="C75">
        <v>2018</v>
      </c>
      <c r="D75">
        <v>84</v>
      </c>
      <c r="E75">
        <v>341</v>
      </c>
      <c r="F75">
        <v>649</v>
      </c>
      <c r="G75">
        <v>862</v>
      </c>
      <c r="H75">
        <v>913</v>
      </c>
      <c r="I75">
        <v>896</v>
      </c>
      <c r="J75">
        <v>793</v>
      </c>
      <c r="K75">
        <v>613</v>
      </c>
      <c r="L75">
        <v>464</v>
      </c>
      <c r="M75">
        <v>299</v>
      </c>
      <c r="N75">
        <v>88</v>
      </c>
      <c r="O75">
        <v>22</v>
      </c>
      <c r="P75">
        <v>6024</v>
      </c>
    </row>
    <row r="76" spans="1:16" x14ac:dyDescent="0.25">
      <c r="A76" t="s">
        <v>1</v>
      </c>
      <c r="B76" t="s">
        <v>26</v>
      </c>
      <c r="C76">
        <v>2019</v>
      </c>
      <c r="D76">
        <v>138</v>
      </c>
      <c r="E76">
        <v>474</v>
      </c>
      <c r="F76">
        <v>711</v>
      </c>
      <c r="G76">
        <v>937</v>
      </c>
      <c r="H76">
        <v>990</v>
      </c>
      <c r="I76">
        <v>961</v>
      </c>
      <c r="J76">
        <v>882</v>
      </c>
      <c r="K76">
        <v>689</v>
      </c>
      <c r="L76">
        <v>522</v>
      </c>
      <c r="M76">
        <v>333</v>
      </c>
      <c r="N76">
        <v>107</v>
      </c>
      <c r="O76">
        <v>30</v>
      </c>
      <c r="P76">
        <v>6774</v>
      </c>
    </row>
    <row r="77" spans="1:16" x14ac:dyDescent="0.25">
      <c r="A77" t="s">
        <v>1</v>
      </c>
      <c r="B77" t="s">
        <v>26</v>
      </c>
      <c r="C77">
        <v>2020</v>
      </c>
      <c r="D77">
        <v>118</v>
      </c>
      <c r="E77">
        <v>474</v>
      </c>
      <c r="F77">
        <v>719</v>
      </c>
      <c r="G77">
        <v>927</v>
      </c>
      <c r="H77">
        <v>1001</v>
      </c>
      <c r="I77">
        <v>988</v>
      </c>
      <c r="J77">
        <v>870</v>
      </c>
      <c r="K77">
        <v>722</v>
      </c>
      <c r="L77">
        <v>533</v>
      </c>
      <c r="M77">
        <v>371</v>
      </c>
      <c r="N77">
        <v>108</v>
      </c>
      <c r="O77">
        <v>24</v>
      </c>
      <c r="P77">
        <v>6855</v>
      </c>
    </row>
    <row r="78" spans="1:16" x14ac:dyDescent="0.25">
      <c r="A78" t="s">
        <v>1</v>
      </c>
      <c r="B78" t="s">
        <v>26</v>
      </c>
      <c r="C78">
        <v>2021</v>
      </c>
      <c r="D78">
        <v>145</v>
      </c>
      <c r="E78">
        <v>583</v>
      </c>
      <c r="F78">
        <v>728</v>
      </c>
      <c r="G78">
        <v>986</v>
      </c>
      <c r="H78">
        <v>1043</v>
      </c>
      <c r="I78">
        <v>1081</v>
      </c>
      <c r="J78">
        <v>925</v>
      </c>
      <c r="K78">
        <v>760</v>
      </c>
      <c r="L78">
        <v>599</v>
      </c>
      <c r="M78">
        <v>369</v>
      </c>
      <c r="N78">
        <v>123</v>
      </c>
      <c r="O78">
        <v>32</v>
      </c>
      <c r="P78">
        <v>7374</v>
      </c>
    </row>
    <row r="79" spans="1:16" x14ac:dyDescent="0.25">
      <c r="A79" t="s">
        <v>1</v>
      </c>
      <c r="B79" t="s">
        <v>26</v>
      </c>
      <c r="C79">
        <v>2022</v>
      </c>
      <c r="D79">
        <v>179</v>
      </c>
      <c r="E79">
        <v>602</v>
      </c>
      <c r="F79">
        <v>827</v>
      </c>
      <c r="G79">
        <v>1029</v>
      </c>
      <c r="H79">
        <v>1158</v>
      </c>
      <c r="I79">
        <v>1112</v>
      </c>
      <c r="J79">
        <v>990</v>
      </c>
      <c r="K79">
        <v>817</v>
      </c>
      <c r="L79">
        <v>603</v>
      </c>
      <c r="M79">
        <v>405</v>
      </c>
      <c r="N79">
        <v>148</v>
      </c>
      <c r="O79">
        <v>35</v>
      </c>
      <c r="P79">
        <v>7905</v>
      </c>
    </row>
    <row r="80" spans="1:16" x14ac:dyDescent="0.25">
      <c r="A80" t="s">
        <v>1</v>
      </c>
      <c r="B80" t="s">
        <v>26</v>
      </c>
      <c r="C80">
        <v>2023</v>
      </c>
      <c r="D80">
        <v>176</v>
      </c>
      <c r="E80">
        <v>620</v>
      </c>
      <c r="F80">
        <v>866</v>
      </c>
      <c r="G80">
        <v>1032</v>
      </c>
      <c r="H80">
        <v>1217</v>
      </c>
      <c r="I80">
        <v>1193</v>
      </c>
      <c r="J80">
        <v>1048</v>
      </c>
      <c r="K80">
        <v>874</v>
      </c>
      <c r="L80">
        <v>631</v>
      </c>
      <c r="M80">
        <v>429</v>
      </c>
      <c r="N80">
        <v>174</v>
      </c>
      <c r="O80">
        <v>41</v>
      </c>
      <c r="P80">
        <v>8301</v>
      </c>
    </row>
    <row r="81" spans="1:16" x14ac:dyDescent="0.25">
      <c r="A81" t="s">
        <v>1</v>
      </c>
      <c r="B81" t="s">
        <v>26</v>
      </c>
      <c r="C81">
        <v>2024</v>
      </c>
      <c r="D81">
        <v>174</v>
      </c>
      <c r="E81">
        <v>581</v>
      </c>
      <c r="F81">
        <v>871</v>
      </c>
      <c r="G81">
        <v>976</v>
      </c>
      <c r="H81">
        <v>1185</v>
      </c>
      <c r="I81">
        <v>1243</v>
      </c>
      <c r="J81">
        <v>1080</v>
      </c>
      <c r="K81">
        <v>892</v>
      </c>
      <c r="L81">
        <v>661</v>
      </c>
      <c r="M81">
        <v>450</v>
      </c>
      <c r="N81">
        <v>187</v>
      </c>
      <c r="O81">
        <v>50</v>
      </c>
      <c r="P81">
        <v>8350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05A5-AE52-4EB3-9F23-C599960AB4A4}">
  <dimension ref="A1:P81"/>
  <sheetViews>
    <sheetView workbookViewId="0"/>
  </sheetViews>
  <sheetFormatPr defaultRowHeight="15" x14ac:dyDescent="0.25"/>
  <cols>
    <col min="2" max="2" width="11.5703125" bestFit="1" customWidth="1"/>
  </cols>
  <sheetData>
    <row r="1" spans="1:16" x14ac:dyDescent="0.25">
      <c r="A1" s="4" t="s">
        <v>22</v>
      </c>
      <c r="B1" s="4" t="s">
        <v>24</v>
      </c>
      <c r="C1" s="4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2</v>
      </c>
    </row>
    <row r="2" spans="1:16" x14ac:dyDescent="0.25">
      <c r="A2" t="s">
        <v>0</v>
      </c>
      <c r="B2" t="s">
        <v>25</v>
      </c>
      <c r="C2">
        <v>2005</v>
      </c>
      <c r="D2">
        <v>412</v>
      </c>
      <c r="E2">
        <v>2245</v>
      </c>
      <c r="F2">
        <v>3406</v>
      </c>
      <c r="G2">
        <v>3920</v>
      </c>
      <c r="H2">
        <v>3782</v>
      </c>
      <c r="I2">
        <v>3658</v>
      </c>
      <c r="J2">
        <v>3293</v>
      </c>
      <c r="K2">
        <v>3158</v>
      </c>
      <c r="L2">
        <v>3207</v>
      </c>
      <c r="M2">
        <v>2385</v>
      </c>
      <c r="N2">
        <v>459</v>
      </c>
      <c r="O2">
        <v>105</v>
      </c>
      <c r="P2">
        <v>30030</v>
      </c>
    </row>
    <row r="3" spans="1:16" x14ac:dyDescent="0.25">
      <c r="A3" t="s">
        <v>0</v>
      </c>
      <c r="B3" t="s">
        <v>25</v>
      </c>
      <c r="C3">
        <v>2006</v>
      </c>
      <c r="D3">
        <v>438</v>
      </c>
      <c r="E3">
        <v>2461</v>
      </c>
      <c r="F3">
        <v>3468</v>
      </c>
      <c r="G3">
        <v>3889</v>
      </c>
      <c r="H3">
        <v>3846</v>
      </c>
      <c r="I3">
        <v>3742</v>
      </c>
      <c r="J3">
        <v>3298</v>
      </c>
      <c r="K3">
        <v>3223</v>
      </c>
      <c r="L3">
        <v>3113</v>
      </c>
      <c r="M3">
        <v>2573</v>
      </c>
      <c r="N3">
        <v>494</v>
      </c>
      <c r="O3">
        <v>117</v>
      </c>
      <c r="P3">
        <v>30662</v>
      </c>
    </row>
    <row r="4" spans="1:16" x14ac:dyDescent="0.25">
      <c r="A4" t="s">
        <v>0</v>
      </c>
      <c r="B4" t="s">
        <v>25</v>
      </c>
      <c r="C4">
        <v>2007</v>
      </c>
      <c r="D4">
        <v>457</v>
      </c>
      <c r="E4">
        <v>2687</v>
      </c>
      <c r="F4">
        <v>3536</v>
      </c>
      <c r="G4">
        <v>3890</v>
      </c>
      <c r="H4">
        <v>3836</v>
      </c>
      <c r="I4">
        <v>3945</v>
      </c>
      <c r="J4">
        <v>3277</v>
      </c>
      <c r="K4">
        <v>3209</v>
      </c>
      <c r="L4">
        <v>3124</v>
      </c>
      <c r="M4">
        <v>2726</v>
      </c>
      <c r="N4">
        <v>623</v>
      </c>
      <c r="O4">
        <v>153</v>
      </c>
      <c r="P4">
        <v>31463</v>
      </c>
    </row>
    <row r="5" spans="1:16" x14ac:dyDescent="0.25">
      <c r="A5" t="s">
        <v>0</v>
      </c>
      <c r="B5" t="s">
        <v>25</v>
      </c>
      <c r="C5">
        <v>2008</v>
      </c>
      <c r="D5">
        <v>478</v>
      </c>
      <c r="E5">
        <v>2797</v>
      </c>
      <c r="F5">
        <v>3531</v>
      </c>
      <c r="G5">
        <v>3730</v>
      </c>
      <c r="H5">
        <v>3850</v>
      </c>
      <c r="I5">
        <v>4004</v>
      </c>
      <c r="J5">
        <v>3333</v>
      </c>
      <c r="K5">
        <v>3263</v>
      </c>
      <c r="L5">
        <v>3053</v>
      </c>
      <c r="M5">
        <v>2721</v>
      </c>
      <c r="N5">
        <v>735</v>
      </c>
      <c r="O5">
        <v>131</v>
      </c>
      <c r="P5">
        <v>31626</v>
      </c>
    </row>
    <row r="6" spans="1:16" x14ac:dyDescent="0.25">
      <c r="A6" t="s">
        <v>0</v>
      </c>
      <c r="B6" t="s">
        <v>25</v>
      </c>
      <c r="C6">
        <v>2009</v>
      </c>
      <c r="D6">
        <v>393</v>
      </c>
      <c r="E6">
        <v>2444</v>
      </c>
      <c r="F6">
        <v>3307</v>
      </c>
      <c r="G6">
        <v>3536</v>
      </c>
      <c r="H6">
        <v>3794</v>
      </c>
      <c r="I6">
        <v>3900</v>
      </c>
      <c r="J6">
        <v>3420</v>
      </c>
      <c r="K6">
        <v>3228</v>
      </c>
      <c r="L6">
        <v>2962</v>
      </c>
      <c r="M6">
        <v>2681</v>
      </c>
      <c r="N6">
        <v>849</v>
      </c>
      <c r="O6">
        <v>174</v>
      </c>
      <c r="P6">
        <v>30688</v>
      </c>
    </row>
    <row r="7" spans="1:16" x14ac:dyDescent="0.25">
      <c r="A7" t="s">
        <v>0</v>
      </c>
      <c r="B7" t="s">
        <v>25</v>
      </c>
      <c r="C7">
        <v>2010</v>
      </c>
      <c r="D7">
        <v>505</v>
      </c>
      <c r="E7">
        <v>2680</v>
      </c>
      <c r="F7">
        <v>3407</v>
      </c>
      <c r="G7">
        <v>3523</v>
      </c>
      <c r="H7">
        <v>3796</v>
      </c>
      <c r="I7">
        <v>3814</v>
      </c>
      <c r="J7">
        <v>3605</v>
      </c>
      <c r="K7">
        <v>3218</v>
      </c>
      <c r="L7">
        <v>2980</v>
      </c>
      <c r="M7">
        <v>2680</v>
      </c>
      <c r="N7">
        <v>834</v>
      </c>
      <c r="O7">
        <v>189</v>
      </c>
      <c r="P7">
        <v>31231</v>
      </c>
    </row>
    <row r="8" spans="1:16" x14ac:dyDescent="0.25">
      <c r="A8" t="s">
        <v>0</v>
      </c>
      <c r="B8" t="s">
        <v>25</v>
      </c>
      <c r="C8">
        <v>2011</v>
      </c>
      <c r="D8">
        <v>516</v>
      </c>
      <c r="E8">
        <v>2942</v>
      </c>
      <c r="F8">
        <v>3449</v>
      </c>
      <c r="G8">
        <v>3473</v>
      </c>
      <c r="H8">
        <v>3777</v>
      </c>
      <c r="I8">
        <v>3831</v>
      </c>
      <c r="J8">
        <v>3705</v>
      </c>
      <c r="K8">
        <v>3191</v>
      </c>
      <c r="L8">
        <v>3031</v>
      </c>
      <c r="M8">
        <v>2586</v>
      </c>
      <c r="N8">
        <v>1089</v>
      </c>
      <c r="O8">
        <v>308</v>
      </c>
      <c r="P8">
        <v>31898</v>
      </c>
    </row>
    <row r="9" spans="1:16" x14ac:dyDescent="0.25">
      <c r="A9" t="s">
        <v>0</v>
      </c>
      <c r="B9" t="s">
        <v>25</v>
      </c>
      <c r="C9">
        <v>2012</v>
      </c>
      <c r="D9">
        <v>496</v>
      </c>
      <c r="E9">
        <v>2948</v>
      </c>
      <c r="F9">
        <v>3522</v>
      </c>
      <c r="G9">
        <v>3461</v>
      </c>
      <c r="H9">
        <v>3725</v>
      </c>
      <c r="I9">
        <v>3778</v>
      </c>
      <c r="J9">
        <v>3898</v>
      </c>
      <c r="K9">
        <v>3166</v>
      </c>
      <c r="L9">
        <v>2996</v>
      </c>
      <c r="M9">
        <v>2608</v>
      </c>
      <c r="N9">
        <v>1090</v>
      </c>
      <c r="O9">
        <v>400</v>
      </c>
      <c r="P9">
        <v>32088</v>
      </c>
    </row>
    <row r="10" spans="1:16" x14ac:dyDescent="0.25">
      <c r="A10" t="s">
        <v>0</v>
      </c>
      <c r="B10" t="s">
        <v>25</v>
      </c>
      <c r="C10">
        <v>2013</v>
      </c>
      <c r="D10">
        <v>467</v>
      </c>
      <c r="E10">
        <v>3003</v>
      </c>
      <c r="F10">
        <v>3674</v>
      </c>
      <c r="G10">
        <v>3493</v>
      </c>
      <c r="H10">
        <v>3630</v>
      </c>
      <c r="I10">
        <v>3743</v>
      </c>
      <c r="J10">
        <v>3937</v>
      </c>
      <c r="K10">
        <v>3243</v>
      </c>
      <c r="L10">
        <v>3009</v>
      </c>
      <c r="M10">
        <v>2589</v>
      </c>
      <c r="N10">
        <v>1116</v>
      </c>
      <c r="O10">
        <v>459</v>
      </c>
      <c r="P10">
        <v>32363</v>
      </c>
    </row>
    <row r="11" spans="1:16" x14ac:dyDescent="0.25">
      <c r="A11" t="s">
        <v>0</v>
      </c>
      <c r="B11" t="s">
        <v>25</v>
      </c>
      <c r="C11">
        <v>2014</v>
      </c>
      <c r="D11">
        <v>452</v>
      </c>
      <c r="E11">
        <v>3103</v>
      </c>
      <c r="F11">
        <v>3819</v>
      </c>
      <c r="G11">
        <v>3413</v>
      </c>
      <c r="H11">
        <v>3519</v>
      </c>
      <c r="I11">
        <v>3790</v>
      </c>
      <c r="J11">
        <v>3895</v>
      </c>
      <c r="K11">
        <v>3391</v>
      </c>
      <c r="L11">
        <v>3077</v>
      </c>
      <c r="M11">
        <v>2528</v>
      </c>
      <c r="N11">
        <v>1124</v>
      </c>
      <c r="O11">
        <v>509</v>
      </c>
      <c r="P11">
        <v>32620</v>
      </c>
    </row>
    <row r="12" spans="1:16" x14ac:dyDescent="0.25">
      <c r="A12" t="s">
        <v>0</v>
      </c>
      <c r="B12" t="s">
        <v>25</v>
      </c>
      <c r="C12">
        <v>2015</v>
      </c>
      <c r="D12">
        <v>447</v>
      </c>
      <c r="E12">
        <v>3056</v>
      </c>
      <c r="F12">
        <v>3936</v>
      </c>
      <c r="G12">
        <v>3404</v>
      </c>
      <c r="H12">
        <v>3484</v>
      </c>
      <c r="I12">
        <v>3817</v>
      </c>
      <c r="J12">
        <v>3816</v>
      </c>
      <c r="K12">
        <v>3572</v>
      </c>
      <c r="L12">
        <v>3066</v>
      </c>
      <c r="M12">
        <v>2568</v>
      </c>
      <c r="N12">
        <v>1111</v>
      </c>
      <c r="O12">
        <v>538</v>
      </c>
      <c r="P12">
        <v>32815</v>
      </c>
    </row>
    <row r="13" spans="1:16" x14ac:dyDescent="0.25">
      <c r="A13" t="s">
        <v>0</v>
      </c>
      <c r="B13" t="s">
        <v>25</v>
      </c>
      <c r="C13">
        <v>2016</v>
      </c>
      <c r="D13">
        <v>543</v>
      </c>
      <c r="E13">
        <v>3232</v>
      </c>
      <c r="F13">
        <v>4250</v>
      </c>
      <c r="G13">
        <v>3522</v>
      </c>
      <c r="H13">
        <v>3384</v>
      </c>
      <c r="I13">
        <v>3753</v>
      </c>
      <c r="J13">
        <v>3859</v>
      </c>
      <c r="K13">
        <v>3676</v>
      </c>
      <c r="L13">
        <v>3055</v>
      </c>
      <c r="M13">
        <v>2672</v>
      </c>
      <c r="N13">
        <v>1054</v>
      </c>
      <c r="O13">
        <v>575</v>
      </c>
      <c r="P13">
        <v>33575</v>
      </c>
    </row>
    <row r="14" spans="1:16" x14ac:dyDescent="0.25">
      <c r="A14" t="s">
        <v>0</v>
      </c>
      <c r="B14" t="s">
        <v>25</v>
      </c>
      <c r="C14">
        <v>2017</v>
      </c>
      <c r="D14">
        <v>569</v>
      </c>
      <c r="E14">
        <v>3314</v>
      </c>
      <c r="F14">
        <v>4453</v>
      </c>
      <c r="G14">
        <v>3627</v>
      </c>
      <c r="H14">
        <v>3364</v>
      </c>
      <c r="I14">
        <v>3687</v>
      </c>
      <c r="J14">
        <v>3809</v>
      </c>
      <c r="K14">
        <v>3885</v>
      </c>
      <c r="L14">
        <v>3059</v>
      </c>
      <c r="M14">
        <v>2621</v>
      </c>
      <c r="N14">
        <v>1115</v>
      </c>
      <c r="O14">
        <v>614</v>
      </c>
      <c r="P14">
        <v>34117</v>
      </c>
    </row>
    <row r="15" spans="1:16" x14ac:dyDescent="0.25">
      <c r="A15" t="s">
        <v>0</v>
      </c>
      <c r="B15" t="s">
        <v>25</v>
      </c>
      <c r="C15">
        <v>2018</v>
      </c>
      <c r="D15">
        <v>577</v>
      </c>
      <c r="E15">
        <v>3135</v>
      </c>
      <c r="F15">
        <v>4578</v>
      </c>
      <c r="G15">
        <v>3775</v>
      </c>
      <c r="H15">
        <v>3384</v>
      </c>
      <c r="I15">
        <v>3599</v>
      </c>
      <c r="J15">
        <v>3794</v>
      </c>
      <c r="K15">
        <v>3903</v>
      </c>
      <c r="L15">
        <v>3172</v>
      </c>
      <c r="M15">
        <v>2614</v>
      </c>
      <c r="N15">
        <v>1150</v>
      </c>
      <c r="O15">
        <v>623</v>
      </c>
      <c r="P15">
        <v>34304</v>
      </c>
    </row>
    <row r="16" spans="1:16" x14ac:dyDescent="0.25">
      <c r="A16" t="s">
        <v>0</v>
      </c>
      <c r="B16" t="s">
        <v>25</v>
      </c>
      <c r="C16">
        <v>2019</v>
      </c>
      <c r="D16">
        <v>689</v>
      </c>
      <c r="E16">
        <v>2877</v>
      </c>
      <c r="F16">
        <v>4793</v>
      </c>
      <c r="G16">
        <v>3993</v>
      </c>
      <c r="H16">
        <v>3333</v>
      </c>
      <c r="I16">
        <v>3466</v>
      </c>
      <c r="J16">
        <v>3802</v>
      </c>
      <c r="K16">
        <v>3828</v>
      </c>
      <c r="L16">
        <v>3283</v>
      </c>
      <c r="M16">
        <v>2639</v>
      </c>
      <c r="N16">
        <v>1108</v>
      </c>
      <c r="O16">
        <v>696</v>
      </c>
      <c r="P16">
        <v>34507</v>
      </c>
    </row>
    <row r="17" spans="1:16" x14ac:dyDescent="0.25">
      <c r="A17" t="s">
        <v>0</v>
      </c>
      <c r="B17" t="s">
        <v>25</v>
      </c>
      <c r="C17">
        <v>2020</v>
      </c>
      <c r="D17" s="9">
        <v>633</v>
      </c>
      <c r="E17" s="9">
        <v>2717</v>
      </c>
      <c r="F17" s="9">
        <v>4568</v>
      </c>
      <c r="G17" s="9">
        <v>4085</v>
      </c>
      <c r="H17" s="9">
        <v>3330</v>
      </c>
      <c r="I17" s="9">
        <v>3434</v>
      </c>
      <c r="J17" s="9">
        <v>3762</v>
      </c>
      <c r="K17" s="9">
        <v>3758</v>
      </c>
      <c r="L17" s="9">
        <v>3429</v>
      </c>
      <c r="M17" s="9">
        <v>2600</v>
      </c>
      <c r="N17" s="9">
        <v>1108</v>
      </c>
      <c r="O17" s="9">
        <v>633</v>
      </c>
      <c r="P17" s="9">
        <v>34057</v>
      </c>
    </row>
    <row r="18" spans="1:16" x14ac:dyDescent="0.25">
      <c r="A18" t="s">
        <v>0</v>
      </c>
      <c r="B18" t="s">
        <v>25</v>
      </c>
      <c r="C18">
        <v>2021</v>
      </c>
      <c r="D18">
        <v>780</v>
      </c>
      <c r="E18">
        <v>2811</v>
      </c>
      <c r="F18">
        <v>4393</v>
      </c>
      <c r="G18">
        <v>4228</v>
      </c>
      <c r="H18">
        <v>3453</v>
      </c>
      <c r="I18">
        <v>3327</v>
      </c>
      <c r="J18">
        <v>3720</v>
      </c>
      <c r="K18">
        <v>3793</v>
      </c>
      <c r="L18">
        <v>3509</v>
      </c>
      <c r="M18">
        <v>2610</v>
      </c>
      <c r="N18">
        <v>1144</v>
      </c>
      <c r="O18">
        <v>642</v>
      </c>
      <c r="P18">
        <v>34410</v>
      </c>
    </row>
    <row r="19" spans="1:16" x14ac:dyDescent="0.25">
      <c r="A19" t="s">
        <v>0</v>
      </c>
      <c r="B19" t="s">
        <v>25</v>
      </c>
      <c r="C19">
        <v>2022</v>
      </c>
      <c r="D19">
        <v>883</v>
      </c>
      <c r="E19">
        <v>2978</v>
      </c>
      <c r="F19">
        <v>4230</v>
      </c>
      <c r="G19">
        <v>4382</v>
      </c>
      <c r="H19">
        <v>3517</v>
      </c>
      <c r="I19">
        <v>3289</v>
      </c>
      <c r="J19">
        <v>3693</v>
      </c>
      <c r="K19">
        <v>3766</v>
      </c>
      <c r="L19">
        <v>3795</v>
      </c>
      <c r="M19">
        <v>2661</v>
      </c>
      <c r="N19">
        <v>1206</v>
      </c>
      <c r="O19">
        <v>628</v>
      </c>
      <c r="P19">
        <v>35028</v>
      </c>
    </row>
    <row r="20" spans="1:16" x14ac:dyDescent="0.25">
      <c r="A20" t="s">
        <v>0</v>
      </c>
      <c r="B20" t="s">
        <v>25</v>
      </c>
      <c r="C20">
        <v>2023</v>
      </c>
      <c r="D20" s="9">
        <v>858</v>
      </c>
      <c r="E20" s="9">
        <v>3092</v>
      </c>
      <c r="F20" s="9">
        <v>4117</v>
      </c>
      <c r="G20" s="9">
        <v>4473</v>
      </c>
      <c r="H20" s="9">
        <v>3625</v>
      </c>
      <c r="I20" s="9">
        <v>3325</v>
      </c>
      <c r="J20" s="9">
        <v>3567</v>
      </c>
      <c r="K20" s="9">
        <v>3742</v>
      </c>
      <c r="L20" s="9">
        <v>3777</v>
      </c>
      <c r="M20" s="9">
        <v>2803</v>
      </c>
      <c r="N20" s="9">
        <v>1244</v>
      </c>
      <c r="O20" s="9">
        <v>654</v>
      </c>
      <c r="P20" s="9">
        <v>35277</v>
      </c>
    </row>
    <row r="21" spans="1:16" x14ac:dyDescent="0.25">
      <c r="A21" t="s">
        <v>0</v>
      </c>
      <c r="B21" t="s">
        <v>25</v>
      </c>
      <c r="C21">
        <v>2024</v>
      </c>
      <c r="D21">
        <v>814</v>
      </c>
      <c r="E21">
        <v>3174</v>
      </c>
      <c r="F21">
        <v>3930</v>
      </c>
      <c r="G21">
        <v>4466</v>
      </c>
      <c r="H21">
        <v>3742</v>
      </c>
      <c r="I21">
        <v>3317</v>
      </c>
      <c r="J21">
        <v>3413</v>
      </c>
      <c r="K21">
        <v>3743</v>
      </c>
      <c r="L21">
        <v>3726</v>
      </c>
      <c r="M21">
        <v>2958</v>
      </c>
      <c r="N21">
        <v>1332</v>
      </c>
      <c r="O21">
        <v>675</v>
      </c>
      <c r="P21">
        <v>35290</v>
      </c>
    </row>
    <row r="22" spans="1:16" x14ac:dyDescent="0.25">
      <c r="A22" t="s">
        <v>0</v>
      </c>
      <c r="B22" t="s">
        <v>26</v>
      </c>
      <c r="C22">
        <v>2005</v>
      </c>
      <c r="D22">
        <v>32</v>
      </c>
      <c r="E22">
        <v>182</v>
      </c>
      <c r="F22">
        <v>294</v>
      </c>
      <c r="G22">
        <v>363</v>
      </c>
      <c r="H22">
        <v>377</v>
      </c>
      <c r="I22">
        <v>427</v>
      </c>
      <c r="J22">
        <v>389</v>
      </c>
      <c r="K22">
        <v>271</v>
      </c>
      <c r="L22">
        <v>196</v>
      </c>
      <c r="M22">
        <v>114</v>
      </c>
      <c r="N22">
        <v>31</v>
      </c>
      <c r="O22">
        <v>7</v>
      </c>
      <c r="P22">
        <v>2683</v>
      </c>
    </row>
    <row r="23" spans="1:16" x14ac:dyDescent="0.25">
      <c r="A23" t="s">
        <v>0</v>
      </c>
      <c r="B23" t="s">
        <v>26</v>
      </c>
      <c r="C23">
        <v>2006</v>
      </c>
      <c r="D23">
        <v>37</v>
      </c>
      <c r="E23">
        <v>228</v>
      </c>
      <c r="F23">
        <v>310</v>
      </c>
      <c r="G23">
        <v>379</v>
      </c>
      <c r="H23">
        <v>391</v>
      </c>
      <c r="I23">
        <v>424</v>
      </c>
      <c r="J23">
        <v>415</v>
      </c>
      <c r="K23">
        <v>281</v>
      </c>
      <c r="L23">
        <v>218</v>
      </c>
      <c r="M23">
        <v>119</v>
      </c>
      <c r="N23">
        <v>35</v>
      </c>
      <c r="O23">
        <v>6</v>
      </c>
      <c r="P23">
        <v>2843</v>
      </c>
    </row>
    <row r="24" spans="1:16" x14ac:dyDescent="0.25">
      <c r="A24" t="s">
        <v>0</v>
      </c>
      <c r="B24" t="s">
        <v>26</v>
      </c>
      <c r="C24">
        <v>2007</v>
      </c>
      <c r="D24">
        <v>31</v>
      </c>
      <c r="E24">
        <v>276</v>
      </c>
      <c r="F24">
        <v>386</v>
      </c>
      <c r="G24">
        <v>447</v>
      </c>
      <c r="H24">
        <v>408</v>
      </c>
      <c r="I24">
        <v>446</v>
      </c>
      <c r="J24">
        <v>457</v>
      </c>
      <c r="K24">
        <v>328</v>
      </c>
      <c r="L24">
        <v>248</v>
      </c>
      <c r="M24">
        <v>144</v>
      </c>
      <c r="N24">
        <v>38</v>
      </c>
      <c r="O24">
        <v>8</v>
      </c>
      <c r="P24">
        <v>3217</v>
      </c>
    </row>
    <row r="25" spans="1:16" x14ac:dyDescent="0.25">
      <c r="A25" t="s">
        <v>0</v>
      </c>
      <c r="B25" t="s">
        <v>26</v>
      </c>
      <c r="C25">
        <v>2008</v>
      </c>
      <c r="D25">
        <v>29</v>
      </c>
      <c r="E25">
        <v>291</v>
      </c>
      <c r="F25">
        <v>429</v>
      </c>
      <c r="G25">
        <v>473</v>
      </c>
      <c r="H25">
        <v>451</v>
      </c>
      <c r="I25">
        <v>448</v>
      </c>
      <c r="J25">
        <v>477</v>
      </c>
      <c r="K25">
        <v>357</v>
      </c>
      <c r="L25">
        <v>250</v>
      </c>
      <c r="M25">
        <v>158</v>
      </c>
      <c r="N25">
        <v>35</v>
      </c>
      <c r="O25">
        <v>8</v>
      </c>
      <c r="P25">
        <v>3406</v>
      </c>
    </row>
    <row r="26" spans="1:16" x14ac:dyDescent="0.25">
      <c r="A26" t="s">
        <v>0</v>
      </c>
      <c r="B26" t="s">
        <v>26</v>
      </c>
      <c r="C26">
        <v>2009</v>
      </c>
      <c r="D26">
        <v>24</v>
      </c>
      <c r="E26">
        <v>208</v>
      </c>
      <c r="F26">
        <v>452</v>
      </c>
      <c r="G26">
        <v>509</v>
      </c>
      <c r="H26">
        <v>436</v>
      </c>
      <c r="I26">
        <v>453</v>
      </c>
      <c r="J26">
        <v>472</v>
      </c>
      <c r="K26">
        <v>374</v>
      </c>
      <c r="L26">
        <v>246</v>
      </c>
      <c r="M26">
        <v>165</v>
      </c>
      <c r="N26">
        <v>36</v>
      </c>
      <c r="O26">
        <v>11</v>
      </c>
      <c r="P26">
        <v>3386</v>
      </c>
    </row>
    <row r="27" spans="1:16" x14ac:dyDescent="0.25">
      <c r="A27" t="s">
        <v>0</v>
      </c>
      <c r="B27" t="s">
        <v>26</v>
      </c>
      <c r="C27">
        <v>2010</v>
      </c>
      <c r="D27">
        <v>18</v>
      </c>
      <c r="E27">
        <v>235</v>
      </c>
      <c r="F27">
        <v>537</v>
      </c>
      <c r="G27">
        <v>576</v>
      </c>
      <c r="H27">
        <v>490</v>
      </c>
      <c r="I27">
        <v>475</v>
      </c>
      <c r="J27">
        <v>482</v>
      </c>
      <c r="K27">
        <v>424</v>
      </c>
      <c r="L27">
        <v>268</v>
      </c>
      <c r="M27">
        <v>173</v>
      </c>
      <c r="N27">
        <v>42</v>
      </c>
      <c r="O27">
        <v>9</v>
      </c>
      <c r="P27">
        <v>3729</v>
      </c>
    </row>
    <row r="28" spans="1:16" x14ac:dyDescent="0.25">
      <c r="A28" t="s">
        <v>0</v>
      </c>
      <c r="B28" t="s">
        <v>26</v>
      </c>
      <c r="C28">
        <v>2011</v>
      </c>
      <c r="D28">
        <v>24</v>
      </c>
      <c r="E28">
        <v>261</v>
      </c>
      <c r="F28">
        <v>621</v>
      </c>
      <c r="G28">
        <v>657</v>
      </c>
      <c r="H28">
        <v>567</v>
      </c>
      <c r="I28">
        <v>507</v>
      </c>
      <c r="J28">
        <v>504</v>
      </c>
      <c r="K28">
        <v>464</v>
      </c>
      <c r="L28">
        <v>290</v>
      </c>
      <c r="M28">
        <v>184</v>
      </c>
      <c r="N28">
        <v>50</v>
      </c>
      <c r="O28">
        <v>22</v>
      </c>
      <c r="P28">
        <v>4151</v>
      </c>
    </row>
    <row r="29" spans="1:16" x14ac:dyDescent="0.25">
      <c r="A29" t="s">
        <v>0</v>
      </c>
      <c r="B29" t="s">
        <v>26</v>
      </c>
      <c r="C29">
        <v>2012</v>
      </c>
      <c r="D29">
        <v>33</v>
      </c>
      <c r="E29">
        <v>249</v>
      </c>
      <c r="F29">
        <v>670</v>
      </c>
      <c r="G29">
        <v>712</v>
      </c>
      <c r="H29">
        <v>608</v>
      </c>
      <c r="I29">
        <v>506</v>
      </c>
      <c r="J29">
        <v>519</v>
      </c>
      <c r="K29">
        <v>480</v>
      </c>
      <c r="L29">
        <v>326</v>
      </c>
      <c r="M29">
        <v>198</v>
      </c>
      <c r="N29">
        <v>62</v>
      </c>
      <c r="O29">
        <v>24</v>
      </c>
      <c r="P29">
        <v>4387</v>
      </c>
    </row>
    <row r="30" spans="1:16" x14ac:dyDescent="0.25">
      <c r="A30" t="s">
        <v>0</v>
      </c>
      <c r="B30" t="s">
        <v>26</v>
      </c>
      <c r="C30">
        <v>2013</v>
      </c>
      <c r="D30">
        <v>42</v>
      </c>
      <c r="E30">
        <v>280</v>
      </c>
      <c r="F30">
        <v>685</v>
      </c>
      <c r="G30">
        <v>785</v>
      </c>
      <c r="H30">
        <v>667</v>
      </c>
      <c r="I30">
        <v>572</v>
      </c>
      <c r="J30">
        <v>499</v>
      </c>
      <c r="K30">
        <v>506</v>
      </c>
      <c r="L30">
        <v>352</v>
      </c>
      <c r="M30">
        <v>200</v>
      </c>
      <c r="N30">
        <v>82</v>
      </c>
      <c r="O30">
        <v>23</v>
      </c>
      <c r="P30">
        <v>4693</v>
      </c>
    </row>
    <row r="31" spans="1:16" x14ac:dyDescent="0.25">
      <c r="A31" t="s">
        <v>0</v>
      </c>
      <c r="B31" t="s">
        <v>26</v>
      </c>
      <c r="C31">
        <v>2014</v>
      </c>
      <c r="D31">
        <v>37</v>
      </c>
      <c r="E31">
        <v>304</v>
      </c>
      <c r="F31">
        <v>705</v>
      </c>
      <c r="G31">
        <v>910</v>
      </c>
      <c r="H31">
        <v>731</v>
      </c>
      <c r="I31">
        <v>625</v>
      </c>
      <c r="J31">
        <v>518</v>
      </c>
      <c r="K31">
        <v>525</v>
      </c>
      <c r="L31">
        <v>378</v>
      </c>
      <c r="M31">
        <v>218</v>
      </c>
      <c r="N31">
        <v>78</v>
      </c>
      <c r="O31">
        <v>23</v>
      </c>
      <c r="P31">
        <v>5052</v>
      </c>
    </row>
    <row r="32" spans="1:16" x14ac:dyDescent="0.25">
      <c r="A32" t="s">
        <v>0</v>
      </c>
      <c r="B32" t="s">
        <v>26</v>
      </c>
      <c r="C32">
        <v>2015</v>
      </c>
      <c r="D32">
        <v>51</v>
      </c>
      <c r="E32">
        <v>319</v>
      </c>
      <c r="F32">
        <v>726</v>
      </c>
      <c r="G32">
        <v>975</v>
      </c>
      <c r="H32">
        <v>813</v>
      </c>
      <c r="I32">
        <v>666</v>
      </c>
      <c r="J32">
        <v>562</v>
      </c>
      <c r="K32">
        <v>527</v>
      </c>
      <c r="L32">
        <v>443</v>
      </c>
      <c r="M32">
        <v>226</v>
      </c>
      <c r="N32">
        <v>85</v>
      </c>
      <c r="O32">
        <v>31</v>
      </c>
      <c r="P32">
        <v>5424</v>
      </c>
    </row>
    <row r="33" spans="1:16" x14ac:dyDescent="0.25">
      <c r="A33" t="s">
        <v>0</v>
      </c>
      <c r="B33" t="s">
        <v>26</v>
      </c>
      <c r="C33">
        <v>2016</v>
      </c>
      <c r="D33">
        <v>63</v>
      </c>
      <c r="E33">
        <v>406</v>
      </c>
      <c r="F33">
        <v>757</v>
      </c>
      <c r="G33">
        <v>1045</v>
      </c>
      <c r="H33">
        <v>926</v>
      </c>
      <c r="I33">
        <v>765</v>
      </c>
      <c r="J33">
        <v>629</v>
      </c>
      <c r="K33">
        <v>545</v>
      </c>
      <c r="L33">
        <v>472</v>
      </c>
      <c r="M33">
        <v>248</v>
      </c>
      <c r="N33">
        <v>96</v>
      </c>
      <c r="O33">
        <v>30</v>
      </c>
      <c r="P33">
        <v>5982</v>
      </c>
    </row>
    <row r="34" spans="1:16" x14ac:dyDescent="0.25">
      <c r="A34" t="s">
        <v>0</v>
      </c>
      <c r="B34" t="s">
        <v>26</v>
      </c>
      <c r="C34">
        <v>2017</v>
      </c>
      <c r="D34">
        <v>95</v>
      </c>
      <c r="E34">
        <v>507</v>
      </c>
      <c r="F34">
        <v>797</v>
      </c>
      <c r="G34">
        <v>1097</v>
      </c>
      <c r="H34">
        <v>1009</v>
      </c>
      <c r="I34">
        <v>813</v>
      </c>
      <c r="J34">
        <v>663</v>
      </c>
      <c r="K34">
        <v>590</v>
      </c>
      <c r="L34">
        <v>492</v>
      </c>
      <c r="M34">
        <v>294</v>
      </c>
      <c r="N34">
        <v>103</v>
      </c>
      <c r="O34">
        <v>32</v>
      </c>
      <c r="P34">
        <v>6492</v>
      </c>
    </row>
    <row r="35" spans="1:16" x14ac:dyDescent="0.25">
      <c r="A35" t="s">
        <v>0</v>
      </c>
      <c r="B35" t="s">
        <v>26</v>
      </c>
      <c r="C35">
        <v>2018</v>
      </c>
      <c r="D35">
        <v>122</v>
      </c>
      <c r="E35">
        <v>592</v>
      </c>
      <c r="F35">
        <v>838</v>
      </c>
      <c r="G35">
        <v>1126</v>
      </c>
      <c r="H35">
        <v>1086</v>
      </c>
      <c r="I35">
        <v>879</v>
      </c>
      <c r="J35">
        <v>716</v>
      </c>
      <c r="K35">
        <v>611</v>
      </c>
      <c r="L35">
        <v>510</v>
      </c>
      <c r="M35">
        <v>328</v>
      </c>
      <c r="N35">
        <v>113</v>
      </c>
      <c r="O35">
        <v>32</v>
      </c>
      <c r="P35">
        <v>6953</v>
      </c>
    </row>
    <row r="36" spans="1:16" x14ac:dyDescent="0.25">
      <c r="A36" t="s">
        <v>0</v>
      </c>
      <c r="B36" t="s">
        <v>26</v>
      </c>
      <c r="C36">
        <v>2019</v>
      </c>
      <c r="D36">
        <v>122</v>
      </c>
      <c r="E36">
        <v>674</v>
      </c>
      <c r="F36">
        <v>960</v>
      </c>
      <c r="G36">
        <v>1185</v>
      </c>
      <c r="H36">
        <v>1161</v>
      </c>
      <c r="I36">
        <v>917</v>
      </c>
      <c r="J36">
        <v>768</v>
      </c>
      <c r="K36">
        <v>610</v>
      </c>
      <c r="L36">
        <v>549</v>
      </c>
      <c r="M36">
        <v>370</v>
      </c>
      <c r="N36">
        <v>131</v>
      </c>
      <c r="O36">
        <v>38</v>
      </c>
      <c r="P36">
        <v>7485</v>
      </c>
    </row>
    <row r="37" spans="1:16" x14ac:dyDescent="0.25">
      <c r="A37" t="s">
        <v>0</v>
      </c>
      <c r="B37" t="s">
        <v>26</v>
      </c>
      <c r="C37">
        <v>2020</v>
      </c>
      <c r="D37" s="9">
        <v>110</v>
      </c>
      <c r="E37" s="9">
        <v>689</v>
      </c>
      <c r="F37" s="9">
        <v>969</v>
      </c>
      <c r="G37" s="9">
        <v>1136</v>
      </c>
      <c r="H37" s="9">
        <v>1206</v>
      </c>
      <c r="I37" s="9">
        <v>948</v>
      </c>
      <c r="J37" s="9">
        <v>771</v>
      </c>
      <c r="K37" s="9">
        <v>631</v>
      </c>
      <c r="L37" s="9">
        <v>528</v>
      </c>
      <c r="M37" s="9">
        <v>394</v>
      </c>
      <c r="N37" s="9">
        <v>134</v>
      </c>
      <c r="O37" s="9">
        <v>35</v>
      </c>
      <c r="P37" s="9">
        <v>7551</v>
      </c>
    </row>
    <row r="38" spans="1:16" x14ac:dyDescent="0.25">
      <c r="A38" t="s">
        <v>0</v>
      </c>
      <c r="B38" t="s">
        <v>26</v>
      </c>
      <c r="C38">
        <v>2021</v>
      </c>
      <c r="D38">
        <v>113</v>
      </c>
      <c r="E38">
        <v>824</v>
      </c>
      <c r="F38">
        <v>1040</v>
      </c>
      <c r="G38">
        <v>1164</v>
      </c>
      <c r="H38">
        <v>1247</v>
      </c>
      <c r="I38">
        <v>1028</v>
      </c>
      <c r="J38">
        <v>846</v>
      </c>
      <c r="K38">
        <v>661</v>
      </c>
      <c r="L38">
        <v>559</v>
      </c>
      <c r="M38">
        <v>436</v>
      </c>
      <c r="N38">
        <v>140</v>
      </c>
      <c r="O38">
        <v>45</v>
      </c>
      <c r="P38">
        <v>8103</v>
      </c>
    </row>
    <row r="39" spans="1:16" x14ac:dyDescent="0.25">
      <c r="A39" t="s">
        <v>0</v>
      </c>
      <c r="B39" t="s">
        <v>26</v>
      </c>
      <c r="C39">
        <v>2022</v>
      </c>
      <c r="D39">
        <v>148</v>
      </c>
      <c r="E39">
        <v>889</v>
      </c>
      <c r="F39">
        <v>1047</v>
      </c>
      <c r="G39">
        <v>1203</v>
      </c>
      <c r="H39">
        <v>1287</v>
      </c>
      <c r="I39">
        <v>1106</v>
      </c>
      <c r="J39">
        <v>897</v>
      </c>
      <c r="K39">
        <v>724</v>
      </c>
      <c r="L39">
        <v>601</v>
      </c>
      <c r="M39">
        <v>476</v>
      </c>
      <c r="N39">
        <v>183</v>
      </c>
      <c r="O39">
        <v>52</v>
      </c>
      <c r="P39">
        <v>8613</v>
      </c>
    </row>
    <row r="40" spans="1:16" x14ac:dyDescent="0.25">
      <c r="A40" t="s">
        <v>0</v>
      </c>
      <c r="B40" t="s">
        <v>26</v>
      </c>
      <c r="C40">
        <v>2023</v>
      </c>
      <c r="D40" s="9">
        <v>150</v>
      </c>
      <c r="E40" s="9">
        <v>837</v>
      </c>
      <c r="F40" s="9">
        <v>1173</v>
      </c>
      <c r="G40" s="9">
        <v>1194</v>
      </c>
      <c r="H40" s="9">
        <v>1298</v>
      </c>
      <c r="I40" s="9">
        <v>1154</v>
      </c>
      <c r="J40" s="9">
        <v>937</v>
      </c>
      <c r="K40" s="9">
        <v>773</v>
      </c>
      <c r="L40" s="9">
        <v>611</v>
      </c>
      <c r="M40" s="9">
        <v>506</v>
      </c>
      <c r="N40" s="9">
        <v>227</v>
      </c>
      <c r="O40" s="9">
        <v>46</v>
      </c>
      <c r="P40" s="9">
        <v>8906</v>
      </c>
    </row>
    <row r="41" spans="1:16" x14ac:dyDescent="0.25">
      <c r="A41" t="s">
        <v>0</v>
      </c>
      <c r="B41" t="s">
        <v>26</v>
      </c>
      <c r="C41">
        <v>2024</v>
      </c>
      <c r="D41">
        <v>158</v>
      </c>
      <c r="E41">
        <v>682</v>
      </c>
      <c r="F41">
        <v>1246</v>
      </c>
      <c r="G41">
        <v>1192</v>
      </c>
      <c r="H41">
        <v>1219</v>
      </c>
      <c r="I41">
        <v>1211</v>
      </c>
      <c r="J41">
        <v>968</v>
      </c>
      <c r="K41">
        <v>794</v>
      </c>
      <c r="L41">
        <v>625</v>
      </c>
      <c r="M41">
        <v>516</v>
      </c>
      <c r="N41">
        <v>242</v>
      </c>
      <c r="O41">
        <v>68</v>
      </c>
      <c r="P41">
        <v>8921</v>
      </c>
    </row>
    <row r="42" spans="1:16" x14ac:dyDescent="0.25">
      <c r="A42" t="s">
        <v>1</v>
      </c>
      <c r="B42" t="s">
        <v>25</v>
      </c>
      <c r="C42">
        <v>2005</v>
      </c>
      <c r="D42">
        <v>485</v>
      </c>
      <c r="E42">
        <v>2150</v>
      </c>
      <c r="F42">
        <v>2893</v>
      </c>
      <c r="G42">
        <v>3133</v>
      </c>
      <c r="H42">
        <v>3235</v>
      </c>
      <c r="I42">
        <v>3299</v>
      </c>
      <c r="J42">
        <v>3035</v>
      </c>
      <c r="K42">
        <v>3032</v>
      </c>
      <c r="L42">
        <v>3035</v>
      </c>
      <c r="M42">
        <v>2237</v>
      </c>
      <c r="N42">
        <v>275</v>
      </c>
      <c r="O42">
        <v>45</v>
      </c>
      <c r="P42">
        <v>26854</v>
      </c>
    </row>
    <row r="43" spans="1:16" x14ac:dyDescent="0.25">
      <c r="A43" t="s">
        <v>1</v>
      </c>
      <c r="B43" t="s">
        <v>25</v>
      </c>
      <c r="C43">
        <v>2006</v>
      </c>
      <c r="D43">
        <v>509</v>
      </c>
      <c r="E43">
        <v>2358</v>
      </c>
      <c r="F43">
        <v>2978</v>
      </c>
      <c r="G43">
        <v>3149</v>
      </c>
      <c r="H43">
        <v>3174</v>
      </c>
      <c r="I43">
        <v>3471</v>
      </c>
      <c r="J43">
        <v>3022</v>
      </c>
      <c r="K43">
        <v>3041</v>
      </c>
      <c r="L43">
        <v>3028</v>
      </c>
      <c r="M43">
        <v>2311</v>
      </c>
      <c r="N43">
        <v>309</v>
      </c>
      <c r="O43">
        <v>44</v>
      </c>
      <c r="P43">
        <v>27394</v>
      </c>
    </row>
    <row r="44" spans="1:16" x14ac:dyDescent="0.25">
      <c r="A44" t="s">
        <v>1</v>
      </c>
      <c r="B44" t="s">
        <v>25</v>
      </c>
      <c r="C44">
        <v>2007</v>
      </c>
      <c r="D44">
        <v>546</v>
      </c>
      <c r="E44">
        <v>2565</v>
      </c>
      <c r="F44">
        <v>2983</v>
      </c>
      <c r="G44">
        <v>3154</v>
      </c>
      <c r="H44">
        <v>3171</v>
      </c>
      <c r="I44">
        <v>3516</v>
      </c>
      <c r="J44">
        <v>3084</v>
      </c>
      <c r="K44">
        <v>3075</v>
      </c>
      <c r="L44">
        <v>3001</v>
      </c>
      <c r="M44">
        <v>2409</v>
      </c>
      <c r="N44">
        <v>379</v>
      </c>
      <c r="O44">
        <v>61</v>
      </c>
      <c r="P44">
        <v>27944</v>
      </c>
    </row>
    <row r="45" spans="1:16" x14ac:dyDescent="0.25">
      <c r="A45" t="s">
        <v>1</v>
      </c>
      <c r="B45" t="s">
        <v>25</v>
      </c>
      <c r="C45">
        <v>2008</v>
      </c>
      <c r="D45">
        <v>492</v>
      </c>
      <c r="E45">
        <v>2429</v>
      </c>
      <c r="F45">
        <v>2893</v>
      </c>
      <c r="G45">
        <v>3115</v>
      </c>
      <c r="H45">
        <v>3264</v>
      </c>
      <c r="I45">
        <v>3526</v>
      </c>
      <c r="J45">
        <v>3104</v>
      </c>
      <c r="K45">
        <v>3005</v>
      </c>
      <c r="L45">
        <v>3000</v>
      </c>
      <c r="M45">
        <v>2444</v>
      </c>
      <c r="N45">
        <v>424</v>
      </c>
      <c r="O45">
        <v>65</v>
      </c>
      <c r="P45">
        <v>27761</v>
      </c>
    </row>
    <row r="46" spans="1:16" x14ac:dyDescent="0.25">
      <c r="A46" t="s">
        <v>1</v>
      </c>
      <c r="B46" t="s">
        <v>25</v>
      </c>
      <c r="C46">
        <v>2009</v>
      </c>
      <c r="D46">
        <v>502</v>
      </c>
      <c r="E46">
        <v>2291</v>
      </c>
      <c r="F46">
        <v>2786</v>
      </c>
      <c r="G46">
        <v>3006</v>
      </c>
      <c r="H46">
        <v>3224</v>
      </c>
      <c r="I46">
        <v>3432</v>
      </c>
      <c r="J46">
        <v>3194</v>
      </c>
      <c r="K46">
        <v>2989</v>
      </c>
      <c r="L46">
        <v>2827</v>
      </c>
      <c r="M46">
        <v>2493</v>
      </c>
      <c r="N46">
        <v>504</v>
      </c>
      <c r="O46">
        <v>84</v>
      </c>
      <c r="P46">
        <v>27332</v>
      </c>
    </row>
    <row r="47" spans="1:16" x14ac:dyDescent="0.25">
      <c r="A47" t="s">
        <v>1</v>
      </c>
      <c r="B47" t="s">
        <v>25</v>
      </c>
      <c r="C47">
        <v>2010</v>
      </c>
      <c r="D47">
        <v>515</v>
      </c>
      <c r="E47">
        <v>2563</v>
      </c>
      <c r="F47">
        <v>2926</v>
      </c>
      <c r="G47">
        <v>3046</v>
      </c>
      <c r="H47">
        <v>3235</v>
      </c>
      <c r="I47">
        <v>3388</v>
      </c>
      <c r="J47">
        <v>3372</v>
      </c>
      <c r="K47">
        <v>2987</v>
      </c>
      <c r="L47">
        <v>2871</v>
      </c>
      <c r="M47">
        <v>2531</v>
      </c>
      <c r="N47">
        <v>548</v>
      </c>
      <c r="O47">
        <v>82</v>
      </c>
      <c r="P47">
        <v>28064</v>
      </c>
    </row>
    <row r="48" spans="1:16" x14ac:dyDescent="0.25">
      <c r="A48" t="s">
        <v>1</v>
      </c>
      <c r="B48" t="s">
        <v>25</v>
      </c>
      <c r="C48">
        <v>2011</v>
      </c>
      <c r="D48">
        <v>511</v>
      </c>
      <c r="E48">
        <v>2511</v>
      </c>
      <c r="F48">
        <v>2900</v>
      </c>
      <c r="G48">
        <v>3010</v>
      </c>
      <c r="H48">
        <v>3205</v>
      </c>
      <c r="I48">
        <v>3349</v>
      </c>
      <c r="J48">
        <v>3530</v>
      </c>
      <c r="K48">
        <v>2966</v>
      </c>
      <c r="L48">
        <v>2897</v>
      </c>
      <c r="M48">
        <v>2482</v>
      </c>
      <c r="N48">
        <v>617</v>
      </c>
      <c r="O48">
        <v>145</v>
      </c>
      <c r="P48">
        <v>28123</v>
      </c>
    </row>
    <row r="49" spans="1:16" x14ac:dyDescent="0.25">
      <c r="A49" t="s">
        <v>1</v>
      </c>
      <c r="B49" t="s">
        <v>25</v>
      </c>
      <c r="C49">
        <v>2012</v>
      </c>
      <c r="D49">
        <v>554</v>
      </c>
      <c r="E49">
        <v>2731</v>
      </c>
      <c r="F49">
        <v>2954</v>
      </c>
      <c r="G49">
        <v>2989</v>
      </c>
      <c r="H49">
        <v>3221</v>
      </c>
      <c r="I49">
        <v>3256</v>
      </c>
      <c r="J49">
        <v>3558</v>
      </c>
      <c r="K49">
        <v>3007</v>
      </c>
      <c r="L49">
        <v>2907</v>
      </c>
      <c r="M49">
        <v>2475</v>
      </c>
      <c r="N49">
        <v>625</v>
      </c>
      <c r="O49">
        <v>190</v>
      </c>
      <c r="P49">
        <v>28467</v>
      </c>
    </row>
    <row r="50" spans="1:16" x14ac:dyDescent="0.25">
      <c r="A50" t="s">
        <v>1</v>
      </c>
      <c r="B50" t="s">
        <v>25</v>
      </c>
      <c r="C50">
        <v>2013</v>
      </c>
      <c r="D50">
        <v>589</v>
      </c>
      <c r="E50">
        <v>2992</v>
      </c>
      <c r="F50">
        <v>3030</v>
      </c>
      <c r="G50">
        <v>2976</v>
      </c>
      <c r="H50">
        <v>3179</v>
      </c>
      <c r="I50">
        <v>3299</v>
      </c>
      <c r="J50">
        <v>3540</v>
      </c>
      <c r="K50">
        <v>3068</v>
      </c>
      <c r="L50">
        <v>2889</v>
      </c>
      <c r="M50">
        <v>2490</v>
      </c>
      <c r="N50">
        <v>726</v>
      </c>
      <c r="O50">
        <v>219</v>
      </c>
      <c r="P50">
        <v>28997</v>
      </c>
    </row>
    <row r="51" spans="1:16" x14ac:dyDescent="0.25">
      <c r="A51" t="s">
        <v>1</v>
      </c>
      <c r="B51" t="s">
        <v>25</v>
      </c>
      <c r="C51">
        <v>2014</v>
      </c>
      <c r="D51">
        <v>515</v>
      </c>
      <c r="E51">
        <v>2925</v>
      </c>
      <c r="F51">
        <v>3235</v>
      </c>
      <c r="G51">
        <v>2902</v>
      </c>
      <c r="H51">
        <v>3140</v>
      </c>
      <c r="I51">
        <v>3353</v>
      </c>
      <c r="J51">
        <v>3509</v>
      </c>
      <c r="K51">
        <v>3207</v>
      </c>
      <c r="L51">
        <v>2909</v>
      </c>
      <c r="M51">
        <v>2432</v>
      </c>
      <c r="N51">
        <v>751</v>
      </c>
      <c r="O51">
        <v>244</v>
      </c>
      <c r="P51">
        <v>29122</v>
      </c>
    </row>
    <row r="52" spans="1:16" x14ac:dyDescent="0.25">
      <c r="A52" t="s">
        <v>1</v>
      </c>
      <c r="B52" t="s">
        <v>25</v>
      </c>
      <c r="C52">
        <v>2015</v>
      </c>
      <c r="D52">
        <v>551</v>
      </c>
      <c r="E52">
        <v>3083</v>
      </c>
      <c r="F52">
        <v>3432</v>
      </c>
      <c r="G52">
        <v>2992</v>
      </c>
      <c r="H52">
        <v>3100</v>
      </c>
      <c r="I52">
        <v>3308</v>
      </c>
      <c r="J52">
        <v>3442</v>
      </c>
      <c r="K52">
        <v>3362</v>
      </c>
      <c r="L52">
        <v>2920</v>
      </c>
      <c r="M52">
        <v>2420</v>
      </c>
      <c r="N52">
        <v>780</v>
      </c>
      <c r="O52">
        <v>252</v>
      </c>
      <c r="P52">
        <v>29642</v>
      </c>
    </row>
    <row r="53" spans="1:16" x14ac:dyDescent="0.25">
      <c r="A53" t="s">
        <v>1</v>
      </c>
      <c r="B53" t="s">
        <v>25</v>
      </c>
      <c r="C53">
        <v>2016</v>
      </c>
      <c r="D53">
        <v>660</v>
      </c>
      <c r="E53">
        <v>3238</v>
      </c>
      <c r="F53">
        <v>3685</v>
      </c>
      <c r="G53">
        <v>3065</v>
      </c>
      <c r="H53">
        <v>3040</v>
      </c>
      <c r="I53">
        <v>3301</v>
      </c>
      <c r="J53">
        <v>3416</v>
      </c>
      <c r="K53">
        <v>3525</v>
      </c>
      <c r="L53">
        <v>2906</v>
      </c>
      <c r="M53">
        <v>2451</v>
      </c>
      <c r="N53">
        <v>753</v>
      </c>
      <c r="O53">
        <v>266</v>
      </c>
      <c r="P53">
        <v>30306</v>
      </c>
    </row>
    <row r="54" spans="1:16" x14ac:dyDescent="0.25">
      <c r="A54" t="s">
        <v>1</v>
      </c>
      <c r="B54" t="s">
        <v>25</v>
      </c>
      <c r="C54">
        <v>2017</v>
      </c>
      <c r="D54">
        <v>699</v>
      </c>
      <c r="E54">
        <v>3225</v>
      </c>
      <c r="F54">
        <v>3834</v>
      </c>
      <c r="G54">
        <v>3153</v>
      </c>
      <c r="H54">
        <v>3047</v>
      </c>
      <c r="I54">
        <v>3306</v>
      </c>
      <c r="J54">
        <v>3319</v>
      </c>
      <c r="K54">
        <v>3599</v>
      </c>
      <c r="L54">
        <v>2943</v>
      </c>
      <c r="M54">
        <v>2450</v>
      </c>
      <c r="N54">
        <v>765</v>
      </c>
      <c r="O54">
        <v>333</v>
      </c>
      <c r="P54">
        <v>30673</v>
      </c>
    </row>
    <row r="55" spans="1:16" x14ac:dyDescent="0.25">
      <c r="A55" t="s">
        <v>1</v>
      </c>
      <c r="B55" t="s">
        <v>25</v>
      </c>
      <c r="C55">
        <v>2018</v>
      </c>
      <c r="D55">
        <v>701</v>
      </c>
      <c r="E55">
        <v>2943</v>
      </c>
      <c r="F55">
        <v>3989</v>
      </c>
      <c r="G55">
        <v>3274</v>
      </c>
      <c r="H55">
        <v>3048</v>
      </c>
      <c r="I55">
        <v>3250</v>
      </c>
      <c r="J55">
        <v>3359</v>
      </c>
      <c r="K55">
        <v>3625</v>
      </c>
      <c r="L55">
        <v>2981</v>
      </c>
      <c r="M55">
        <v>2479</v>
      </c>
      <c r="N55">
        <v>843</v>
      </c>
      <c r="O55">
        <v>336</v>
      </c>
      <c r="P55">
        <v>30828</v>
      </c>
    </row>
    <row r="56" spans="1:16" x14ac:dyDescent="0.25">
      <c r="A56" t="s">
        <v>1</v>
      </c>
      <c r="B56" t="s">
        <v>25</v>
      </c>
      <c r="C56">
        <v>2019</v>
      </c>
      <c r="D56">
        <v>961</v>
      </c>
      <c r="E56">
        <v>2919</v>
      </c>
      <c r="F56">
        <v>4270</v>
      </c>
      <c r="G56">
        <v>3392</v>
      </c>
      <c r="H56">
        <v>2961</v>
      </c>
      <c r="I56">
        <v>3223</v>
      </c>
      <c r="J56">
        <v>3406</v>
      </c>
      <c r="K56">
        <v>3502</v>
      </c>
      <c r="L56">
        <v>3149</v>
      </c>
      <c r="M56">
        <v>2480</v>
      </c>
      <c r="N56">
        <v>988</v>
      </c>
      <c r="O56">
        <v>437</v>
      </c>
      <c r="P56">
        <v>31688</v>
      </c>
    </row>
    <row r="57" spans="1:16" x14ac:dyDescent="0.25">
      <c r="A57" t="s">
        <v>1</v>
      </c>
      <c r="B57" t="s">
        <v>25</v>
      </c>
      <c r="C57">
        <v>2020</v>
      </c>
      <c r="D57">
        <v>909</v>
      </c>
      <c r="E57">
        <v>2729</v>
      </c>
      <c r="F57">
        <v>4097</v>
      </c>
      <c r="G57">
        <v>3581</v>
      </c>
      <c r="H57">
        <v>2988</v>
      </c>
      <c r="I57">
        <v>3179</v>
      </c>
      <c r="J57">
        <v>3356</v>
      </c>
      <c r="K57">
        <v>3426</v>
      </c>
      <c r="L57">
        <v>3265</v>
      </c>
      <c r="M57">
        <v>2449</v>
      </c>
      <c r="N57">
        <v>883</v>
      </c>
      <c r="O57">
        <v>358</v>
      </c>
      <c r="P57">
        <v>31220</v>
      </c>
    </row>
    <row r="58" spans="1:16" x14ac:dyDescent="0.25">
      <c r="A58" t="s">
        <v>1</v>
      </c>
      <c r="B58" t="s">
        <v>25</v>
      </c>
      <c r="C58">
        <v>2021</v>
      </c>
      <c r="D58">
        <v>997</v>
      </c>
      <c r="E58">
        <v>2761</v>
      </c>
      <c r="F58">
        <v>3935</v>
      </c>
      <c r="G58">
        <v>3646</v>
      </c>
      <c r="H58">
        <v>3031</v>
      </c>
      <c r="I58">
        <v>3112</v>
      </c>
      <c r="J58">
        <v>3348</v>
      </c>
      <c r="K58">
        <v>3399</v>
      </c>
      <c r="L58">
        <v>3432</v>
      </c>
      <c r="M58">
        <v>2457</v>
      </c>
      <c r="N58">
        <v>927</v>
      </c>
      <c r="O58">
        <v>420</v>
      </c>
      <c r="P58">
        <v>31465</v>
      </c>
    </row>
    <row r="59" spans="1:16" x14ac:dyDescent="0.25">
      <c r="A59" t="s">
        <v>1</v>
      </c>
      <c r="B59" t="s">
        <v>25</v>
      </c>
      <c r="C59">
        <v>2022</v>
      </c>
      <c r="D59">
        <v>1125</v>
      </c>
      <c r="E59">
        <v>2930</v>
      </c>
      <c r="F59">
        <v>3697</v>
      </c>
      <c r="G59">
        <v>3814</v>
      </c>
      <c r="H59">
        <v>3154</v>
      </c>
      <c r="I59">
        <v>3049</v>
      </c>
      <c r="J59">
        <v>3371</v>
      </c>
      <c r="K59">
        <v>3294</v>
      </c>
      <c r="L59">
        <v>3506</v>
      </c>
      <c r="M59">
        <v>2541</v>
      </c>
      <c r="N59">
        <v>990</v>
      </c>
      <c r="O59">
        <v>435</v>
      </c>
      <c r="P59">
        <v>31906</v>
      </c>
    </row>
    <row r="60" spans="1:16" x14ac:dyDescent="0.25">
      <c r="A60" t="s">
        <v>1</v>
      </c>
      <c r="B60" t="s">
        <v>25</v>
      </c>
      <c r="C60">
        <v>2023</v>
      </c>
      <c r="D60">
        <v>1165</v>
      </c>
      <c r="E60">
        <v>3049</v>
      </c>
      <c r="F60">
        <v>3536</v>
      </c>
      <c r="G60">
        <v>3911</v>
      </c>
      <c r="H60">
        <v>3210</v>
      </c>
      <c r="I60">
        <v>3061</v>
      </c>
      <c r="J60">
        <v>3245</v>
      </c>
      <c r="K60">
        <v>3342</v>
      </c>
      <c r="L60">
        <v>3515</v>
      </c>
      <c r="M60">
        <v>2586</v>
      </c>
      <c r="N60">
        <v>1077</v>
      </c>
      <c r="O60">
        <v>446</v>
      </c>
      <c r="P60">
        <v>32143</v>
      </c>
    </row>
    <row r="61" spans="1:16" x14ac:dyDescent="0.25">
      <c r="A61" t="s">
        <v>1</v>
      </c>
      <c r="B61" t="s">
        <v>25</v>
      </c>
      <c r="C61">
        <v>2024</v>
      </c>
      <c r="D61">
        <v>1146</v>
      </c>
      <c r="E61">
        <v>2925</v>
      </c>
      <c r="F61">
        <v>3283</v>
      </c>
      <c r="G61">
        <v>3913</v>
      </c>
      <c r="H61">
        <v>3328</v>
      </c>
      <c r="I61">
        <v>2989</v>
      </c>
      <c r="J61">
        <v>3205</v>
      </c>
      <c r="K61">
        <v>3368</v>
      </c>
      <c r="L61">
        <v>3421</v>
      </c>
      <c r="M61">
        <v>2744</v>
      </c>
      <c r="N61">
        <v>1105</v>
      </c>
      <c r="O61">
        <v>445</v>
      </c>
      <c r="P61">
        <v>31872</v>
      </c>
    </row>
    <row r="62" spans="1:16" x14ac:dyDescent="0.25">
      <c r="A62" t="s">
        <v>1</v>
      </c>
      <c r="B62" t="s">
        <v>26</v>
      </c>
      <c r="C62">
        <v>2005</v>
      </c>
      <c r="D62">
        <v>36</v>
      </c>
      <c r="E62">
        <v>168</v>
      </c>
      <c r="F62">
        <v>277</v>
      </c>
      <c r="G62">
        <v>368</v>
      </c>
      <c r="H62">
        <v>391</v>
      </c>
      <c r="I62">
        <v>369</v>
      </c>
      <c r="J62">
        <v>347</v>
      </c>
      <c r="K62">
        <v>246</v>
      </c>
      <c r="L62">
        <v>165</v>
      </c>
      <c r="M62">
        <v>76</v>
      </c>
      <c r="N62">
        <v>19</v>
      </c>
      <c r="O62">
        <v>1</v>
      </c>
      <c r="P62">
        <v>2463</v>
      </c>
    </row>
    <row r="63" spans="1:16" x14ac:dyDescent="0.25">
      <c r="A63" t="s">
        <v>1</v>
      </c>
      <c r="B63" t="s">
        <v>26</v>
      </c>
      <c r="C63">
        <v>2006</v>
      </c>
      <c r="D63">
        <v>33</v>
      </c>
      <c r="E63">
        <v>202</v>
      </c>
      <c r="F63">
        <v>301</v>
      </c>
      <c r="G63">
        <v>366</v>
      </c>
      <c r="H63">
        <v>389</v>
      </c>
      <c r="I63">
        <v>408</v>
      </c>
      <c r="J63">
        <v>370</v>
      </c>
      <c r="K63">
        <v>256</v>
      </c>
      <c r="L63">
        <v>182</v>
      </c>
      <c r="M63">
        <v>81</v>
      </c>
      <c r="N63">
        <v>20</v>
      </c>
      <c r="O63">
        <v>1</v>
      </c>
      <c r="P63">
        <v>2609</v>
      </c>
    </row>
    <row r="64" spans="1:16" x14ac:dyDescent="0.25">
      <c r="A64" t="s">
        <v>1</v>
      </c>
      <c r="B64" t="s">
        <v>26</v>
      </c>
      <c r="C64">
        <v>2007</v>
      </c>
      <c r="D64">
        <v>22</v>
      </c>
      <c r="E64">
        <v>197</v>
      </c>
      <c r="F64">
        <v>318</v>
      </c>
      <c r="G64">
        <v>392</v>
      </c>
      <c r="H64">
        <v>412</v>
      </c>
      <c r="I64">
        <v>437</v>
      </c>
      <c r="J64">
        <v>384</v>
      </c>
      <c r="K64">
        <v>275</v>
      </c>
      <c r="L64">
        <v>200</v>
      </c>
      <c r="M64">
        <v>88</v>
      </c>
      <c r="N64">
        <v>22</v>
      </c>
      <c r="O64">
        <v>2</v>
      </c>
      <c r="P64">
        <v>2749</v>
      </c>
    </row>
    <row r="65" spans="1:16" x14ac:dyDescent="0.25">
      <c r="A65" t="s">
        <v>1</v>
      </c>
      <c r="B65" t="s">
        <v>26</v>
      </c>
      <c r="C65">
        <v>2008</v>
      </c>
      <c r="D65">
        <v>28</v>
      </c>
      <c r="E65">
        <v>165</v>
      </c>
      <c r="F65">
        <v>340</v>
      </c>
      <c r="G65">
        <v>407</v>
      </c>
      <c r="H65">
        <v>457</v>
      </c>
      <c r="I65">
        <v>423</v>
      </c>
      <c r="J65">
        <v>418</v>
      </c>
      <c r="K65">
        <v>314</v>
      </c>
      <c r="L65">
        <v>212</v>
      </c>
      <c r="M65">
        <v>102</v>
      </c>
      <c r="N65">
        <v>26</v>
      </c>
      <c r="O65">
        <v>1</v>
      </c>
      <c r="P65">
        <v>2893</v>
      </c>
    </row>
    <row r="66" spans="1:16" x14ac:dyDescent="0.25">
      <c r="A66" t="s">
        <v>1</v>
      </c>
      <c r="B66" t="s">
        <v>26</v>
      </c>
      <c r="C66">
        <v>2009</v>
      </c>
      <c r="D66">
        <v>31</v>
      </c>
      <c r="E66">
        <v>183</v>
      </c>
      <c r="F66">
        <v>337</v>
      </c>
      <c r="G66">
        <v>419</v>
      </c>
      <c r="H66">
        <v>453</v>
      </c>
      <c r="I66">
        <v>446</v>
      </c>
      <c r="J66">
        <v>414</v>
      </c>
      <c r="K66">
        <v>331</v>
      </c>
      <c r="L66">
        <v>217</v>
      </c>
      <c r="M66">
        <v>116</v>
      </c>
      <c r="N66">
        <v>23</v>
      </c>
      <c r="O66">
        <v>7</v>
      </c>
      <c r="P66">
        <v>2977</v>
      </c>
    </row>
    <row r="67" spans="1:16" x14ac:dyDescent="0.25">
      <c r="A67" t="s">
        <v>1</v>
      </c>
      <c r="B67" t="s">
        <v>26</v>
      </c>
      <c r="C67">
        <v>2010</v>
      </c>
      <c r="D67">
        <v>46</v>
      </c>
      <c r="E67">
        <v>212</v>
      </c>
      <c r="F67">
        <v>361</v>
      </c>
      <c r="G67">
        <v>471</v>
      </c>
      <c r="H67">
        <v>502</v>
      </c>
      <c r="I67">
        <v>479</v>
      </c>
      <c r="J67">
        <v>444</v>
      </c>
      <c r="K67">
        <v>380</v>
      </c>
      <c r="L67">
        <v>235</v>
      </c>
      <c r="M67">
        <v>129</v>
      </c>
      <c r="N67">
        <v>18</v>
      </c>
      <c r="O67">
        <v>9</v>
      </c>
      <c r="P67">
        <v>3286</v>
      </c>
    </row>
    <row r="68" spans="1:16" x14ac:dyDescent="0.25">
      <c r="A68" t="s">
        <v>1</v>
      </c>
      <c r="B68" t="s">
        <v>26</v>
      </c>
      <c r="C68">
        <v>2011</v>
      </c>
      <c r="D68">
        <v>32</v>
      </c>
      <c r="E68">
        <v>223</v>
      </c>
      <c r="F68">
        <v>397</v>
      </c>
      <c r="G68">
        <v>509</v>
      </c>
      <c r="H68">
        <v>532</v>
      </c>
      <c r="I68">
        <v>488</v>
      </c>
      <c r="J68">
        <v>494</v>
      </c>
      <c r="K68">
        <v>396</v>
      </c>
      <c r="L68">
        <v>253</v>
      </c>
      <c r="M68">
        <v>148</v>
      </c>
      <c r="N68">
        <v>27</v>
      </c>
      <c r="O68">
        <v>14</v>
      </c>
      <c r="P68">
        <v>3513</v>
      </c>
    </row>
    <row r="69" spans="1:16" x14ac:dyDescent="0.25">
      <c r="A69" t="s">
        <v>1</v>
      </c>
      <c r="B69" t="s">
        <v>26</v>
      </c>
      <c r="C69">
        <v>2012</v>
      </c>
      <c r="D69">
        <v>35</v>
      </c>
      <c r="E69">
        <v>219</v>
      </c>
      <c r="F69">
        <v>440</v>
      </c>
      <c r="G69">
        <v>516</v>
      </c>
      <c r="H69">
        <v>591</v>
      </c>
      <c r="I69">
        <v>538</v>
      </c>
      <c r="J69">
        <v>490</v>
      </c>
      <c r="K69">
        <v>411</v>
      </c>
      <c r="L69">
        <v>271</v>
      </c>
      <c r="M69">
        <v>154</v>
      </c>
      <c r="N69">
        <v>30</v>
      </c>
      <c r="O69">
        <v>18</v>
      </c>
      <c r="P69">
        <v>3713</v>
      </c>
    </row>
    <row r="70" spans="1:16" x14ac:dyDescent="0.25">
      <c r="A70" t="s">
        <v>1</v>
      </c>
      <c r="B70" t="s">
        <v>26</v>
      </c>
      <c r="C70">
        <v>2013</v>
      </c>
      <c r="D70">
        <v>33</v>
      </c>
      <c r="E70">
        <v>233</v>
      </c>
      <c r="F70">
        <v>446</v>
      </c>
      <c r="G70">
        <v>585</v>
      </c>
      <c r="H70">
        <v>601</v>
      </c>
      <c r="I70">
        <v>605</v>
      </c>
      <c r="J70">
        <v>501</v>
      </c>
      <c r="K70">
        <v>440</v>
      </c>
      <c r="L70">
        <v>306</v>
      </c>
      <c r="M70">
        <v>174</v>
      </c>
      <c r="N70">
        <v>33</v>
      </c>
      <c r="O70">
        <v>22</v>
      </c>
      <c r="P70">
        <v>3979</v>
      </c>
    </row>
    <row r="71" spans="1:16" x14ac:dyDescent="0.25">
      <c r="A71" t="s">
        <v>1</v>
      </c>
      <c r="B71" t="s">
        <v>26</v>
      </c>
      <c r="C71">
        <v>2014</v>
      </c>
      <c r="D71">
        <v>29</v>
      </c>
      <c r="E71">
        <v>263</v>
      </c>
      <c r="F71">
        <v>506</v>
      </c>
      <c r="G71">
        <v>583</v>
      </c>
      <c r="H71">
        <v>656</v>
      </c>
      <c r="I71">
        <v>628</v>
      </c>
      <c r="J71">
        <v>558</v>
      </c>
      <c r="K71">
        <v>456</v>
      </c>
      <c r="L71">
        <v>333</v>
      </c>
      <c r="M71">
        <v>196</v>
      </c>
      <c r="N71">
        <v>45</v>
      </c>
      <c r="O71">
        <v>13</v>
      </c>
      <c r="P71">
        <v>4266</v>
      </c>
    </row>
    <row r="72" spans="1:16" x14ac:dyDescent="0.25">
      <c r="A72" t="s">
        <v>1</v>
      </c>
      <c r="B72" t="s">
        <v>26</v>
      </c>
      <c r="C72">
        <v>2015</v>
      </c>
      <c r="D72">
        <v>66</v>
      </c>
      <c r="E72">
        <v>292</v>
      </c>
      <c r="F72">
        <v>523</v>
      </c>
      <c r="G72">
        <v>661</v>
      </c>
      <c r="H72">
        <v>718</v>
      </c>
      <c r="I72">
        <v>678</v>
      </c>
      <c r="J72">
        <v>586</v>
      </c>
      <c r="K72">
        <v>482</v>
      </c>
      <c r="L72">
        <v>380</v>
      </c>
      <c r="M72">
        <v>205</v>
      </c>
      <c r="N72">
        <v>47</v>
      </c>
      <c r="O72">
        <v>9</v>
      </c>
      <c r="P72">
        <v>4647</v>
      </c>
    </row>
    <row r="73" spans="1:16" x14ac:dyDescent="0.25">
      <c r="A73" t="s">
        <v>1</v>
      </c>
      <c r="B73" t="s">
        <v>26</v>
      </c>
      <c r="C73">
        <v>2016</v>
      </c>
      <c r="D73">
        <v>68</v>
      </c>
      <c r="E73">
        <v>328</v>
      </c>
      <c r="F73">
        <v>609</v>
      </c>
      <c r="G73">
        <v>736</v>
      </c>
      <c r="H73">
        <v>781</v>
      </c>
      <c r="I73">
        <v>743</v>
      </c>
      <c r="J73">
        <v>625</v>
      </c>
      <c r="K73">
        <v>533</v>
      </c>
      <c r="L73">
        <v>394</v>
      </c>
      <c r="M73">
        <v>220</v>
      </c>
      <c r="N73">
        <v>65</v>
      </c>
      <c r="O73">
        <v>12</v>
      </c>
      <c r="P73">
        <v>5114</v>
      </c>
    </row>
    <row r="74" spans="1:16" x14ac:dyDescent="0.25">
      <c r="A74" t="s">
        <v>1</v>
      </c>
      <c r="B74" t="s">
        <v>26</v>
      </c>
      <c r="C74">
        <v>2017</v>
      </c>
      <c r="D74">
        <v>76</v>
      </c>
      <c r="E74">
        <v>340</v>
      </c>
      <c r="F74">
        <v>601</v>
      </c>
      <c r="G74">
        <v>794</v>
      </c>
      <c r="H74">
        <v>813</v>
      </c>
      <c r="I74">
        <v>768</v>
      </c>
      <c r="J74">
        <v>668</v>
      </c>
      <c r="K74">
        <v>552</v>
      </c>
      <c r="L74">
        <v>418</v>
      </c>
      <c r="M74">
        <v>226</v>
      </c>
      <c r="N74">
        <v>87</v>
      </c>
      <c r="O74">
        <v>15</v>
      </c>
      <c r="P74">
        <v>5358</v>
      </c>
    </row>
    <row r="75" spans="1:16" x14ac:dyDescent="0.25">
      <c r="A75" t="s">
        <v>1</v>
      </c>
      <c r="B75" t="s">
        <v>26</v>
      </c>
      <c r="C75">
        <v>2018</v>
      </c>
      <c r="D75">
        <v>87</v>
      </c>
      <c r="E75">
        <v>359</v>
      </c>
      <c r="F75">
        <v>653</v>
      </c>
      <c r="G75">
        <v>854</v>
      </c>
      <c r="H75">
        <v>883</v>
      </c>
      <c r="I75">
        <v>828</v>
      </c>
      <c r="J75">
        <v>730</v>
      </c>
      <c r="K75">
        <v>576</v>
      </c>
      <c r="L75">
        <v>440</v>
      </c>
      <c r="M75">
        <v>273</v>
      </c>
      <c r="N75">
        <v>87</v>
      </c>
      <c r="O75">
        <v>20</v>
      </c>
      <c r="P75">
        <v>5790</v>
      </c>
    </row>
    <row r="76" spans="1:16" x14ac:dyDescent="0.25">
      <c r="A76" t="s">
        <v>1</v>
      </c>
      <c r="B76" t="s">
        <v>26</v>
      </c>
      <c r="C76">
        <v>2019</v>
      </c>
      <c r="D76">
        <v>128</v>
      </c>
      <c r="E76">
        <v>472</v>
      </c>
      <c r="F76">
        <v>684</v>
      </c>
      <c r="G76">
        <v>915</v>
      </c>
      <c r="H76">
        <v>931</v>
      </c>
      <c r="I76">
        <v>888</v>
      </c>
      <c r="J76">
        <v>793</v>
      </c>
      <c r="K76">
        <v>641</v>
      </c>
      <c r="L76">
        <v>474</v>
      </c>
      <c r="M76">
        <v>300</v>
      </c>
      <c r="N76">
        <v>92</v>
      </c>
      <c r="O76">
        <v>28</v>
      </c>
      <c r="P76">
        <v>6346</v>
      </c>
    </row>
    <row r="77" spans="1:16" x14ac:dyDescent="0.25">
      <c r="A77" t="s">
        <v>1</v>
      </c>
      <c r="B77" t="s">
        <v>26</v>
      </c>
      <c r="C77">
        <v>2020</v>
      </c>
      <c r="D77">
        <v>105</v>
      </c>
      <c r="E77">
        <v>471</v>
      </c>
      <c r="F77">
        <v>682</v>
      </c>
      <c r="G77">
        <v>912</v>
      </c>
      <c r="H77">
        <v>940</v>
      </c>
      <c r="I77">
        <v>938</v>
      </c>
      <c r="J77">
        <v>799</v>
      </c>
      <c r="K77">
        <v>671</v>
      </c>
      <c r="L77">
        <v>479</v>
      </c>
      <c r="M77">
        <v>345</v>
      </c>
      <c r="N77">
        <v>91</v>
      </c>
      <c r="O77">
        <v>26</v>
      </c>
      <c r="P77">
        <v>6459</v>
      </c>
    </row>
    <row r="78" spans="1:16" x14ac:dyDescent="0.25">
      <c r="A78" t="s">
        <v>1</v>
      </c>
      <c r="B78" t="s">
        <v>26</v>
      </c>
      <c r="C78">
        <v>2021</v>
      </c>
      <c r="D78">
        <v>134</v>
      </c>
      <c r="E78">
        <v>574</v>
      </c>
      <c r="F78">
        <v>702</v>
      </c>
      <c r="G78">
        <v>958</v>
      </c>
      <c r="H78">
        <v>981</v>
      </c>
      <c r="I78">
        <v>1023</v>
      </c>
      <c r="J78">
        <v>860</v>
      </c>
      <c r="K78">
        <v>688</v>
      </c>
      <c r="L78">
        <v>543</v>
      </c>
      <c r="M78">
        <v>353</v>
      </c>
      <c r="N78">
        <v>109</v>
      </c>
      <c r="O78">
        <v>30</v>
      </c>
      <c r="P78">
        <v>6955</v>
      </c>
    </row>
    <row r="79" spans="1:16" x14ac:dyDescent="0.25">
      <c r="A79" t="s">
        <v>1</v>
      </c>
      <c r="B79" t="s">
        <v>26</v>
      </c>
      <c r="C79">
        <v>2022</v>
      </c>
      <c r="D79">
        <v>175</v>
      </c>
      <c r="E79">
        <v>607</v>
      </c>
      <c r="F79">
        <v>802</v>
      </c>
      <c r="G79">
        <v>988</v>
      </c>
      <c r="H79">
        <v>1082</v>
      </c>
      <c r="I79">
        <v>1056</v>
      </c>
      <c r="J79">
        <v>921</v>
      </c>
      <c r="K79">
        <v>775</v>
      </c>
      <c r="L79">
        <v>558</v>
      </c>
      <c r="M79">
        <v>386</v>
      </c>
      <c r="N79">
        <v>124</v>
      </c>
      <c r="O79">
        <v>32</v>
      </c>
      <c r="P79">
        <v>7506</v>
      </c>
    </row>
    <row r="80" spans="1:16" x14ac:dyDescent="0.25">
      <c r="A80" t="s">
        <v>1</v>
      </c>
      <c r="B80" t="s">
        <v>26</v>
      </c>
      <c r="C80">
        <v>2023</v>
      </c>
      <c r="D80">
        <v>172</v>
      </c>
      <c r="E80">
        <v>614</v>
      </c>
      <c r="F80">
        <v>844</v>
      </c>
      <c r="G80">
        <v>1003</v>
      </c>
      <c r="H80">
        <v>1135</v>
      </c>
      <c r="I80">
        <v>1140</v>
      </c>
      <c r="J80">
        <v>961</v>
      </c>
      <c r="K80">
        <v>832</v>
      </c>
      <c r="L80">
        <v>590</v>
      </c>
      <c r="M80">
        <v>408</v>
      </c>
      <c r="N80">
        <v>159</v>
      </c>
      <c r="O80">
        <v>38</v>
      </c>
      <c r="P80">
        <v>7896</v>
      </c>
    </row>
    <row r="81" spans="1:16" x14ac:dyDescent="0.25">
      <c r="A81" t="s">
        <v>1</v>
      </c>
      <c r="B81" t="s">
        <v>26</v>
      </c>
      <c r="C81">
        <v>2024</v>
      </c>
      <c r="D81">
        <v>174</v>
      </c>
      <c r="E81">
        <v>611</v>
      </c>
      <c r="F81">
        <v>856</v>
      </c>
      <c r="G81">
        <v>950</v>
      </c>
      <c r="H81">
        <v>1152</v>
      </c>
      <c r="I81">
        <v>1164</v>
      </c>
      <c r="J81">
        <v>1016</v>
      </c>
      <c r="K81">
        <v>846</v>
      </c>
      <c r="L81">
        <v>631</v>
      </c>
      <c r="M81">
        <v>422</v>
      </c>
      <c r="N81">
        <v>180</v>
      </c>
      <c r="O81">
        <v>43</v>
      </c>
      <c r="P81">
        <v>8045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3CB2-0E71-43B2-8324-D4181228AFAF}">
  <dimension ref="A1:G30"/>
  <sheetViews>
    <sheetView workbookViewId="0">
      <selection activeCell="B10" sqref="B10"/>
    </sheetView>
  </sheetViews>
  <sheetFormatPr defaultRowHeight="15" x14ac:dyDescent="0.25"/>
  <cols>
    <col min="2" max="2" width="26.5703125" customWidth="1"/>
    <col min="3" max="3" width="25.140625" customWidth="1"/>
    <col min="4" max="4" width="28.28515625" customWidth="1"/>
    <col min="5" max="5" width="26.85546875" customWidth="1"/>
    <col min="6" max="6" width="25.5703125" customWidth="1"/>
    <col min="7" max="7" width="28.28515625" customWidth="1"/>
  </cols>
  <sheetData>
    <row r="1" spans="1:7" x14ac:dyDescent="0.25">
      <c r="A1" s="4" t="s">
        <v>6</v>
      </c>
      <c r="B1" s="4" t="s">
        <v>159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164</v>
      </c>
    </row>
    <row r="2" spans="1:7" x14ac:dyDescent="0.25">
      <c r="A2">
        <v>1996</v>
      </c>
      <c r="B2" s="3">
        <v>73.159065161750519</v>
      </c>
      <c r="C2" s="3">
        <v>74.067279937414014</v>
      </c>
      <c r="D2" s="3">
        <v>72.181237293058373</v>
      </c>
      <c r="E2" s="3">
        <v>39.202092871157618</v>
      </c>
      <c r="F2" s="3">
        <v>41.696750902527072</v>
      </c>
      <c r="G2" s="3">
        <v>36.633926201221129</v>
      </c>
    </row>
    <row r="3" spans="1:7" x14ac:dyDescent="0.25">
      <c r="A3">
        <v>1997</v>
      </c>
      <c r="B3" s="3">
        <v>72.630229382089809</v>
      </c>
      <c r="C3" s="3">
        <v>74.10230261392303</v>
      </c>
      <c r="D3" s="3">
        <v>71.040120593692023</v>
      </c>
      <c r="E3" s="3">
        <v>40.564351378958122</v>
      </c>
      <c r="F3" s="3">
        <v>43.940539178634417</v>
      </c>
      <c r="G3" s="3">
        <v>37.095521615324877</v>
      </c>
    </row>
    <row r="4" spans="1:7" x14ac:dyDescent="0.25">
      <c r="A4">
        <v>1998</v>
      </c>
      <c r="B4" s="3">
        <v>74.429510530502867</v>
      </c>
      <c r="C4" s="3">
        <v>75.844839628216846</v>
      </c>
      <c r="D4" s="3">
        <v>72.898933852366156</v>
      </c>
      <c r="E4" s="3">
        <v>44.5746306673459</v>
      </c>
      <c r="F4" s="3">
        <v>48.397678526368914</v>
      </c>
      <c r="G4" s="3">
        <v>40.678837747492928</v>
      </c>
    </row>
    <row r="5" spans="1:7" x14ac:dyDescent="0.25">
      <c r="A5">
        <v>1999</v>
      </c>
      <c r="B5" s="3">
        <v>74.824718508337156</v>
      </c>
      <c r="C5" s="3">
        <v>76.634864640957801</v>
      </c>
      <c r="D5" s="3">
        <v>72.867545076282937</v>
      </c>
      <c r="E5" s="3">
        <v>48.45399230100584</v>
      </c>
      <c r="F5" s="3">
        <v>53.006407097092165</v>
      </c>
      <c r="G5" s="3">
        <v>43.829787234042556</v>
      </c>
    </row>
    <row r="6" spans="1:7" x14ac:dyDescent="0.25">
      <c r="A6">
        <v>2000</v>
      </c>
      <c r="B6" s="3">
        <v>76.144641719524699</v>
      </c>
      <c r="C6" s="3">
        <v>78.14958005599253</v>
      </c>
      <c r="D6" s="3">
        <v>73.977695167286257</v>
      </c>
      <c r="E6" s="3">
        <v>51.909763666746244</v>
      </c>
      <c r="F6" s="3">
        <v>56.665085388994306</v>
      </c>
      <c r="G6" s="3">
        <v>47.092743873137913</v>
      </c>
    </row>
    <row r="7" spans="1:7" x14ac:dyDescent="0.25">
      <c r="A7">
        <v>2001</v>
      </c>
      <c r="B7" s="3">
        <v>76.397045676482321</v>
      </c>
      <c r="C7" s="3">
        <v>77.536097496357144</v>
      </c>
      <c r="D7" s="3">
        <v>75.16732452376867</v>
      </c>
      <c r="E7" s="3">
        <v>52.21799746514575</v>
      </c>
      <c r="F7" s="3">
        <v>55.981524249422634</v>
      </c>
      <c r="G7" s="3">
        <v>48.470912853529548</v>
      </c>
    </row>
    <row r="8" spans="1:7" x14ac:dyDescent="0.25">
      <c r="A8">
        <v>2002</v>
      </c>
      <c r="B8" s="3">
        <v>76.533384560498362</v>
      </c>
      <c r="C8" s="3">
        <v>77.742259325795203</v>
      </c>
      <c r="D8" s="3">
        <v>75.226974247701705</v>
      </c>
      <c r="E8" s="3">
        <v>51.764705882352949</v>
      </c>
      <c r="F8" s="3">
        <v>54.309586631486376</v>
      </c>
      <c r="G8" s="3">
        <v>49.219265449747084</v>
      </c>
    </row>
    <row r="9" spans="1:7" x14ac:dyDescent="0.25">
      <c r="A9">
        <v>2003</v>
      </c>
      <c r="B9" s="3">
        <v>75.181902729908629</v>
      </c>
      <c r="C9" s="3">
        <v>76.253450769028532</v>
      </c>
      <c r="D9" s="3">
        <v>74.020124853909522</v>
      </c>
      <c r="E9" s="3">
        <v>49.634502923976612</v>
      </c>
      <c r="F9" s="3">
        <v>51.902173913043484</v>
      </c>
      <c r="G9" s="3">
        <v>47.370617696160267</v>
      </c>
    </row>
    <row r="10" spans="1:7" x14ac:dyDescent="0.25">
      <c r="A10">
        <v>2004</v>
      </c>
      <c r="B10" s="3">
        <v>75.601045415361028</v>
      </c>
      <c r="C10" s="3">
        <v>76.758876635169642</v>
      </c>
      <c r="D10" s="3">
        <v>74.347355221158224</v>
      </c>
      <c r="E10" s="3">
        <v>49.531297248261261</v>
      </c>
      <c r="F10" s="3">
        <v>51.789642071585682</v>
      </c>
      <c r="G10" s="3">
        <v>47.235772357723576</v>
      </c>
    </row>
    <row r="11" spans="1:7" x14ac:dyDescent="0.25">
      <c r="A11">
        <v>2005</v>
      </c>
      <c r="B11" s="3">
        <v>75.423636015220779</v>
      </c>
      <c r="C11" s="3">
        <v>76.506214451232353</v>
      </c>
      <c r="D11" s="3">
        <v>74.251753035744827</v>
      </c>
      <c r="E11" s="3">
        <v>48.464954624444871</v>
      </c>
      <c r="F11" s="3">
        <v>50.337121941822382</v>
      </c>
      <c r="G11" s="3">
        <v>46.584091348945229</v>
      </c>
    </row>
    <row r="12" spans="1:7" x14ac:dyDescent="0.25">
      <c r="A12">
        <v>2006</v>
      </c>
      <c r="B12" s="3">
        <v>77.025970284397246</v>
      </c>
      <c r="C12" s="3">
        <v>78.04395951929159</v>
      </c>
      <c r="D12" s="3">
        <v>75.920679886685548</v>
      </c>
      <c r="E12" s="3">
        <v>48.184041300606829</v>
      </c>
      <c r="F12" s="3">
        <v>49.864743011722275</v>
      </c>
      <c r="G12" s="3">
        <v>46.488355167394467</v>
      </c>
    </row>
    <row r="13" spans="1:7" x14ac:dyDescent="0.25">
      <c r="A13">
        <v>2007</v>
      </c>
      <c r="B13" s="3">
        <v>78.405242737081664</v>
      </c>
      <c r="C13" s="3">
        <v>79.651147471873102</v>
      </c>
      <c r="D13" s="3">
        <v>77.053678614302868</v>
      </c>
      <c r="E13" s="3">
        <v>48.75667556742323</v>
      </c>
      <c r="F13" s="3">
        <v>51.391162029459906</v>
      </c>
      <c r="G13" s="3">
        <v>46.016343207354446</v>
      </c>
    </row>
    <row r="14" spans="1:7" x14ac:dyDescent="0.25">
      <c r="A14">
        <v>2008</v>
      </c>
      <c r="B14" s="3">
        <v>78.33237240205365</v>
      </c>
      <c r="C14" s="3">
        <v>79.582665370161095</v>
      </c>
      <c r="D14" s="3">
        <v>76.965081189826122</v>
      </c>
      <c r="E14" s="3">
        <v>47.807900852052668</v>
      </c>
      <c r="F14" s="3">
        <v>50.776728601888522</v>
      </c>
      <c r="G14" s="3">
        <v>44.735182849936947</v>
      </c>
    </row>
    <row r="15" spans="1:7" x14ac:dyDescent="0.25">
      <c r="A15">
        <v>2009</v>
      </c>
      <c r="B15" s="3">
        <v>75.907238767194457</v>
      </c>
      <c r="C15" s="3">
        <v>76.48611219983799</v>
      </c>
      <c r="D15" s="3">
        <v>75.27177810285977</v>
      </c>
      <c r="E15" s="3">
        <v>43.261820454072073</v>
      </c>
      <c r="F15" s="3">
        <v>45.102040816326536</v>
      </c>
      <c r="G15" s="3">
        <v>41.344108889834111</v>
      </c>
    </row>
    <row r="16" spans="1:7" x14ac:dyDescent="0.25">
      <c r="A16">
        <v>2010</v>
      </c>
      <c r="B16" s="3">
        <v>77.324993854641804</v>
      </c>
      <c r="C16" s="3">
        <v>77.628518412042965</v>
      </c>
      <c r="D16" s="3">
        <v>76.992820982181172</v>
      </c>
      <c r="E16" s="3">
        <v>44.859996083806543</v>
      </c>
      <c r="F16" s="3">
        <v>46.953175112251444</v>
      </c>
      <c r="G16" s="3">
        <v>42.692001062981667</v>
      </c>
    </row>
    <row r="17" spans="1:7" x14ac:dyDescent="0.25">
      <c r="A17">
        <v>2011</v>
      </c>
      <c r="B17" s="3">
        <v>77.664662476086363</v>
      </c>
      <c r="C17" s="3">
        <v>78.369619194480023</v>
      </c>
      <c r="D17" s="3">
        <v>76.892236318336728</v>
      </c>
      <c r="E17" s="3">
        <v>47.784507491233661</v>
      </c>
      <c r="F17" s="3">
        <v>51.218896046482257</v>
      </c>
      <c r="G17" s="3">
        <v>44.28424304840371</v>
      </c>
    </row>
    <row r="18" spans="1:7" x14ac:dyDescent="0.25">
      <c r="A18">
        <v>2012</v>
      </c>
      <c r="B18" s="3">
        <v>77.929155313351501</v>
      </c>
      <c r="C18" s="3">
        <v>78.390625</v>
      </c>
      <c r="D18" s="3">
        <v>77.42285714285714</v>
      </c>
      <c r="E18" s="3">
        <v>49.010238907849832</v>
      </c>
      <c r="F18" s="3">
        <v>52.70437144974067</v>
      </c>
      <c r="G18" s="3">
        <v>45.278782587002617</v>
      </c>
    </row>
    <row r="19" spans="1:7" x14ac:dyDescent="0.25">
      <c r="A19">
        <v>2013</v>
      </c>
      <c r="B19" s="3">
        <v>78.214377563312993</v>
      </c>
      <c r="C19" s="3">
        <v>78.391375164818129</v>
      </c>
      <c r="D19" s="3">
        <v>78.01988636363636</v>
      </c>
      <c r="E19" s="3">
        <v>50.809996988858771</v>
      </c>
      <c r="F19" s="3">
        <v>54.580381798535235</v>
      </c>
      <c r="G19" s="3">
        <v>47.01546640889319</v>
      </c>
    </row>
    <row r="20" spans="1:7" x14ac:dyDescent="0.25">
      <c r="A20">
        <v>2014</v>
      </c>
      <c r="B20" s="3">
        <v>78.495349433697371</v>
      </c>
      <c r="C20" s="3">
        <v>78.684257994691677</v>
      </c>
      <c r="D20" s="3">
        <v>78.287496455911537</v>
      </c>
      <c r="E20" s="3">
        <v>52.713043478260872</v>
      </c>
      <c r="F20" s="3">
        <v>56.888168557536467</v>
      </c>
      <c r="G20" s="3">
        <v>48.525313516024156</v>
      </c>
    </row>
    <row r="21" spans="1:7" x14ac:dyDescent="0.25">
      <c r="A21">
        <v>2015</v>
      </c>
      <c r="B21" s="3">
        <v>79.321466646873859</v>
      </c>
      <c r="C21" s="3">
        <v>79.148201587138004</v>
      </c>
      <c r="D21" s="3">
        <v>79.512029244240409</v>
      </c>
      <c r="E21" s="3">
        <v>55.763310910956562</v>
      </c>
      <c r="F21" s="3">
        <v>60.252148997134668</v>
      </c>
      <c r="G21" s="3">
        <v>51.321311103549959</v>
      </c>
    </row>
    <row r="22" spans="1:7" x14ac:dyDescent="0.25">
      <c r="A22">
        <v>2016</v>
      </c>
      <c r="B22" s="3">
        <v>80.519898595629954</v>
      </c>
      <c r="C22" s="3">
        <v>80.456560170121179</v>
      </c>
      <c r="D22" s="3">
        <v>80.589493834806603</v>
      </c>
      <c r="E22" s="3">
        <v>57.317852577758842</v>
      </c>
      <c r="F22" s="3">
        <v>61.120489554758386</v>
      </c>
      <c r="G22" s="3">
        <v>53.441600344160037</v>
      </c>
    </row>
    <row r="23" spans="1:7" x14ac:dyDescent="0.25">
      <c r="A23">
        <v>2017</v>
      </c>
      <c r="B23" s="3">
        <v>81.036876819140701</v>
      </c>
      <c r="C23" s="3">
        <v>80.931427408688577</v>
      </c>
      <c r="D23" s="3">
        <v>81.153392164577596</v>
      </c>
      <c r="E23" s="3">
        <v>57.491709375942115</v>
      </c>
      <c r="F23" s="3">
        <v>61.883585334519218</v>
      </c>
      <c r="G23" s="3">
        <v>52.948993151385061</v>
      </c>
    </row>
    <row r="24" spans="1:7" x14ac:dyDescent="0.25">
      <c r="A24">
        <v>2018</v>
      </c>
      <c r="B24" s="3">
        <v>81.101020054864563</v>
      </c>
      <c r="C24" s="3">
        <v>81.035707039967548</v>
      </c>
      <c r="D24" s="3">
        <v>81.173237619875493</v>
      </c>
      <c r="E24" s="3">
        <v>58.324627220058886</v>
      </c>
      <c r="F24" s="3">
        <v>62.381041239037138</v>
      </c>
      <c r="G24" s="3">
        <v>54.119922630560922</v>
      </c>
    </row>
    <row r="25" spans="1:7" x14ac:dyDescent="0.25">
      <c r="A25">
        <v>2019</v>
      </c>
      <c r="B25" s="3">
        <v>81.445175001660346</v>
      </c>
      <c r="C25" s="3">
        <v>80.970205877889626</v>
      </c>
      <c r="D25" s="3">
        <v>81.970515008252448</v>
      </c>
      <c r="E25" s="3">
        <v>60.204728689192862</v>
      </c>
      <c r="F25" s="3">
        <v>63.366511054346866</v>
      </c>
      <c r="G25" s="3">
        <v>56.857808857808855</v>
      </c>
    </row>
    <row r="26" spans="1:7" x14ac:dyDescent="0.25">
      <c r="A26">
        <v>2020</v>
      </c>
      <c r="B26" s="3">
        <v>80.421746554942217</v>
      </c>
      <c r="C26" s="3">
        <v>79.731736165286762</v>
      </c>
      <c r="D26" s="3">
        <v>81.187510473105064</v>
      </c>
      <c r="E26" s="3">
        <v>59.395884628913123</v>
      </c>
      <c r="F26" s="3">
        <v>62.442040185471406</v>
      </c>
      <c r="G26" s="3">
        <v>56.199315191926466</v>
      </c>
    </row>
    <row r="27" spans="1:7" x14ac:dyDescent="0.25">
      <c r="A27">
        <v>2021</v>
      </c>
      <c r="B27" s="3">
        <v>81.163298453018086</v>
      </c>
      <c r="C27" s="3">
        <v>80.672864996326595</v>
      </c>
      <c r="D27" s="3">
        <v>81.70646165932493</v>
      </c>
      <c r="E27" s="3">
        <v>61.873238233535488</v>
      </c>
      <c r="F27" s="3">
        <v>65.095913261050882</v>
      </c>
      <c r="G27" s="3">
        <v>58.490896358543424</v>
      </c>
    </row>
    <row r="28" spans="1:7" x14ac:dyDescent="0.25">
      <c r="A28">
        <v>2022</v>
      </c>
      <c r="B28" s="3">
        <v>82.011623422393043</v>
      </c>
      <c r="C28" s="3">
        <v>81.758603238866399</v>
      </c>
      <c r="D28" s="3">
        <v>82.291929470467863</v>
      </c>
      <c r="E28" s="3">
        <v>64.067373674360567</v>
      </c>
      <c r="F28" s="3">
        <v>66.764013953111061</v>
      </c>
      <c r="G28" s="3">
        <v>61.230585424133807</v>
      </c>
    </row>
    <row r="29" spans="1:7" x14ac:dyDescent="0.25">
      <c r="A29">
        <v>2023</v>
      </c>
      <c r="B29" s="3">
        <v>81.962573563446412</v>
      </c>
      <c r="C29" s="3">
        <v>81.799431546645877</v>
      </c>
      <c r="D29" s="3">
        <v>82.143454738133741</v>
      </c>
      <c r="E29" s="3">
        <v>66.146091555114864</v>
      </c>
      <c r="F29" s="3">
        <v>69.192495921696576</v>
      </c>
      <c r="G29" s="3">
        <v>63.019089082384461</v>
      </c>
    </row>
    <row r="30" spans="1:7" x14ac:dyDescent="0.25">
      <c r="A30">
        <v>2024</v>
      </c>
      <c r="B30" s="3">
        <v>81.094769522205851</v>
      </c>
      <c r="C30" s="3">
        <v>81.09140859140858</v>
      </c>
      <c r="D30" s="3">
        <v>81.09851011785635</v>
      </c>
      <c r="E30" s="3">
        <v>66.093345921760189</v>
      </c>
      <c r="F30" s="3">
        <v>69.13388402715303</v>
      </c>
      <c r="G30" s="3">
        <v>63.029503873413553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426D-022F-4F02-96F1-415E64A07B5F}">
  <dimension ref="A1:P121"/>
  <sheetViews>
    <sheetView workbookViewId="0"/>
  </sheetViews>
  <sheetFormatPr defaultRowHeight="15" x14ac:dyDescent="0.25"/>
  <cols>
    <col min="1" max="1" width="16.7109375" bestFit="1" customWidth="1"/>
  </cols>
  <sheetData>
    <row r="1" spans="1:16" x14ac:dyDescent="0.25">
      <c r="A1" s="4" t="s">
        <v>121</v>
      </c>
      <c r="B1" s="4" t="s">
        <v>22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2</v>
      </c>
    </row>
    <row r="2" spans="1:16" x14ac:dyDescent="0.25">
      <c r="A2" t="s">
        <v>119</v>
      </c>
      <c r="B2" t="s">
        <v>0</v>
      </c>
      <c r="C2">
        <v>2005</v>
      </c>
      <c r="D2">
        <v>88</v>
      </c>
      <c r="E2">
        <v>401</v>
      </c>
      <c r="F2">
        <v>712</v>
      </c>
      <c r="G2">
        <v>1070</v>
      </c>
      <c r="H2">
        <v>1239</v>
      </c>
      <c r="I2">
        <v>1162</v>
      </c>
      <c r="J2">
        <v>1031</v>
      </c>
      <c r="K2">
        <v>964</v>
      </c>
      <c r="L2">
        <v>937</v>
      </c>
      <c r="M2">
        <v>631</v>
      </c>
      <c r="N2">
        <v>103</v>
      </c>
      <c r="O2">
        <v>17</v>
      </c>
      <c r="P2">
        <v>8355</v>
      </c>
    </row>
    <row r="3" spans="1:16" x14ac:dyDescent="0.25">
      <c r="A3" t="s">
        <v>119</v>
      </c>
      <c r="B3" t="s">
        <v>0</v>
      </c>
      <c r="C3">
        <v>2006</v>
      </c>
      <c r="D3">
        <v>81</v>
      </c>
      <c r="E3">
        <v>436</v>
      </c>
      <c r="F3">
        <v>724</v>
      </c>
      <c r="G3">
        <v>1025</v>
      </c>
      <c r="H3">
        <v>1252</v>
      </c>
      <c r="I3">
        <v>1206</v>
      </c>
      <c r="J3">
        <v>979</v>
      </c>
      <c r="K3">
        <v>942</v>
      </c>
      <c r="L3">
        <v>957</v>
      </c>
      <c r="M3">
        <v>718</v>
      </c>
      <c r="N3">
        <v>102</v>
      </c>
      <c r="O3">
        <v>17</v>
      </c>
      <c r="P3">
        <v>8439</v>
      </c>
    </row>
    <row r="4" spans="1:16" x14ac:dyDescent="0.25">
      <c r="A4" t="s">
        <v>119</v>
      </c>
      <c r="B4" t="s">
        <v>0</v>
      </c>
      <c r="C4">
        <v>2007</v>
      </c>
      <c r="D4">
        <v>105</v>
      </c>
      <c r="E4">
        <v>485</v>
      </c>
      <c r="F4">
        <v>785</v>
      </c>
      <c r="G4">
        <v>1118</v>
      </c>
      <c r="H4">
        <v>1186</v>
      </c>
      <c r="I4">
        <v>1295</v>
      </c>
      <c r="J4">
        <v>1015</v>
      </c>
      <c r="K4">
        <v>948</v>
      </c>
      <c r="L4">
        <v>952</v>
      </c>
      <c r="M4">
        <v>784</v>
      </c>
      <c r="N4">
        <v>122</v>
      </c>
      <c r="O4">
        <v>23</v>
      </c>
      <c r="P4">
        <v>8818</v>
      </c>
    </row>
    <row r="5" spans="1:16" x14ac:dyDescent="0.25">
      <c r="A5" t="s">
        <v>119</v>
      </c>
      <c r="B5" t="s">
        <v>0</v>
      </c>
      <c r="C5">
        <v>2008</v>
      </c>
      <c r="D5">
        <v>123</v>
      </c>
      <c r="E5">
        <v>553</v>
      </c>
      <c r="F5">
        <v>805</v>
      </c>
      <c r="G5">
        <v>1076</v>
      </c>
      <c r="H5">
        <v>1215</v>
      </c>
      <c r="I5">
        <v>1341</v>
      </c>
      <c r="J5">
        <v>1061</v>
      </c>
      <c r="K5">
        <v>978</v>
      </c>
      <c r="L5">
        <v>964</v>
      </c>
      <c r="M5">
        <v>824</v>
      </c>
      <c r="N5">
        <v>159</v>
      </c>
      <c r="O5">
        <v>12</v>
      </c>
      <c r="P5">
        <v>9111</v>
      </c>
    </row>
    <row r="6" spans="1:16" x14ac:dyDescent="0.25">
      <c r="A6" t="s">
        <v>119</v>
      </c>
      <c r="B6" t="s">
        <v>0</v>
      </c>
      <c r="C6">
        <v>2009</v>
      </c>
      <c r="D6">
        <v>93</v>
      </c>
      <c r="E6">
        <v>488</v>
      </c>
      <c r="F6">
        <v>741</v>
      </c>
      <c r="G6">
        <v>1034</v>
      </c>
      <c r="H6">
        <v>1239</v>
      </c>
      <c r="I6">
        <v>1343</v>
      </c>
      <c r="J6">
        <v>1115</v>
      </c>
      <c r="K6">
        <v>1032</v>
      </c>
      <c r="L6">
        <v>934</v>
      </c>
      <c r="M6">
        <v>820</v>
      </c>
      <c r="N6">
        <v>187</v>
      </c>
      <c r="O6">
        <v>27</v>
      </c>
      <c r="P6">
        <v>9053</v>
      </c>
    </row>
    <row r="7" spans="1:16" x14ac:dyDescent="0.25">
      <c r="A7" t="s">
        <v>119</v>
      </c>
      <c r="B7" t="s">
        <v>0</v>
      </c>
      <c r="C7">
        <v>2010</v>
      </c>
      <c r="D7">
        <v>119</v>
      </c>
      <c r="E7">
        <v>663</v>
      </c>
      <c r="F7">
        <v>823</v>
      </c>
      <c r="G7">
        <v>1098</v>
      </c>
      <c r="H7">
        <v>1259</v>
      </c>
      <c r="I7">
        <v>1314</v>
      </c>
      <c r="J7">
        <v>1188</v>
      </c>
      <c r="K7">
        <v>1051</v>
      </c>
      <c r="L7">
        <v>917</v>
      </c>
      <c r="M7">
        <v>827</v>
      </c>
      <c r="N7">
        <v>204</v>
      </c>
      <c r="O7">
        <v>27</v>
      </c>
      <c r="P7">
        <v>9490</v>
      </c>
    </row>
    <row r="8" spans="1:16" x14ac:dyDescent="0.25">
      <c r="A8" t="s">
        <v>119</v>
      </c>
      <c r="B8" t="s">
        <v>0</v>
      </c>
      <c r="C8">
        <v>2011</v>
      </c>
      <c r="D8">
        <v>154</v>
      </c>
      <c r="E8">
        <v>708</v>
      </c>
      <c r="F8">
        <v>820</v>
      </c>
      <c r="G8">
        <v>1080</v>
      </c>
      <c r="H8">
        <v>1278</v>
      </c>
      <c r="I8">
        <v>1350</v>
      </c>
      <c r="J8">
        <v>1312</v>
      </c>
      <c r="K8">
        <v>1070</v>
      </c>
      <c r="L8">
        <v>935</v>
      </c>
      <c r="M8">
        <v>820</v>
      </c>
      <c r="N8">
        <v>233</v>
      </c>
      <c r="O8">
        <v>34</v>
      </c>
      <c r="P8">
        <v>9794</v>
      </c>
    </row>
    <row r="9" spans="1:16" x14ac:dyDescent="0.25">
      <c r="A9" t="s">
        <v>119</v>
      </c>
      <c r="B9" t="s">
        <v>0</v>
      </c>
      <c r="C9">
        <v>2012</v>
      </c>
      <c r="D9">
        <v>147</v>
      </c>
      <c r="E9">
        <v>776</v>
      </c>
      <c r="F9">
        <v>875</v>
      </c>
      <c r="G9">
        <v>1039</v>
      </c>
      <c r="H9">
        <v>1275</v>
      </c>
      <c r="I9">
        <v>1321</v>
      </c>
      <c r="J9">
        <v>1398</v>
      </c>
      <c r="K9">
        <v>1090</v>
      </c>
      <c r="L9">
        <v>969</v>
      </c>
      <c r="M9">
        <v>847</v>
      </c>
      <c r="N9">
        <v>229</v>
      </c>
      <c r="O9">
        <v>50</v>
      </c>
      <c r="P9">
        <v>10016</v>
      </c>
    </row>
    <row r="10" spans="1:16" x14ac:dyDescent="0.25">
      <c r="A10" t="s">
        <v>119</v>
      </c>
      <c r="B10" t="s">
        <v>0</v>
      </c>
      <c r="C10">
        <v>2013</v>
      </c>
      <c r="D10">
        <v>153</v>
      </c>
      <c r="E10">
        <v>808</v>
      </c>
      <c r="F10">
        <v>955</v>
      </c>
      <c r="G10">
        <v>1054</v>
      </c>
      <c r="H10">
        <v>1237</v>
      </c>
      <c r="I10">
        <v>1359</v>
      </c>
      <c r="J10">
        <v>1449</v>
      </c>
      <c r="K10">
        <v>1119</v>
      </c>
      <c r="L10">
        <v>993</v>
      </c>
      <c r="M10">
        <v>829</v>
      </c>
      <c r="N10">
        <v>268</v>
      </c>
      <c r="O10">
        <v>56</v>
      </c>
      <c r="P10">
        <v>10280</v>
      </c>
    </row>
    <row r="11" spans="1:16" x14ac:dyDescent="0.25">
      <c r="A11" t="s">
        <v>119</v>
      </c>
      <c r="B11" t="s">
        <v>0</v>
      </c>
      <c r="C11">
        <v>2014</v>
      </c>
      <c r="D11">
        <v>123</v>
      </c>
      <c r="E11">
        <v>886</v>
      </c>
      <c r="F11">
        <v>1050</v>
      </c>
      <c r="G11">
        <v>1074</v>
      </c>
      <c r="H11">
        <v>1269</v>
      </c>
      <c r="I11">
        <v>1389</v>
      </c>
      <c r="J11">
        <v>1499</v>
      </c>
      <c r="K11">
        <v>1210</v>
      </c>
      <c r="L11">
        <v>1062</v>
      </c>
      <c r="M11">
        <v>801</v>
      </c>
      <c r="N11">
        <v>264</v>
      </c>
      <c r="O11">
        <v>65</v>
      </c>
      <c r="P11">
        <v>10692</v>
      </c>
    </row>
    <row r="12" spans="1:16" x14ac:dyDescent="0.25">
      <c r="A12" t="s">
        <v>119</v>
      </c>
      <c r="B12" t="s">
        <v>0</v>
      </c>
      <c r="C12">
        <v>2015</v>
      </c>
      <c r="D12">
        <v>102</v>
      </c>
      <c r="E12">
        <v>888</v>
      </c>
      <c r="F12">
        <v>1132</v>
      </c>
      <c r="G12">
        <v>1108</v>
      </c>
      <c r="H12">
        <v>1235</v>
      </c>
      <c r="I12">
        <v>1395</v>
      </c>
      <c r="J12">
        <v>1431</v>
      </c>
      <c r="K12">
        <v>1277</v>
      </c>
      <c r="L12">
        <v>1083</v>
      </c>
      <c r="M12">
        <v>807</v>
      </c>
      <c r="N12">
        <v>259</v>
      </c>
      <c r="O12">
        <v>69</v>
      </c>
      <c r="P12">
        <v>10786</v>
      </c>
    </row>
    <row r="13" spans="1:16" x14ac:dyDescent="0.25">
      <c r="A13" t="s">
        <v>119</v>
      </c>
      <c r="B13" t="s">
        <v>0</v>
      </c>
      <c r="C13">
        <v>2016</v>
      </c>
      <c r="D13">
        <v>150</v>
      </c>
      <c r="E13">
        <v>820</v>
      </c>
      <c r="F13">
        <v>1260</v>
      </c>
      <c r="G13">
        <v>1166</v>
      </c>
      <c r="H13">
        <v>1218</v>
      </c>
      <c r="I13">
        <v>1415</v>
      </c>
      <c r="J13">
        <v>1363</v>
      </c>
      <c r="K13">
        <v>1355</v>
      </c>
      <c r="L13">
        <v>1086</v>
      </c>
      <c r="M13">
        <v>822</v>
      </c>
      <c r="N13">
        <v>270</v>
      </c>
      <c r="O13">
        <v>71</v>
      </c>
      <c r="P13">
        <v>10996</v>
      </c>
    </row>
    <row r="14" spans="1:16" x14ac:dyDescent="0.25">
      <c r="A14" t="s">
        <v>119</v>
      </c>
      <c r="B14" t="s">
        <v>0</v>
      </c>
      <c r="C14">
        <v>2017</v>
      </c>
      <c r="D14">
        <v>141</v>
      </c>
      <c r="E14">
        <v>861</v>
      </c>
      <c r="F14">
        <v>1241</v>
      </c>
      <c r="G14">
        <v>1238</v>
      </c>
      <c r="H14">
        <v>1239</v>
      </c>
      <c r="I14">
        <v>1334</v>
      </c>
      <c r="J14">
        <v>1380</v>
      </c>
      <c r="K14">
        <v>1445</v>
      </c>
      <c r="L14">
        <v>1080</v>
      </c>
      <c r="M14">
        <v>850</v>
      </c>
      <c r="N14">
        <v>288</v>
      </c>
      <c r="O14">
        <v>81</v>
      </c>
      <c r="P14">
        <v>11178</v>
      </c>
    </row>
    <row r="15" spans="1:16" x14ac:dyDescent="0.25">
      <c r="A15" t="s">
        <v>119</v>
      </c>
      <c r="B15" t="s">
        <v>0</v>
      </c>
      <c r="C15">
        <v>2018</v>
      </c>
      <c r="D15">
        <v>165</v>
      </c>
      <c r="E15">
        <v>787</v>
      </c>
      <c r="F15">
        <v>1341</v>
      </c>
      <c r="G15">
        <v>1340</v>
      </c>
      <c r="H15">
        <v>1266</v>
      </c>
      <c r="I15">
        <v>1355</v>
      </c>
      <c r="J15">
        <v>1425</v>
      </c>
      <c r="K15">
        <v>1467</v>
      </c>
      <c r="L15">
        <v>1109</v>
      </c>
      <c r="M15">
        <v>913</v>
      </c>
      <c r="N15">
        <v>297</v>
      </c>
      <c r="O15">
        <v>98</v>
      </c>
      <c r="P15">
        <v>11563</v>
      </c>
    </row>
    <row r="16" spans="1:16" x14ac:dyDescent="0.25">
      <c r="A16" t="s">
        <v>119</v>
      </c>
      <c r="B16" t="s">
        <v>0</v>
      </c>
      <c r="C16">
        <v>2019</v>
      </c>
      <c r="D16">
        <v>244</v>
      </c>
      <c r="E16">
        <v>771</v>
      </c>
      <c r="F16">
        <v>1426</v>
      </c>
      <c r="G16">
        <v>1382</v>
      </c>
      <c r="H16">
        <v>1291</v>
      </c>
      <c r="I16">
        <v>1359</v>
      </c>
      <c r="J16">
        <v>1489</v>
      </c>
      <c r="K16">
        <v>1492</v>
      </c>
      <c r="L16">
        <v>1182</v>
      </c>
      <c r="M16">
        <v>909</v>
      </c>
      <c r="N16">
        <v>277</v>
      </c>
      <c r="O16">
        <v>111</v>
      </c>
      <c r="P16">
        <v>11933</v>
      </c>
    </row>
    <row r="17" spans="1:16" x14ac:dyDescent="0.25">
      <c r="A17" t="s">
        <v>119</v>
      </c>
      <c r="B17" t="s">
        <v>0</v>
      </c>
      <c r="C17">
        <v>2020</v>
      </c>
      <c r="D17">
        <v>177</v>
      </c>
      <c r="E17">
        <v>836</v>
      </c>
      <c r="F17">
        <v>1412</v>
      </c>
      <c r="G17">
        <v>1559</v>
      </c>
      <c r="H17">
        <v>1340</v>
      </c>
      <c r="I17">
        <v>1324</v>
      </c>
      <c r="J17">
        <v>1498</v>
      </c>
      <c r="K17">
        <v>1466</v>
      </c>
      <c r="L17">
        <v>1283</v>
      </c>
      <c r="M17">
        <v>907</v>
      </c>
      <c r="N17">
        <v>273</v>
      </c>
      <c r="O17">
        <v>90</v>
      </c>
      <c r="P17">
        <v>12165</v>
      </c>
    </row>
    <row r="18" spans="1:16" x14ac:dyDescent="0.25">
      <c r="A18" t="s">
        <v>119</v>
      </c>
      <c r="B18" t="s">
        <v>0</v>
      </c>
      <c r="C18">
        <v>2021</v>
      </c>
      <c r="D18">
        <v>176</v>
      </c>
      <c r="E18">
        <v>835</v>
      </c>
      <c r="F18">
        <v>1351</v>
      </c>
      <c r="G18">
        <v>1716</v>
      </c>
      <c r="H18">
        <v>1466</v>
      </c>
      <c r="I18">
        <v>1382</v>
      </c>
      <c r="J18">
        <v>1493</v>
      </c>
      <c r="K18">
        <v>1463</v>
      </c>
      <c r="L18">
        <v>1430</v>
      </c>
      <c r="M18">
        <v>911</v>
      </c>
      <c r="N18">
        <v>288</v>
      </c>
      <c r="O18">
        <v>95</v>
      </c>
      <c r="P18">
        <v>12606</v>
      </c>
    </row>
    <row r="19" spans="1:16" x14ac:dyDescent="0.25">
      <c r="A19" t="s">
        <v>119</v>
      </c>
      <c r="B19" t="s">
        <v>0</v>
      </c>
      <c r="C19">
        <v>2022</v>
      </c>
      <c r="D19">
        <v>229</v>
      </c>
      <c r="E19">
        <v>937</v>
      </c>
      <c r="F19">
        <v>1411</v>
      </c>
      <c r="G19">
        <v>1771</v>
      </c>
      <c r="H19">
        <v>1541</v>
      </c>
      <c r="I19">
        <v>1439</v>
      </c>
      <c r="J19">
        <v>1518</v>
      </c>
      <c r="K19">
        <v>1410</v>
      </c>
      <c r="L19">
        <v>1488</v>
      </c>
      <c r="M19">
        <v>930</v>
      </c>
      <c r="N19">
        <v>315</v>
      </c>
      <c r="O19">
        <v>111</v>
      </c>
      <c r="P19">
        <v>13100</v>
      </c>
    </row>
    <row r="20" spans="1:16" x14ac:dyDescent="0.25">
      <c r="A20" t="s">
        <v>119</v>
      </c>
      <c r="B20" t="s">
        <v>0</v>
      </c>
      <c r="C20">
        <v>2023</v>
      </c>
      <c r="D20">
        <v>219</v>
      </c>
      <c r="E20">
        <v>931</v>
      </c>
      <c r="F20">
        <v>1320</v>
      </c>
      <c r="G20">
        <v>1843</v>
      </c>
      <c r="H20">
        <v>1599</v>
      </c>
      <c r="I20">
        <v>1424</v>
      </c>
      <c r="J20">
        <v>1483</v>
      </c>
      <c r="K20">
        <v>1433</v>
      </c>
      <c r="L20">
        <v>1521</v>
      </c>
      <c r="M20">
        <v>985</v>
      </c>
      <c r="N20">
        <v>342</v>
      </c>
      <c r="O20">
        <v>130</v>
      </c>
      <c r="P20">
        <v>13230</v>
      </c>
    </row>
    <row r="21" spans="1:16" x14ac:dyDescent="0.25">
      <c r="A21" t="s">
        <v>119</v>
      </c>
      <c r="B21" t="s">
        <v>0</v>
      </c>
      <c r="C21">
        <v>2024</v>
      </c>
      <c r="D21">
        <v>179</v>
      </c>
      <c r="E21">
        <v>735</v>
      </c>
      <c r="F21">
        <v>1211</v>
      </c>
      <c r="G21">
        <v>1785</v>
      </c>
      <c r="H21">
        <v>1655</v>
      </c>
      <c r="I21">
        <v>1352</v>
      </c>
      <c r="J21">
        <v>1434</v>
      </c>
      <c r="K21">
        <v>1500</v>
      </c>
      <c r="L21">
        <v>1485</v>
      </c>
      <c r="M21">
        <v>1075</v>
      </c>
      <c r="N21">
        <v>392</v>
      </c>
      <c r="O21">
        <v>142</v>
      </c>
      <c r="P21">
        <v>12945</v>
      </c>
    </row>
    <row r="22" spans="1:16" x14ac:dyDescent="0.25">
      <c r="A22" t="s">
        <v>119</v>
      </c>
      <c r="B22" t="s">
        <v>1</v>
      </c>
      <c r="C22">
        <v>2005</v>
      </c>
      <c r="D22">
        <v>116</v>
      </c>
      <c r="E22">
        <v>449</v>
      </c>
      <c r="F22">
        <v>717</v>
      </c>
      <c r="G22">
        <v>828</v>
      </c>
      <c r="H22">
        <v>873</v>
      </c>
      <c r="I22">
        <v>781</v>
      </c>
      <c r="J22">
        <v>670</v>
      </c>
      <c r="K22">
        <v>693</v>
      </c>
      <c r="L22">
        <v>630</v>
      </c>
      <c r="M22">
        <v>357</v>
      </c>
      <c r="N22">
        <v>49</v>
      </c>
      <c r="O22">
        <v>8</v>
      </c>
      <c r="P22">
        <v>6171</v>
      </c>
    </row>
    <row r="23" spans="1:16" x14ac:dyDescent="0.25">
      <c r="A23" t="s">
        <v>119</v>
      </c>
      <c r="B23" t="s">
        <v>1</v>
      </c>
      <c r="C23">
        <v>2006</v>
      </c>
      <c r="D23">
        <v>124</v>
      </c>
      <c r="E23">
        <v>515</v>
      </c>
      <c r="F23">
        <v>668</v>
      </c>
      <c r="G23">
        <v>905</v>
      </c>
      <c r="H23">
        <v>871</v>
      </c>
      <c r="I23">
        <v>839</v>
      </c>
      <c r="J23">
        <v>681</v>
      </c>
      <c r="K23">
        <v>668</v>
      </c>
      <c r="L23">
        <v>624</v>
      </c>
      <c r="M23">
        <v>411</v>
      </c>
      <c r="N23">
        <v>52</v>
      </c>
      <c r="O23">
        <v>6</v>
      </c>
      <c r="P23">
        <v>6364</v>
      </c>
    </row>
    <row r="24" spans="1:16" x14ac:dyDescent="0.25">
      <c r="A24" t="s">
        <v>119</v>
      </c>
      <c r="B24" t="s">
        <v>1</v>
      </c>
      <c r="C24">
        <v>2007</v>
      </c>
      <c r="D24">
        <v>104</v>
      </c>
      <c r="E24">
        <v>569</v>
      </c>
      <c r="F24">
        <v>687</v>
      </c>
      <c r="G24">
        <v>931</v>
      </c>
      <c r="H24">
        <v>927</v>
      </c>
      <c r="I24">
        <v>866</v>
      </c>
      <c r="J24">
        <v>752</v>
      </c>
      <c r="K24">
        <v>673</v>
      </c>
      <c r="L24">
        <v>650</v>
      </c>
      <c r="M24">
        <v>476</v>
      </c>
      <c r="N24">
        <v>62</v>
      </c>
      <c r="O24">
        <v>9</v>
      </c>
      <c r="P24">
        <v>6706</v>
      </c>
    </row>
    <row r="25" spans="1:16" x14ac:dyDescent="0.25">
      <c r="A25" t="s">
        <v>119</v>
      </c>
      <c r="B25" t="s">
        <v>1</v>
      </c>
      <c r="C25">
        <v>2008</v>
      </c>
      <c r="D25">
        <v>131</v>
      </c>
      <c r="E25">
        <v>563</v>
      </c>
      <c r="F25">
        <v>713</v>
      </c>
      <c r="G25">
        <v>956</v>
      </c>
      <c r="H25">
        <v>919</v>
      </c>
      <c r="I25">
        <v>962</v>
      </c>
      <c r="J25">
        <v>775</v>
      </c>
      <c r="K25">
        <v>693</v>
      </c>
      <c r="L25">
        <v>680</v>
      </c>
      <c r="M25">
        <v>529</v>
      </c>
      <c r="N25">
        <v>80</v>
      </c>
      <c r="O25">
        <v>5</v>
      </c>
      <c r="P25">
        <v>7006</v>
      </c>
    </row>
    <row r="26" spans="1:16" x14ac:dyDescent="0.25">
      <c r="A26" t="s">
        <v>119</v>
      </c>
      <c r="B26" t="s">
        <v>1</v>
      </c>
      <c r="C26">
        <v>2009</v>
      </c>
      <c r="D26">
        <v>119</v>
      </c>
      <c r="E26">
        <v>557</v>
      </c>
      <c r="F26">
        <v>705</v>
      </c>
      <c r="G26">
        <v>872</v>
      </c>
      <c r="H26">
        <v>965</v>
      </c>
      <c r="I26">
        <v>991</v>
      </c>
      <c r="J26">
        <v>838</v>
      </c>
      <c r="K26">
        <v>721</v>
      </c>
      <c r="L26">
        <v>678</v>
      </c>
      <c r="M26">
        <v>565</v>
      </c>
      <c r="N26">
        <v>121</v>
      </c>
      <c r="O26">
        <v>5</v>
      </c>
      <c r="P26">
        <v>7137</v>
      </c>
    </row>
    <row r="27" spans="1:16" x14ac:dyDescent="0.25">
      <c r="A27" t="s">
        <v>119</v>
      </c>
      <c r="B27" t="s">
        <v>1</v>
      </c>
      <c r="C27">
        <v>2010</v>
      </c>
      <c r="D27">
        <v>133</v>
      </c>
      <c r="E27">
        <v>589</v>
      </c>
      <c r="F27">
        <v>719</v>
      </c>
      <c r="G27">
        <v>862</v>
      </c>
      <c r="H27">
        <v>938</v>
      </c>
      <c r="I27">
        <v>963</v>
      </c>
      <c r="J27">
        <v>891</v>
      </c>
      <c r="K27">
        <v>687</v>
      </c>
      <c r="L27">
        <v>685</v>
      </c>
      <c r="M27">
        <v>552</v>
      </c>
      <c r="N27">
        <v>89</v>
      </c>
      <c r="O27">
        <v>7</v>
      </c>
      <c r="P27">
        <v>7115</v>
      </c>
    </row>
    <row r="28" spans="1:16" x14ac:dyDescent="0.25">
      <c r="A28" t="s">
        <v>119</v>
      </c>
      <c r="B28" t="s">
        <v>1</v>
      </c>
      <c r="C28">
        <v>2011</v>
      </c>
      <c r="D28">
        <v>131</v>
      </c>
      <c r="E28">
        <v>544</v>
      </c>
      <c r="F28">
        <v>766</v>
      </c>
      <c r="G28">
        <v>831</v>
      </c>
      <c r="H28">
        <v>967</v>
      </c>
      <c r="I28">
        <v>930</v>
      </c>
      <c r="J28">
        <v>921</v>
      </c>
      <c r="K28">
        <v>723</v>
      </c>
      <c r="L28">
        <v>664</v>
      </c>
      <c r="M28">
        <v>538</v>
      </c>
      <c r="N28">
        <v>94</v>
      </c>
      <c r="O28">
        <v>8</v>
      </c>
      <c r="P28">
        <v>7117</v>
      </c>
    </row>
    <row r="29" spans="1:16" x14ac:dyDescent="0.25">
      <c r="A29" t="s">
        <v>119</v>
      </c>
      <c r="B29" t="s">
        <v>1</v>
      </c>
      <c r="C29">
        <v>2012</v>
      </c>
      <c r="D29">
        <v>128</v>
      </c>
      <c r="E29">
        <v>628</v>
      </c>
      <c r="F29">
        <v>828</v>
      </c>
      <c r="G29">
        <v>835</v>
      </c>
      <c r="H29">
        <v>934</v>
      </c>
      <c r="I29">
        <v>970</v>
      </c>
      <c r="J29">
        <v>939</v>
      </c>
      <c r="K29">
        <v>777</v>
      </c>
      <c r="L29">
        <v>693</v>
      </c>
      <c r="M29">
        <v>536</v>
      </c>
      <c r="N29">
        <v>113</v>
      </c>
      <c r="O29">
        <v>16</v>
      </c>
      <c r="P29">
        <v>7397</v>
      </c>
    </row>
    <row r="30" spans="1:16" x14ac:dyDescent="0.25">
      <c r="A30" t="s">
        <v>119</v>
      </c>
      <c r="B30" t="s">
        <v>1</v>
      </c>
      <c r="C30">
        <v>2013</v>
      </c>
      <c r="D30">
        <v>121</v>
      </c>
      <c r="E30">
        <v>674</v>
      </c>
      <c r="F30">
        <v>812</v>
      </c>
      <c r="G30">
        <v>826</v>
      </c>
      <c r="H30">
        <v>965</v>
      </c>
      <c r="I30">
        <v>954</v>
      </c>
      <c r="J30">
        <v>978</v>
      </c>
      <c r="K30">
        <v>781</v>
      </c>
      <c r="L30">
        <v>707</v>
      </c>
      <c r="M30">
        <v>567</v>
      </c>
      <c r="N30">
        <v>123</v>
      </c>
      <c r="O30">
        <v>20</v>
      </c>
      <c r="P30">
        <v>7528</v>
      </c>
    </row>
    <row r="31" spans="1:16" x14ac:dyDescent="0.25">
      <c r="A31" t="s">
        <v>119</v>
      </c>
      <c r="B31" t="s">
        <v>1</v>
      </c>
      <c r="C31">
        <v>2014</v>
      </c>
      <c r="D31">
        <v>109</v>
      </c>
      <c r="E31">
        <v>699</v>
      </c>
      <c r="F31">
        <v>847</v>
      </c>
      <c r="G31">
        <v>872</v>
      </c>
      <c r="H31">
        <v>951</v>
      </c>
      <c r="I31">
        <v>1052</v>
      </c>
      <c r="J31">
        <v>1016</v>
      </c>
      <c r="K31">
        <v>863</v>
      </c>
      <c r="L31">
        <v>710</v>
      </c>
      <c r="M31">
        <v>587</v>
      </c>
      <c r="N31">
        <v>156</v>
      </c>
      <c r="O31">
        <v>11</v>
      </c>
      <c r="P31">
        <v>7873</v>
      </c>
    </row>
    <row r="32" spans="1:16" x14ac:dyDescent="0.25">
      <c r="A32" t="s">
        <v>119</v>
      </c>
      <c r="B32" t="s">
        <v>1</v>
      </c>
      <c r="C32">
        <v>2015</v>
      </c>
      <c r="D32">
        <v>121</v>
      </c>
      <c r="E32">
        <v>764</v>
      </c>
      <c r="F32">
        <v>929</v>
      </c>
      <c r="G32">
        <v>902</v>
      </c>
      <c r="H32">
        <v>958</v>
      </c>
      <c r="I32">
        <v>1053</v>
      </c>
      <c r="J32">
        <v>1002</v>
      </c>
      <c r="K32">
        <v>940</v>
      </c>
      <c r="L32">
        <v>710</v>
      </c>
      <c r="M32">
        <v>579</v>
      </c>
      <c r="N32">
        <v>158</v>
      </c>
      <c r="O32">
        <v>21</v>
      </c>
      <c r="P32">
        <v>8137</v>
      </c>
    </row>
    <row r="33" spans="1:16" x14ac:dyDescent="0.25">
      <c r="A33" t="s">
        <v>119</v>
      </c>
      <c r="B33" t="s">
        <v>1</v>
      </c>
      <c r="C33">
        <v>2016</v>
      </c>
      <c r="D33">
        <v>144</v>
      </c>
      <c r="E33">
        <v>744</v>
      </c>
      <c r="F33">
        <v>968</v>
      </c>
      <c r="G33">
        <v>919</v>
      </c>
      <c r="H33">
        <v>989</v>
      </c>
      <c r="I33">
        <v>1011</v>
      </c>
      <c r="J33">
        <v>1010</v>
      </c>
      <c r="K33">
        <v>1001</v>
      </c>
      <c r="L33">
        <v>737</v>
      </c>
      <c r="M33">
        <v>584</v>
      </c>
      <c r="N33">
        <v>146</v>
      </c>
      <c r="O33">
        <v>22</v>
      </c>
      <c r="P33">
        <v>8275</v>
      </c>
    </row>
    <row r="34" spans="1:16" x14ac:dyDescent="0.25">
      <c r="A34" t="s">
        <v>119</v>
      </c>
      <c r="B34" t="s">
        <v>1</v>
      </c>
      <c r="C34">
        <v>2017</v>
      </c>
      <c r="D34">
        <v>134</v>
      </c>
      <c r="E34">
        <v>689</v>
      </c>
      <c r="F34">
        <v>1004</v>
      </c>
      <c r="G34">
        <v>946</v>
      </c>
      <c r="H34">
        <v>934</v>
      </c>
      <c r="I34">
        <v>1044</v>
      </c>
      <c r="J34">
        <v>1010</v>
      </c>
      <c r="K34">
        <v>1006</v>
      </c>
      <c r="L34">
        <v>793</v>
      </c>
      <c r="M34">
        <v>613</v>
      </c>
      <c r="N34">
        <v>146</v>
      </c>
      <c r="O34">
        <v>37</v>
      </c>
      <c r="P34">
        <v>8356</v>
      </c>
    </row>
    <row r="35" spans="1:16" x14ac:dyDescent="0.25">
      <c r="A35" t="s">
        <v>119</v>
      </c>
      <c r="B35" t="s">
        <v>1</v>
      </c>
      <c r="C35">
        <v>2018</v>
      </c>
      <c r="D35">
        <v>120</v>
      </c>
      <c r="E35">
        <v>618</v>
      </c>
      <c r="F35">
        <v>1079</v>
      </c>
      <c r="G35">
        <v>1025</v>
      </c>
      <c r="H35">
        <v>927</v>
      </c>
      <c r="I35">
        <v>1064</v>
      </c>
      <c r="J35">
        <v>1014</v>
      </c>
      <c r="K35">
        <v>1038</v>
      </c>
      <c r="L35">
        <v>822</v>
      </c>
      <c r="M35">
        <v>655</v>
      </c>
      <c r="N35">
        <v>147</v>
      </c>
      <c r="O35">
        <v>45</v>
      </c>
      <c r="P35">
        <v>8554</v>
      </c>
    </row>
    <row r="36" spans="1:16" x14ac:dyDescent="0.25">
      <c r="A36" t="s">
        <v>119</v>
      </c>
      <c r="B36" t="s">
        <v>1</v>
      </c>
      <c r="C36">
        <v>2019</v>
      </c>
      <c r="D36">
        <v>217</v>
      </c>
      <c r="E36">
        <v>618</v>
      </c>
      <c r="F36">
        <v>1139</v>
      </c>
      <c r="G36">
        <v>1052</v>
      </c>
      <c r="H36">
        <v>978</v>
      </c>
      <c r="I36">
        <v>1060</v>
      </c>
      <c r="J36">
        <v>1084</v>
      </c>
      <c r="K36">
        <v>1088</v>
      </c>
      <c r="L36">
        <v>923</v>
      </c>
      <c r="M36">
        <v>645</v>
      </c>
      <c r="N36">
        <v>222</v>
      </c>
      <c r="O36">
        <v>83</v>
      </c>
      <c r="P36">
        <v>9109</v>
      </c>
    </row>
    <row r="37" spans="1:16" x14ac:dyDescent="0.25">
      <c r="A37" t="s">
        <v>119</v>
      </c>
      <c r="B37" t="s">
        <v>1</v>
      </c>
      <c r="C37">
        <v>2020</v>
      </c>
      <c r="D37">
        <v>177</v>
      </c>
      <c r="E37">
        <v>603</v>
      </c>
      <c r="F37">
        <v>1159</v>
      </c>
      <c r="G37">
        <v>1179</v>
      </c>
      <c r="H37">
        <v>1015</v>
      </c>
      <c r="I37">
        <v>998</v>
      </c>
      <c r="J37">
        <v>1089</v>
      </c>
      <c r="K37">
        <v>1079</v>
      </c>
      <c r="L37">
        <v>952</v>
      </c>
      <c r="M37">
        <v>646</v>
      </c>
      <c r="N37">
        <v>195</v>
      </c>
      <c r="O37">
        <v>47</v>
      </c>
      <c r="P37">
        <v>9139</v>
      </c>
    </row>
    <row r="38" spans="1:16" x14ac:dyDescent="0.25">
      <c r="A38" t="s">
        <v>119</v>
      </c>
      <c r="B38" t="s">
        <v>1</v>
      </c>
      <c r="C38">
        <v>2021</v>
      </c>
      <c r="D38">
        <v>209</v>
      </c>
      <c r="E38">
        <v>623</v>
      </c>
      <c r="F38">
        <v>1151</v>
      </c>
      <c r="G38">
        <v>1344</v>
      </c>
      <c r="H38">
        <v>1097</v>
      </c>
      <c r="I38">
        <v>1059</v>
      </c>
      <c r="J38">
        <v>1124</v>
      </c>
      <c r="K38">
        <v>1124</v>
      </c>
      <c r="L38">
        <v>1060</v>
      </c>
      <c r="M38">
        <v>688</v>
      </c>
      <c r="N38">
        <v>240</v>
      </c>
      <c r="O38">
        <v>92</v>
      </c>
      <c r="P38">
        <v>9811</v>
      </c>
    </row>
    <row r="39" spans="1:16" x14ac:dyDescent="0.25">
      <c r="A39" t="s">
        <v>119</v>
      </c>
      <c r="B39" t="s">
        <v>1</v>
      </c>
      <c r="C39">
        <v>2022</v>
      </c>
      <c r="D39">
        <v>221</v>
      </c>
      <c r="E39">
        <v>659</v>
      </c>
      <c r="F39">
        <v>1170</v>
      </c>
      <c r="G39">
        <v>1448</v>
      </c>
      <c r="H39">
        <v>1172</v>
      </c>
      <c r="I39">
        <v>1076</v>
      </c>
      <c r="J39">
        <v>1159</v>
      </c>
      <c r="K39">
        <v>1113</v>
      </c>
      <c r="L39">
        <v>1090</v>
      </c>
      <c r="M39">
        <v>724</v>
      </c>
      <c r="N39">
        <v>277</v>
      </c>
      <c r="O39">
        <v>95</v>
      </c>
      <c r="P39">
        <v>10204</v>
      </c>
    </row>
    <row r="40" spans="1:16" x14ac:dyDescent="0.25">
      <c r="A40" t="s">
        <v>119</v>
      </c>
      <c r="B40" t="s">
        <v>1</v>
      </c>
      <c r="C40">
        <v>2023</v>
      </c>
      <c r="D40">
        <v>234</v>
      </c>
      <c r="E40">
        <v>676</v>
      </c>
      <c r="F40">
        <v>1103</v>
      </c>
      <c r="G40">
        <v>1492</v>
      </c>
      <c r="H40">
        <v>1272</v>
      </c>
      <c r="I40">
        <v>1097</v>
      </c>
      <c r="J40">
        <v>1189</v>
      </c>
      <c r="K40">
        <v>1076</v>
      </c>
      <c r="L40">
        <v>1115</v>
      </c>
      <c r="M40">
        <v>773</v>
      </c>
      <c r="N40">
        <v>285</v>
      </c>
      <c r="O40">
        <v>99</v>
      </c>
      <c r="P40">
        <v>10411</v>
      </c>
    </row>
    <row r="41" spans="1:16" x14ac:dyDescent="0.25">
      <c r="A41" t="s">
        <v>119</v>
      </c>
      <c r="B41" t="s">
        <v>1</v>
      </c>
      <c r="C41">
        <v>2024</v>
      </c>
      <c r="D41">
        <v>200</v>
      </c>
      <c r="E41">
        <v>580</v>
      </c>
      <c r="F41">
        <v>1026</v>
      </c>
      <c r="G41">
        <v>1478</v>
      </c>
      <c r="H41">
        <v>1284</v>
      </c>
      <c r="I41">
        <v>1102</v>
      </c>
      <c r="J41">
        <v>1142</v>
      </c>
      <c r="K41">
        <v>1111</v>
      </c>
      <c r="L41">
        <v>1079</v>
      </c>
      <c r="M41">
        <v>815</v>
      </c>
      <c r="N41">
        <v>279</v>
      </c>
      <c r="O41">
        <v>103</v>
      </c>
      <c r="P41">
        <v>10199</v>
      </c>
    </row>
    <row r="42" spans="1:16" x14ac:dyDescent="0.25">
      <c r="A42" t="s">
        <v>119</v>
      </c>
      <c r="B42" t="s">
        <v>2</v>
      </c>
      <c r="C42">
        <v>2005</v>
      </c>
      <c r="D42">
        <v>204</v>
      </c>
      <c r="E42">
        <v>850</v>
      </c>
      <c r="F42">
        <v>1429</v>
      </c>
      <c r="G42">
        <v>1898</v>
      </c>
      <c r="H42">
        <v>2112</v>
      </c>
      <c r="I42">
        <v>1943</v>
      </c>
      <c r="J42">
        <v>1701</v>
      </c>
      <c r="K42">
        <v>1657</v>
      </c>
      <c r="L42">
        <v>1567</v>
      </c>
      <c r="M42">
        <v>988</v>
      </c>
      <c r="N42">
        <v>152</v>
      </c>
      <c r="O42">
        <v>25</v>
      </c>
      <c r="P42">
        <v>14526</v>
      </c>
    </row>
    <row r="43" spans="1:16" x14ac:dyDescent="0.25">
      <c r="A43" t="s">
        <v>119</v>
      </c>
      <c r="B43" t="s">
        <v>2</v>
      </c>
      <c r="C43">
        <v>2006</v>
      </c>
      <c r="D43">
        <v>205</v>
      </c>
      <c r="E43">
        <v>951</v>
      </c>
      <c r="F43">
        <v>1392</v>
      </c>
      <c r="G43">
        <v>1930</v>
      </c>
      <c r="H43">
        <v>2123</v>
      </c>
      <c r="I43">
        <v>2045</v>
      </c>
      <c r="J43">
        <v>1660</v>
      </c>
      <c r="K43">
        <v>1610</v>
      </c>
      <c r="L43">
        <v>1581</v>
      </c>
      <c r="M43">
        <v>1129</v>
      </c>
      <c r="N43">
        <v>154</v>
      </c>
      <c r="O43">
        <v>23</v>
      </c>
      <c r="P43">
        <v>14803</v>
      </c>
    </row>
    <row r="44" spans="1:16" x14ac:dyDescent="0.25">
      <c r="A44" t="s">
        <v>119</v>
      </c>
      <c r="B44" t="s">
        <v>2</v>
      </c>
      <c r="C44">
        <v>2007</v>
      </c>
      <c r="D44">
        <v>209</v>
      </c>
      <c r="E44">
        <v>1054</v>
      </c>
      <c r="F44">
        <v>1472</v>
      </c>
      <c r="G44">
        <v>2049</v>
      </c>
      <c r="H44">
        <v>2113</v>
      </c>
      <c r="I44">
        <v>2161</v>
      </c>
      <c r="J44">
        <v>1767</v>
      </c>
      <c r="K44">
        <v>1621</v>
      </c>
      <c r="L44">
        <v>1602</v>
      </c>
      <c r="M44">
        <v>1260</v>
      </c>
      <c r="N44">
        <v>184</v>
      </c>
      <c r="O44">
        <v>32</v>
      </c>
      <c r="P44">
        <v>15524</v>
      </c>
    </row>
    <row r="45" spans="1:16" x14ac:dyDescent="0.25">
      <c r="A45" t="s">
        <v>119</v>
      </c>
      <c r="B45" t="s">
        <v>2</v>
      </c>
      <c r="C45">
        <v>2008</v>
      </c>
      <c r="D45">
        <v>254</v>
      </c>
      <c r="E45">
        <v>1116</v>
      </c>
      <c r="F45">
        <v>1518</v>
      </c>
      <c r="G45">
        <v>2032</v>
      </c>
      <c r="H45">
        <v>2134</v>
      </c>
      <c r="I45">
        <v>2303</v>
      </c>
      <c r="J45">
        <v>1836</v>
      </c>
      <c r="K45">
        <v>1671</v>
      </c>
      <c r="L45">
        <v>1644</v>
      </c>
      <c r="M45">
        <v>1353</v>
      </c>
      <c r="N45">
        <v>239</v>
      </c>
      <c r="O45">
        <v>17</v>
      </c>
      <c r="P45">
        <v>16117</v>
      </c>
    </row>
    <row r="46" spans="1:16" x14ac:dyDescent="0.25">
      <c r="A46" t="s">
        <v>119</v>
      </c>
      <c r="B46" t="s">
        <v>2</v>
      </c>
      <c r="C46">
        <v>2009</v>
      </c>
      <c r="D46">
        <v>212</v>
      </c>
      <c r="E46">
        <v>1045</v>
      </c>
      <c r="F46">
        <v>1446</v>
      </c>
      <c r="G46">
        <v>1906</v>
      </c>
      <c r="H46">
        <v>2204</v>
      </c>
      <c r="I46">
        <v>2334</v>
      </c>
      <c r="J46">
        <v>1953</v>
      </c>
      <c r="K46">
        <v>1753</v>
      </c>
      <c r="L46">
        <v>1612</v>
      </c>
      <c r="M46">
        <v>1385</v>
      </c>
      <c r="N46">
        <v>308</v>
      </c>
      <c r="O46">
        <v>32</v>
      </c>
      <c r="P46">
        <v>16190</v>
      </c>
    </row>
    <row r="47" spans="1:16" x14ac:dyDescent="0.25">
      <c r="A47" t="s">
        <v>119</v>
      </c>
      <c r="B47" t="s">
        <v>2</v>
      </c>
      <c r="C47">
        <v>2010</v>
      </c>
      <c r="D47">
        <v>252</v>
      </c>
      <c r="E47">
        <v>1252</v>
      </c>
      <c r="F47">
        <v>1542</v>
      </c>
      <c r="G47">
        <v>1960</v>
      </c>
      <c r="H47">
        <v>2197</v>
      </c>
      <c r="I47">
        <v>2277</v>
      </c>
      <c r="J47">
        <v>2079</v>
      </c>
      <c r="K47">
        <v>1738</v>
      </c>
      <c r="L47">
        <v>1602</v>
      </c>
      <c r="M47">
        <v>1379</v>
      </c>
      <c r="N47">
        <v>293</v>
      </c>
      <c r="O47">
        <v>34</v>
      </c>
      <c r="P47">
        <v>16605</v>
      </c>
    </row>
    <row r="48" spans="1:16" x14ac:dyDescent="0.25">
      <c r="A48" t="s">
        <v>119</v>
      </c>
      <c r="B48" t="s">
        <v>2</v>
      </c>
      <c r="C48">
        <v>2011</v>
      </c>
      <c r="D48">
        <v>285</v>
      </c>
      <c r="E48">
        <v>1252</v>
      </c>
      <c r="F48">
        <v>1586</v>
      </c>
      <c r="G48">
        <v>1911</v>
      </c>
      <c r="H48">
        <v>2245</v>
      </c>
      <c r="I48">
        <v>2280</v>
      </c>
      <c r="J48">
        <v>2233</v>
      </c>
      <c r="K48">
        <v>1793</v>
      </c>
      <c r="L48">
        <v>1599</v>
      </c>
      <c r="M48">
        <v>1358</v>
      </c>
      <c r="N48">
        <v>327</v>
      </c>
      <c r="O48">
        <v>42</v>
      </c>
      <c r="P48">
        <v>16911</v>
      </c>
    </row>
    <row r="49" spans="1:16" x14ac:dyDescent="0.25">
      <c r="A49" t="s">
        <v>119</v>
      </c>
      <c r="B49" t="s">
        <v>2</v>
      </c>
      <c r="C49">
        <v>2012</v>
      </c>
      <c r="D49">
        <v>275</v>
      </c>
      <c r="E49">
        <v>1404</v>
      </c>
      <c r="F49">
        <v>1703</v>
      </c>
      <c r="G49">
        <v>1874</v>
      </c>
      <c r="H49">
        <v>2209</v>
      </c>
      <c r="I49">
        <v>2291</v>
      </c>
      <c r="J49">
        <v>2337</v>
      </c>
      <c r="K49">
        <v>1867</v>
      </c>
      <c r="L49">
        <v>1662</v>
      </c>
      <c r="M49">
        <v>1383</v>
      </c>
      <c r="N49">
        <v>342</v>
      </c>
      <c r="O49">
        <v>66</v>
      </c>
      <c r="P49">
        <v>17413</v>
      </c>
    </row>
    <row r="50" spans="1:16" x14ac:dyDescent="0.25">
      <c r="A50" t="s">
        <v>119</v>
      </c>
      <c r="B50" t="s">
        <v>2</v>
      </c>
      <c r="C50">
        <v>2013</v>
      </c>
      <c r="D50">
        <v>274</v>
      </c>
      <c r="E50">
        <v>1482</v>
      </c>
      <c r="F50">
        <v>1767</v>
      </c>
      <c r="G50">
        <v>1880</v>
      </c>
      <c r="H50">
        <v>2202</v>
      </c>
      <c r="I50">
        <v>2313</v>
      </c>
      <c r="J50">
        <v>2427</v>
      </c>
      <c r="K50">
        <v>1900</v>
      </c>
      <c r="L50">
        <v>1700</v>
      </c>
      <c r="M50">
        <v>1396</v>
      </c>
      <c r="N50">
        <v>391</v>
      </c>
      <c r="O50">
        <v>76</v>
      </c>
      <c r="P50">
        <v>17808</v>
      </c>
    </row>
    <row r="51" spans="1:16" x14ac:dyDescent="0.25">
      <c r="A51" t="s">
        <v>119</v>
      </c>
      <c r="B51" t="s">
        <v>2</v>
      </c>
      <c r="C51">
        <v>2014</v>
      </c>
      <c r="D51">
        <v>232</v>
      </c>
      <c r="E51">
        <v>1585</v>
      </c>
      <c r="F51">
        <v>1897</v>
      </c>
      <c r="G51">
        <v>1946</v>
      </c>
      <c r="H51">
        <v>2220</v>
      </c>
      <c r="I51">
        <v>2441</v>
      </c>
      <c r="J51">
        <v>2515</v>
      </c>
      <c r="K51">
        <v>2073</v>
      </c>
      <c r="L51">
        <v>1772</v>
      </c>
      <c r="M51">
        <v>1388</v>
      </c>
      <c r="N51">
        <v>420</v>
      </c>
      <c r="O51">
        <v>76</v>
      </c>
      <c r="P51">
        <v>18565</v>
      </c>
    </row>
    <row r="52" spans="1:16" x14ac:dyDescent="0.25">
      <c r="A52" t="s">
        <v>119</v>
      </c>
      <c r="B52" t="s">
        <v>2</v>
      </c>
      <c r="C52">
        <v>2015</v>
      </c>
      <c r="D52">
        <v>223</v>
      </c>
      <c r="E52">
        <v>1652</v>
      </c>
      <c r="F52">
        <v>2061</v>
      </c>
      <c r="G52">
        <v>2010</v>
      </c>
      <c r="H52">
        <v>2193</v>
      </c>
      <c r="I52">
        <v>2448</v>
      </c>
      <c r="J52">
        <v>2433</v>
      </c>
      <c r="K52">
        <v>2217</v>
      </c>
      <c r="L52">
        <v>1793</v>
      </c>
      <c r="M52">
        <v>1386</v>
      </c>
      <c r="N52">
        <v>417</v>
      </c>
      <c r="O52">
        <v>90</v>
      </c>
      <c r="P52">
        <v>18923</v>
      </c>
    </row>
    <row r="53" spans="1:16" x14ac:dyDescent="0.25">
      <c r="A53" t="s">
        <v>119</v>
      </c>
      <c r="B53" t="s">
        <v>2</v>
      </c>
      <c r="C53">
        <v>2016</v>
      </c>
      <c r="D53">
        <v>294</v>
      </c>
      <c r="E53">
        <v>1564</v>
      </c>
      <c r="F53">
        <v>2228</v>
      </c>
      <c r="G53">
        <v>2085</v>
      </c>
      <c r="H53">
        <v>2207</v>
      </c>
      <c r="I53">
        <v>2426</v>
      </c>
      <c r="J53">
        <v>2373</v>
      </c>
      <c r="K53">
        <v>2356</v>
      </c>
      <c r="L53">
        <v>1823</v>
      </c>
      <c r="M53">
        <v>1406</v>
      </c>
      <c r="N53">
        <v>416</v>
      </c>
      <c r="O53">
        <v>93</v>
      </c>
      <c r="P53">
        <v>19271</v>
      </c>
    </row>
    <row r="54" spans="1:16" x14ac:dyDescent="0.25">
      <c r="A54" t="s">
        <v>119</v>
      </c>
      <c r="B54" t="s">
        <v>2</v>
      </c>
      <c r="C54">
        <v>2017</v>
      </c>
      <c r="D54">
        <v>275</v>
      </c>
      <c r="E54">
        <v>1550</v>
      </c>
      <c r="F54">
        <v>2245</v>
      </c>
      <c r="G54">
        <v>2184</v>
      </c>
      <c r="H54">
        <v>2173</v>
      </c>
      <c r="I54">
        <v>2378</v>
      </c>
      <c r="J54">
        <v>2390</v>
      </c>
      <c r="K54">
        <v>2451</v>
      </c>
      <c r="L54">
        <v>1873</v>
      </c>
      <c r="M54">
        <v>1463</v>
      </c>
      <c r="N54">
        <v>434</v>
      </c>
      <c r="O54">
        <v>118</v>
      </c>
      <c r="P54">
        <v>19534</v>
      </c>
    </row>
    <row r="55" spans="1:16" x14ac:dyDescent="0.25">
      <c r="A55" t="s">
        <v>119</v>
      </c>
      <c r="B55" t="s">
        <v>2</v>
      </c>
      <c r="C55">
        <v>2018</v>
      </c>
      <c r="D55">
        <v>285</v>
      </c>
      <c r="E55">
        <v>1405</v>
      </c>
      <c r="F55">
        <v>2420</v>
      </c>
      <c r="G55">
        <v>2365</v>
      </c>
      <c r="H55">
        <v>2193</v>
      </c>
      <c r="I55">
        <v>2419</v>
      </c>
      <c r="J55">
        <v>2439</v>
      </c>
      <c r="K55">
        <v>2505</v>
      </c>
      <c r="L55">
        <v>1931</v>
      </c>
      <c r="M55">
        <v>1568</v>
      </c>
      <c r="N55">
        <v>444</v>
      </c>
      <c r="O55">
        <v>143</v>
      </c>
      <c r="P55">
        <v>20117</v>
      </c>
    </row>
    <row r="56" spans="1:16" x14ac:dyDescent="0.25">
      <c r="A56" t="s">
        <v>119</v>
      </c>
      <c r="B56" t="s">
        <v>2</v>
      </c>
      <c r="C56">
        <v>2019</v>
      </c>
      <c r="D56">
        <v>461</v>
      </c>
      <c r="E56">
        <v>1389</v>
      </c>
      <c r="F56">
        <v>2565</v>
      </c>
      <c r="G56">
        <v>2434</v>
      </c>
      <c r="H56">
        <v>2269</v>
      </c>
      <c r="I56">
        <v>2419</v>
      </c>
      <c r="J56">
        <v>2573</v>
      </c>
      <c r="K56">
        <v>2580</v>
      </c>
      <c r="L56">
        <v>2105</v>
      </c>
      <c r="M56">
        <v>1554</v>
      </c>
      <c r="N56">
        <v>499</v>
      </c>
      <c r="O56">
        <v>194</v>
      </c>
      <c r="P56">
        <v>21042</v>
      </c>
    </row>
    <row r="57" spans="1:16" x14ac:dyDescent="0.25">
      <c r="A57" t="s">
        <v>119</v>
      </c>
      <c r="B57" t="s">
        <v>2</v>
      </c>
      <c r="C57">
        <v>2020</v>
      </c>
      <c r="D57">
        <v>354</v>
      </c>
      <c r="E57">
        <v>1439</v>
      </c>
      <c r="F57">
        <v>2571</v>
      </c>
      <c r="G57">
        <v>2738</v>
      </c>
      <c r="H57">
        <v>2355</v>
      </c>
      <c r="I57">
        <v>2322</v>
      </c>
      <c r="J57">
        <v>2587</v>
      </c>
      <c r="K57">
        <v>2545</v>
      </c>
      <c r="L57">
        <v>2235</v>
      </c>
      <c r="M57">
        <v>1553</v>
      </c>
      <c r="N57">
        <v>468</v>
      </c>
      <c r="O57">
        <v>137</v>
      </c>
      <c r="P57">
        <v>21304</v>
      </c>
    </row>
    <row r="58" spans="1:16" x14ac:dyDescent="0.25">
      <c r="A58" t="s">
        <v>119</v>
      </c>
      <c r="B58" t="s">
        <v>2</v>
      </c>
      <c r="C58">
        <v>2021</v>
      </c>
      <c r="D58">
        <v>385</v>
      </c>
      <c r="E58">
        <v>1458</v>
      </c>
      <c r="F58">
        <v>2502</v>
      </c>
      <c r="G58">
        <v>3060</v>
      </c>
      <c r="H58">
        <v>2563</v>
      </c>
      <c r="I58">
        <v>2441</v>
      </c>
      <c r="J58">
        <v>2617</v>
      </c>
      <c r="K58">
        <v>2587</v>
      </c>
      <c r="L58">
        <v>2490</v>
      </c>
      <c r="M58">
        <v>1599</v>
      </c>
      <c r="N58">
        <v>528</v>
      </c>
      <c r="O58">
        <v>187</v>
      </c>
      <c r="P58">
        <v>22417</v>
      </c>
    </row>
    <row r="59" spans="1:16" x14ac:dyDescent="0.25">
      <c r="A59" t="s">
        <v>119</v>
      </c>
      <c r="B59" t="s">
        <v>2</v>
      </c>
      <c r="C59">
        <v>2022</v>
      </c>
      <c r="D59">
        <v>450</v>
      </c>
      <c r="E59">
        <v>1596</v>
      </c>
      <c r="F59">
        <v>2581</v>
      </c>
      <c r="G59">
        <v>3219</v>
      </c>
      <c r="H59">
        <v>2713</v>
      </c>
      <c r="I59">
        <v>2515</v>
      </c>
      <c r="J59">
        <v>2677</v>
      </c>
      <c r="K59">
        <v>2523</v>
      </c>
      <c r="L59">
        <v>2578</v>
      </c>
      <c r="M59">
        <v>1654</v>
      </c>
      <c r="N59">
        <v>592</v>
      </c>
      <c r="O59">
        <v>206</v>
      </c>
      <c r="P59">
        <v>23304</v>
      </c>
    </row>
    <row r="60" spans="1:16" x14ac:dyDescent="0.25">
      <c r="A60" t="s">
        <v>119</v>
      </c>
      <c r="B60" t="s">
        <v>2</v>
      </c>
      <c r="C60">
        <v>2023</v>
      </c>
      <c r="D60">
        <v>453</v>
      </c>
      <c r="E60">
        <v>1607</v>
      </c>
      <c r="F60">
        <v>2423</v>
      </c>
      <c r="G60">
        <v>3335</v>
      </c>
      <c r="H60">
        <v>2871</v>
      </c>
      <c r="I60">
        <v>2521</v>
      </c>
      <c r="J60">
        <v>2672</v>
      </c>
      <c r="K60">
        <v>2509</v>
      </c>
      <c r="L60">
        <v>2636</v>
      </c>
      <c r="M60">
        <v>1758</v>
      </c>
      <c r="N60">
        <v>627</v>
      </c>
      <c r="O60">
        <v>229</v>
      </c>
      <c r="P60">
        <v>23641</v>
      </c>
    </row>
    <row r="61" spans="1:16" x14ac:dyDescent="0.25">
      <c r="A61" t="s">
        <v>119</v>
      </c>
      <c r="B61" t="s">
        <v>2</v>
      </c>
      <c r="C61">
        <v>2024</v>
      </c>
      <c r="D61">
        <v>379</v>
      </c>
      <c r="E61">
        <v>1315</v>
      </c>
      <c r="F61">
        <v>2237</v>
      </c>
      <c r="G61">
        <v>3263</v>
      </c>
      <c r="H61">
        <v>2939</v>
      </c>
      <c r="I61">
        <v>2454</v>
      </c>
      <c r="J61">
        <v>2576</v>
      </c>
      <c r="K61">
        <v>2611</v>
      </c>
      <c r="L61">
        <v>2564</v>
      </c>
      <c r="M61">
        <v>1890</v>
      </c>
      <c r="N61">
        <v>671</v>
      </c>
      <c r="O61">
        <v>245</v>
      </c>
      <c r="P61">
        <v>23144</v>
      </c>
    </row>
    <row r="62" spans="1:16" x14ac:dyDescent="0.25">
      <c r="A62" t="s">
        <v>120</v>
      </c>
      <c r="B62" t="s">
        <v>0</v>
      </c>
      <c r="C62">
        <v>2005</v>
      </c>
      <c r="D62">
        <v>86</v>
      </c>
      <c r="E62">
        <v>683</v>
      </c>
      <c r="F62">
        <v>790</v>
      </c>
      <c r="G62">
        <v>755</v>
      </c>
      <c r="H62">
        <v>625</v>
      </c>
      <c r="I62">
        <v>563</v>
      </c>
      <c r="J62">
        <v>552</v>
      </c>
      <c r="K62">
        <v>495</v>
      </c>
      <c r="L62">
        <v>494</v>
      </c>
      <c r="M62">
        <v>334</v>
      </c>
      <c r="N62">
        <v>65</v>
      </c>
      <c r="O62">
        <v>17</v>
      </c>
      <c r="P62">
        <v>5459</v>
      </c>
    </row>
    <row r="63" spans="1:16" x14ac:dyDescent="0.25">
      <c r="A63" t="s">
        <v>120</v>
      </c>
      <c r="B63" t="s">
        <v>0</v>
      </c>
      <c r="C63">
        <v>2006</v>
      </c>
      <c r="D63">
        <v>102</v>
      </c>
      <c r="E63">
        <v>765</v>
      </c>
      <c r="F63">
        <v>848</v>
      </c>
      <c r="G63">
        <v>688</v>
      </c>
      <c r="H63">
        <v>661</v>
      </c>
      <c r="I63">
        <v>564</v>
      </c>
      <c r="J63">
        <v>516</v>
      </c>
      <c r="K63">
        <v>511</v>
      </c>
      <c r="L63">
        <v>479</v>
      </c>
      <c r="M63">
        <v>324</v>
      </c>
      <c r="N63">
        <v>71</v>
      </c>
      <c r="O63">
        <v>21</v>
      </c>
      <c r="P63">
        <v>5550</v>
      </c>
    </row>
    <row r="64" spans="1:16" x14ac:dyDescent="0.25">
      <c r="A64" t="s">
        <v>120</v>
      </c>
      <c r="B64" t="s">
        <v>0</v>
      </c>
      <c r="C64">
        <v>2007</v>
      </c>
      <c r="D64">
        <v>107</v>
      </c>
      <c r="E64">
        <v>858</v>
      </c>
      <c r="F64">
        <v>878</v>
      </c>
      <c r="G64">
        <v>802</v>
      </c>
      <c r="H64">
        <v>680</v>
      </c>
      <c r="I64">
        <v>604</v>
      </c>
      <c r="J64">
        <v>514</v>
      </c>
      <c r="K64">
        <v>556</v>
      </c>
      <c r="L64">
        <v>515</v>
      </c>
      <c r="M64">
        <v>372</v>
      </c>
      <c r="N64">
        <v>83</v>
      </c>
      <c r="O64">
        <v>25</v>
      </c>
      <c r="P64">
        <v>5994</v>
      </c>
    </row>
    <row r="65" spans="1:16" x14ac:dyDescent="0.25">
      <c r="A65" t="s">
        <v>120</v>
      </c>
      <c r="B65" t="s">
        <v>0</v>
      </c>
      <c r="C65">
        <v>2008</v>
      </c>
      <c r="D65">
        <v>127</v>
      </c>
      <c r="E65">
        <v>883</v>
      </c>
      <c r="F65">
        <v>861</v>
      </c>
      <c r="G65">
        <v>775</v>
      </c>
      <c r="H65">
        <v>679</v>
      </c>
      <c r="I65">
        <v>683</v>
      </c>
      <c r="J65">
        <v>518</v>
      </c>
      <c r="K65">
        <v>582</v>
      </c>
      <c r="L65">
        <v>472</v>
      </c>
      <c r="M65">
        <v>400</v>
      </c>
      <c r="N65">
        <v>102</v>
      </c>
      <c r="O65">
        <v>10</v>
      </c>
      <c r="P65">
        <v>6092</v>
      </c>
    </row>
    <row r="66" spans="1:16" x14ac:dyDescent="0.25">
      <c r="A66" t="s">
        <v>120</v>
      </c>
      <c r="B66" t="s">
        <v>0</v>
      </c>
      <c r="C66">
        <v>2009</v>
      </c>
      <c r="D66">
        <v>112</v>
      </c>
      <c r="E66">
        <v>725</v>
      </c>
      <c r="F66">
        <v>817</v>
      </c>
      <c r="G66">
        <v>725</v>
      </c>
      <c r="H66">
        <v>652</v>
      </c>
      <c r="I66">
        <v>679</v>
      </c>
      <c r="J66">
        <v>518</v>
      </c>
      <c r="K66">
        <v>557</v>
      </c>
      <c r="L66">
        <v>457</v>
      </c>
      <c r="M66">
        <v>395</v>
      </c>
      <c r="N66">
        <v>121</v>
      </c>
      <c r="O66">
        <v>11</v>
      </c>
      <c r="P66">
        <v>5769</v>
      </c>
    </row>
    <row r="67" spans="1:16" x14ac:dyDescent="0.25">
      <c r="A67" t="s">
        <v>120</v>
      </c>
      <c r="B67" t="s">
        <v>0</v>
      </c>
      <c r="C67">
        <v>2010</v>
      </c>
      <c r="D67">
        <v>138</v>
      </c>
      <c r="E67">
        <v>842</v>
      </c>
      <c r="F67">
        <v>904</v>
      </c>
      <c r="G67">
        <v>752</v>
      </c>
      <c r="H67">
        <v>697</v>
      </c>
      <c r="I67">
        <v>683</v>
      </c>
      <c r="J67">
        <v>592</v>
      </c>
      <c r="K67">
        <v>579</v>
      </c>
      <c r="L67">
        <v>481</v>
      </c>
      <c r="M67">
        <v>396</v>
      </c>
      <c r="N67">
        <v>133</v>
      </c>
      <c r="O67">
        <v>15</v>
      </c>
      <c r="P67">
        <v>6212</v>
      </c>
    </row>
    <row r="68" spans="1:16" x14ac:dyDescent="0.25">
      <c r="A68" t="s">
        <v>120</v>
      </c>
      <c r="B68" t="s">
        <v>0</v>
      </c>
      <c r="C68">
        <v>2011</v>
      </c>
      <c r="D68">
        <v>134</v>
      </c>
      <c r="E68">
        <v>844</v>
      </c>
      <c r="F68">
        <v>903</v>
      </c>
      <c r="G68">
        <v>759</v>
      </c>
      <c r="H68">
        <v>693</v>
      </c>
      <c r="I68">
        <v>687</v>
      </c>
      <c r="J68">
        <v>631</v>
      </c>
      <c r="K68">
        <v>542</v>
      </c>
      <c r="L68">
        <v>511</v>
      </c>
      <c r="M68">
        <v>402</v>
      </c>
      <c r="N68">
        <v>122</v>
      </c>
      <c r="O68">
        <v>22</v>
      </c>
      <c r="P68">
        <v>6250</v>
      </c>
    </row>
    <row r="69" spans="1:16" x14ac:dyDescent="0.25">
      <c r="A69" t="s">
        <v>120</v>
      </c>
      <c r="B69" t="s">
        <v>0</v>
      </c>
      <c r="C69">
        <v>2012</v>
      </c>
      <c r="D69">
        <v>114</v>
      </c>
      <c r="E69">
        <v>796</v>
      </c>
      <c r="F69">
        <v>868</v>
      </c>
      <c r="G69">
        <v>800</v>
      </c>
      <c r="H69">
        <v>715</v>
      </c>
      <c r="I69">
        <v>684</v>
      </c>
      <c r="J69">
        <v>680</v>
      </c>
      <c r="K69">
        <v>516</v>
      </c>
      <c r="L69">
        <v>517</v>
      </c>
      <c r="M69">
        <v>405</v>
      </c>
      <c r="N69">
        <v>139</v>
      </c>
      <c r="O69">
        <v>43</v>
      </c>
      <c r="P69">
        <v>6277</v>
      </c>
    </row>
    <row r="70" spans="1:16" x14ac:dyDescent="0.25">
      <c r="A70" t="s">
        <v>120</v>
      </c>
      <c r="B70" t="s">
        <v>0</v>
      </c>
      <c r="C70">
        <v>2013</v>
      </c>
      <c r="D70">
        <v>130</v>
      </c>
      <c r="E70">
        <v>815</v>
      </c>
      <c r="F70">
        <v>923</v>
      </c>
      <c r="G70">
        <v>772</v>
      </c>
      <c r="H70">
        <v>717</v>
      </c>
      <c r="I70">
        <v>662</v>
      </c>
      <c r="J70">
        <v>701</v>
      </c>
      <c r="K70">
        <v>515</v>
      </c>
      <c r="L70">
        <v>528</v>
      </c>
      <c r="M70">
        <v>401</v>
      </c>
      <c r="N70">
        <v>143</v>
      </c>
      <c r="O70">
        <v>42</v>
      </c>
      <c r="P70">
        <v>6349</v>
      </c>
    </row>
    <row r="71" spans="1:16" x14ac:dyDescent="0.25">
      <c r="A71" t="s">
        <v>120</v>
      </c>
      <c r="B71" t="s">
        <v>0</v>
      </c>
      <c r="C71">
        <v>2014</v>
      </c>
      <c r="D71">
        <v>120</v>
      </c>
      <c r="E71">
        <v>821</v>
      </c>
      <c r="F71">
        <v>918</v>
      </c>
      <c r="G71">
        <v>777</v>
      </c>
      <c r="H71">
        <v>713</v>
      </c>
      <c r="I71">
        <v>669</v>
      </c>
      <c r="J71">
        <v>670</v>
      </c>
      <c r="K71">
        <v>561</v>
      </c>
      <c r="L71">
        <v>541</v>
      </c>
      <c r="M71">
        <v>395</v>
      </c>
      <c r="N71">
        <v>159</v>
      </c>
      <c r="O71">
        <v>53</v>
      </c>
      <c r="P71">
        <v>6397</v>
      </c>
    </row>
    <row r="72" spans="1:16" x14ac:dyDescent="0.25">
      <c r="A72" t="s">
        <v>120</v>
      </c>
      <c r="B72" t="s">
        <v>0</v>
      </c>
      <c r="C72">
        <v>2015</v>
      </c>
      <c r="D72">
        <v>109</v>
      </c>
      <c r="E72">
        <v>764</v>
      </c>
      <c r="F72">
        <v>922</v>
      </c>
      <c r="G72">
        <v>757</v>
      </c>
      <c r="H72">
        <v>724</v>
      </c>
      <c r="I72">
        <v>687</v>
      </c>
      <c r="J72">
        <v>666</v>
      </c>
      <c r="K72">
        <v>570</v>
      </c>
      <c r="L72">
        <v>542</v>
      </c>
      <c r="M72">
        <v>371</v>
      </c>
      <c r="N72">
        <v>152</v>
      </c>
      <c r="O72">
        <v>68</v>
      </c>
      <c r="P72">
        <v>6332</v>
      </c>
    </row>
    <row r="73" spans="1:16" x14ac:dyDescent="0.25">
      <c r="A73" t="s">
        <v>120</v>
      </c>
      <c r="B73" t="s">
        <v>0</v>
      </c>
      <c r="C73">
        <v>2016</v>
      </c>
      <c r="D73">
        <v>152</v>
      </c>
      <c r="E73">
        <v>915</v>
      </c>
      <c r="F73">
        <v>990</v>
      </c>
      <c r="G73">
        <v>793</v>
      </c>
      <c r="H73">
        <v>724</v>
      </c>
      <c r="I73">
        <v>690</v>
      </c>
      <c r="J73">
        <v>696</v>
      </c>
      <c r="K73">
        <v>639</v>
      </c>
      <c r="L73">
        <v>526</v>
      </c>
      <c r="M73">
        <v>400</v>
      </c>
      <c r="N73">
        <v>149</v>
      </c>
      <c r="O73">
        <v>67</v>
      </c>
      <c r="P73">
        <v>6741</v>
      </c>
    </row>
    <row r="74" spans="1:16" x14ac:dyDescent="0.25">
      <c r="A74" t="s">
        <v>120</v>
      </c>
      <c r="B74" t="s">
        <v>0</v>
      </c>
      <c r="C74">
        <v>2017</v>
      </c>
      <c r="D74">
        <v>137</v>
      </c>
      <c r="E74">
        <v>1009</v>
      </c>
      <c r="F74">
        <v>963</v>
      </c>
      <c r="G74">
        <v>866</v>
      </c>
      <c r="H74">
        <v>758</v>
      </c>
      <c r="I74">
        <v>721</v>
      </c>
      <c r="J74">
        <v>702</v>
      </c>
      <c r="K74">
        <v>679</v>
      </c>
      <c r="L74">
        <v>508</v>
      </c>
      <c r="M74">
        <v>440</v>
      </c>
      <c r="N74">
        <v>154</v>
      </c>
      <c r="O74">
        <v>72</v>
      </c>
      <c r="P74">
        <v>7009</v>
      </c>
    </row>
    <row r="75" spans="1:16" x14ac:dyDescent="0.25">
      <c r="A75" t="s">
        <v>120</v>
      </c>
      <c r="B75" t="s">
        <v>0</v>
      </c>
      <c r="C75">
        <v>2018</v>
      </c>
      <c r="D75">
        <v>142</v>
      </c>
      <c r="E75">
        <v>955</v>
      </c>
      <c r="F75">
        <v>999</v>
      </c>
      <c r="G75">
        <v>860</v>
      </c>
      <c r="H75">
        <v>750</v>
      </c>
      <c r="I75">
        <v>721</v>
      </c>
      <c r="J75">
        <v>674</v>
      </c>
      <c r="K75">
        <v>701</v>
      </c>
      <c r="L75">
        <v>542</v>
      </c>
      <c r="M75">
        <v>447</v>
      </c>
      <c r="N75">
        <v>174</v>
      </c>
      <c r="O75">
        <v>58</v>
      </c>
      <c r="P75">
        <v>7023</v>
      </c>
    </row>
    <row r="76" spans="1:16" x14ac:dyDescent="0.25">
      <c r="A76" t="s">
        <v>120</v>
      </c>
      <c r="B76" t="s">
        <v>0</v>
      </c>
      <c r="C76">
        <v>2019</v>
      </c>
      <c r="D76">
        <v>95</v>
      </c>
      <c r="E76">
        <v>648</v>
      </c>
      <c r="F76">
        <v>999</v>
      </c>
      <c r="G76">
        <v>876</v>
      </c>
      <c r="H76">
        <v>749</v>
      </c>
      <c r="I76">
        <v>643</v>
      </c>
      <c r="J76">
        <v>666</v>
      </c>
      <c r="K76">
        <v>658</v>
      </c>
      <c r="L76">
        <v>564</v>
      </c>
      <c r="M76">
        <v>449</v>
      </c>
      <c r="N76">
        <v>149</v>
      </c>
      <c r="O76">
        <v>69</v>
      </c>
      <c r="P76">
        <v>6565</v>
      </c>
    </row>
    <row r="77" spans="1:16" x14ac:dyDescent="0.25">
      <c r="A77" t="s">
        <v>120</v>
      </c>
      <c r="B77" t="s">
        <v>0</v>
      </c>
      <c r="C77">
        <v>2020</v>
      </c>
      <c r="D77">
        <v>99</v>
      </c>
      <c r="E77">
        <v>607</v>
      </c>
      <c r="F77">
        <v>934</v>
      </c>
      <c r="G77">
        <v>907</v>
      </c>
      <c r="H77">
        <v>795</v>
      </c>
      <c r="I77">
        <v>700</v>
      </c>
      <c r="J77">
        <v>700</v>
      </c>
      <c r="K77">
        <v>709</v>
      </c>
      <c r="L77">
        <v>608</v>
      </c>
      <c r="M77">
        <v>475</v>
      </c>
      <c r="N77">
        <v>158</v>
      </c>
      <c r="O77">
        <v>54</v>
      </c>
      <c r="P77">
        <v>6746</v>
      </c>
    </row>
    <row r="78" spans="1:16" x14ac:dyDescent="0.25">
      <c r="A78" t="s">
        <v>120</v>
      </c>
      <c r="B78" t="s">
        <v>0</v>
      </c>
      <c r="C78">
        <v>2021</v>
      </c>
      <c r="D78">
        <v>103</v>
      </c>
      <c r="E78">
        <v>675</v>
      </c>
      <c r="F78">
        <v>999</v>
      </c>
      <c r="G78">
        <v>929</v>
      </c>
      <c r="H78">
        <v>856</v>
      </c>
      <c r="I78">
        <v>756</v>
      </c>
      <c r="J78">
        <v>725</v>
      </c>
      <c r="K78">
        <v>713</v>
      </c>
      <c r="L78">
        <v>633</v>
      </c>
      <c r="M78">
        <v>474</v>
      </c>
      <c r="N78">
        <v>171</v>
      </c>
      <c r="O78">
        <v>56</v>
      </c>
      <c r="P78">
        <v>7090</v>
      </c>
    </row>
    <row r="79" spans="1:16" x14ac:dyDescent="0.25">
      <c r="A79" t="s">
        <v>120</v>
      </c>
      <c r="B79" t="s">
        <v>0</v>
      </c>
      <c r="C79">
        <v>2022</v>
      </c>
      <c r="D79">
        <v>138</v>
      </c>
      <c r="E79">
        <v>805</v>
      </c>
      <c r="F79">
        <v>960</v>
      </c>
      <c r="G79">
        <v>939</v>
      </c>
      <c r="H79">
        <v>881</v>
      </c>
      <c r="I79">
        <v>805</v>
      </c>
      <c r="J79">
        <v>745</v>
      </c>
      <c r="K79">
        <v>710</v>
      </c>
      <c r="L79">
        <v>703</v>
      </c>
      <c r="M79">
        <v>479</v>
      </c>
      <c r="N79">
        <v>196</v>
      </c>
      <c r="O79">
        <v>60</v>
      </c>
      <c r="P79">
        <v>7421</v>
      </c>
    </row>
    <row r="80" spans="1:16" x14ac:dyDescent="0.25">
      <c r="A80" t="s">
        <v>120</v>
      </c>
      <c r="B80" t="s">
        <v>0</v>
      </c>
      <c r="C80">
        <v>2023</v>
      </c>
      <c r="D80">
        <v>160</v>
      </c>
      <c r="E80">
        <v>799</v>
      </c>
      <c r="F80">
        <v>911</v>
      </c>
      <c r="G80">
        <v>926</v>
      </c>
      <c r="H80">
        <v>850</v>
      </c>
      <c r="I80">
        <v>774</v>
      </c>
      <c r="J80">
        <v>729</v>
      </c>
      <c r="K80">
        <v>713</v>
      </c>
      <c r="L80">
        <v>679</v>
      </c>
      <c r="M80">
        <v>476</v>
      </c>
      <c r="N80">
        <v>208</v>
      </c>
      <c r="O80">
        <v>79</v>
      </c>
      <c r="P80">
        <v>7304</v>
      </c>
    </row>
    <row r="81" spans="1:16" x14ac:dyDescent="0.25">
      <c r="A81" t="s">
        <v>120</v>
      </c>
      <c r="B81" t="s">
        <v>0</v>
      </c>
      <c r="C81">
        <v>2024</v>
      </c>
      <c r="D81">
        <v>152</v>
      </c>
      <c r="E81">
        <v>775</v>
      </c>
      <c r="F81">
        <v>863</v>
      </c>
      <c r="G81">
        <v>944</v>
      </c>
      <c r="H81">
        <v>881</v>
      </c>
      <c r="I81">
        <v>795</v>
      </c>
      <c r="J81">
        <v>721</v>
      </c>
      <c r="K81">
        <v>713</v>
      </c>
      <c r="L81">
        <v>695</v>
      </c>
      <c r="M81">
        <v>503</v>
      </c>
      <c r="N81">
        <v>214</v>
      </c>
      <c r="O81">
        <v>85</v>
      </c>
      <c r="P81">
        <v>7341</v>
      </c>
    </row>
    <row r="82" spans="1:16" x14ac:dyDescent="0.25">
      <c r="A82" t="s">
        <v>120</v>
      </c>
      <c r="B82" t="s">
        <v>1</v>
      </c>
      <c r="C82">
        <v>2005</v>
      </c>
      <c r="D82">
        <v>84</v>
      </c>
      <c r="E82">
        <v>522</v>
      </c>
      <c r="F82">
        <v>609</v>
      </c>
      <c r="G82">
        <v>485</v>
      </c>
      <c r="H82">
        <v>340</v>
      </c>
      <c r="I82">
        <v>315</v>
      </c>
      <c r="J82">
        <v>265</v>
      </c>
      <c r="K82">
        <v>248</v>
      </c>
      <c r="L82">
        <v>221</v>
      </c>
      <c r="M82">
        <v>157</v>
      </c>
      <c r="N82">
        <v>30</v>
      </c>
      <c r="O82">
        <v>3</v>
      </c>
      <c r="P82">
        <v>3279</v>
      </c>
    </row>
    <row r="83" spans="1:16" x14ac:dyDescent="0.25">
      <c r="A83" t="s">
        <v>120</v>
      </c>
      <c r="B83" t="s">
        <v>1</v>
      </c>
      <c r="C83">
        <v>2006</v>
      </c>
      <c r="D83">
        <v>92</v>
      </c>
      <c r="E83">
        <v>553</v>
      </c>
      <c r="F83">
        <v>567</v>
      </c>
      <c r="G83">
        <v>468</v>
      </c>
      <c r="H83">
        <v>350</v>
      </c>
      <c r="I83">
        <v>312</v>
      </c>
      <c r="J83">
        <v>299</v>
      </c>
      <c r="K83">
        <v>231</v>
      </c>
      <c r="L83">
        <v>212</v>
      </c>
      <c r="M83">
        <v>180</v>
      </c>
      <c r="N83">
        <v>23</v>
      </c>
      <c r="O83">
        <v>2</v>
      </c>
      <c r="P83">
        <v>3289</v>
      </c>
    </row>
    <row r="84" spans="1:16" x14ac:dyDescent="0.25">
      <c r="A84" t="s">
        <v>120</v>
      </c>
      <c r="B84" t="s">
        <v>1</v>
      </c>
      <c r="C84">
        <v>2007</v>
      </c>
      <c r="D84">
        <v>112</v>
      </c>
      <c r="E84">
        <v>649</v>
      </c>
      <c r="F84">
        <v>645</v>
      </c>
      <c r="G84">
        <v>505</v>
      </c>
      <c r="H84">
        <v>403</v>
      </c>
      <c r="I84">
        <v>354</v>
      </c>
      <c r="J84">
        <v>294</v>
      </c>
      <c r="K84">
        <v>278</v>
      </c>
      <c r="L84">
        <v>237</v>
      </c>
      <c r="M84">
        <v>188</v>
      </c>
      <c r="N84">
        <v>37</v>
      </c>
      <c r="O84">
        <v>6</v>
      </c>
      <c r="P84">
        <v>3708</v>
      </c>
    </row>
    <row r="85" spans="1:16" x14ac:dyDescent="0.25">
      <c r="A85" t="s">
        <v>120</v>
      </c>
      <c r="B85" t="s">
        <v>1</v>
      </c>
      <c r="C85">
        <v>2008</v>
      </c>
      <c r="D85">
        <v>106</v>
      </c>
      <c r="E85">
        <v>607</v>
      </c>
      <c r="F85">
        <v>588</v>
      </c>
      <c r="G85">
        <v>529</v>
      </c>
      <c r="H85">
        <v>443</v>
      </c>
      <c r="I85">
        <v>358</v>
      </c>
      <c r="J85">
        <v>319</v>
      </c>
      <c r="K85">
        <v>308</v>
      </c>
      <c r="L85">
        <v>278</v>
      </c>
      <c r="M85">
        <v>180</v>
      </c>
      <c r="N85">
        <v>43</v>
      </c>
      <c r="O85">
        <v>8</v>
      </c>
      <c r="P85">
        <v>3767</v>
      </c>
    </row>
    <row r="86" spans="1:16" x14ac:dyDescent="0.25">
      <c r="A86" t="s">
        <v>120</v>
      </c>
      <c r="B86" t="s">
        <v>1</v>
      </c>
      <c r="C86">
        <v>2009</v>
      </c>
      <c r="D86">
        <v>119</v>
      </c>
      <c r="E86">
        <v>589</v>
      </c>
      <c r="F86">
        <v>573</v>
      </c>
      <c r="G86">
        <v>510</v>
      </c>
      <c r="H86">
        <v>459</v>
      </c>
      <c r="I86">
        <v>360</v>
      </c>
      <c r="J86">
        <v>356</v>
      </c>
      <c r="K86">
        <v>289</v>
      </c>
      <c r="L86">
        <v>286</v>
      </c>
      <c r="M86">
        <v>175</v>
      </c>
      <c r="N86">
        <v>60</v>
      </c>
      <c r="O86">
        <v>5</v>
      </c>
      <c r="P86">
        <v>3781</v>
      </c>
    </row>
    <row r="87" spans="1:16" x14ac:dyDescent="0.25">
      <c r="A87" t="s">
        <v>120</v>
      </c>
      <c r="B87" t="s">
        <v>1</v>
      </c>
      <c r="C87">
        <v>2010</v>
      </c>
      <c r="D87">
        <v>106</v>
      </c>
      <c r="E87">
        <v>706</v>
      </c>
      <c r="F87">
        <v>607</v>
      </c>
      <c r="G87">
        <v>557</v>
      </c>
      <c r="H87">
        <v>451</v>
      </c>
      <c r="I87">
        <v>386</v>
      </c>
      <c r="J87">
        <v>378</v>
      </c>
      <c r="K87">
        <v>299</v>
      </c>
      <c r="L87">
        <v>306</v>
      </c>
      <c r="M87">
        <v>197</v>
      </c>
      <c r="N87">
        <v>47</v>
      </c>
      <c r="O87">
        <v>9</v>
      </c>
      <c r="P87">
        <v>4049</v>
      </c>
    </row>
    <row r="88" spans="1:16" x14ac:dyDescent="0.25">
      <c r="A88" t="s">
        <v>120</v>
      </c>
      <c r="B88" t="s">
        <v>1</v>
      </c>
      <c r="C88">
        <v>2011</v>
      </c>
      <c r="D88">
        <v>104</v>
      </c>
      <c r="E88">
        <v>619</v>
      </c>
      <c r="F88">
        <v>582</v>
      </c>
      <c r="G88">
        <v>553</v>
      </c>
      <c r="H88">
        <v>471</v>
      </c>
      <c r="I88">
        <v>377</v>
      </c>
      <c r="J88">
        <v>411</v>
      </c>
      <c r="K88">
        <v>302</v>
      </c>
      <c r="L88">
        <v>318</v>
      </c>
      <c r="M88">
        <v>220</v>
      </c>
      <c r="N88">
        <v>49</v>
      </c>
      <c r="O88">
        <v>12</v>
      </c>
      <c r="P88">
        <v>4018</v>
      </c>
    </row>
    <row r="89" spans="1:16" x14ac:dyDescent="0.25">
      <c r="A89" t="s">
        <v>120</v>
      </c>
      <c r="B89" t="s">
        <v>1</v>
      </c>
      <c r="C89">
        <v>2012</v>
      </c>
      <c r="D89">
        <v>94</v>
      </c>
      <c r="E89">
        <v>693</v>
      </c>
      <c r="F89">
        <v>591</v>
      </c>
      <c r="G89">
        <v>548</v>
      </c>
      <c r="H89">
        <v>465</v>
      </c>
      <c r="I89">
        <v>411</v>
      </c>
      <c r="J89">
        <v>386</v>
      </c>
      <c r="K89">
        <v>292</v>
      </c>
      <c r="L89">
        <v>317</v>
      </c>
      <c r="M89">
        <v>205</v>
      </c>
      <c r="N89">
        <v>40</v>
      </c>
      <c r="O89">
        <v>17</v>
      </c>
      <c r="P89">
        <v>4059</v>
      </c>
    </row>
    <row r="90" spans="1:16" x14ac:dyDescent="0.25">
      <c r="A90" t="s">
        <v>120</v>
      </c>
      <c r="B90" t="s">
        <v>1</v>
      </c>
      <c r="C90">
        <v>2013</v>
      </c>
      <c r="D90">
        <v>116</v>
      </c>
      <c r="E90">
        <v>755</v>
      </c>
      <c r="F90">
        <v>652</v>
      </c>
      <c r="G90">
        <v>518</v>
      </c>
      <c r="H90">
        <v>506</v>
      </c>
      <c r="I90">
        <v>440</v>
      </c>
      <c r="J90">
        <v>399</v>
      </c>
      <c r="K90">
        <v>324</v>
      </c>
      <c r="L90">
        <v>310</v>
      </c>
      <c r="M90">
        <v>236</v>
      </c>
      <c r="N90">
        <v>53</v>
      </c>
      <c r="O90">
        <v>13</v>
      </c>
      <c r="P90">
        <v>4322</v>
      </c>
    </row>
    <row r="91" spans="1:16" x14ac:dyDescent="0.25">
      <c r="A91" t="s">
        <v>120</v>
      </c>
      <c r="B91" t="s">
        <v>1</v>
      </c>
      <c r="C91">
        <v>2014</v>
      </c>
      <c r="D91">
        <v>100</v>
      </c>
      <c r="E91">
        <v>712</v>
      </c>
      <c r="F91">
        <v>663</v>
      </c>
      <c r="G91">
        <v>479</v>
      </c>
      <c r="H91">
        <v>443</v>
      </c>
      <c r="I91">
        <v>450</v>
      </c>
      <c r="J91">
        <v>412</v>
      </c>
      <c r="K91">
        <v>333</v>
      </c>
      <c r="L91">
        <v>282</v>
      </c>
      <c r="M91">
        <v>251</v>
      </c>
      <c r="N91">
        <v>59</v>
      </c>
      <c r="O91">
        <v>16</v>
      </c>
      <c r="P91">
        <v>4200</v>
      </c>
    </row>
    <row r="92" spans="1:16" x14ac:dyDescent="0.25">
      <c r="A92" t="s">
        <v>120</v>
      </c>
      <c r="B92" t="s">
        <v>1</v>
      </c>
      <c r="C92">
        <v>2015</v>
      </c>
      <c r="D92">
        <v>104</v>
      </c>
      <c r="E92">
        <v>756</v>
      </c>
      <c r="F92">
        <v>703</v>
      </c>
      <c r="G92">
        <v>500</v>
      </c>
      <c r="H92">
        <v>458</v>
      </c>
      <c r="I92">
        <v>414</v>
      </c>
      <c r="J92">
        <v>408</v>
      </c>
      <c r="K92">
        <v>321</v>
      </c>
      <c r="L92">
        <v>278</v>
      </c>
      <c r="M92">
        <v>232</v>
      </c>
      <c r="N92">
        <v>58</v>
      </c>
      <c r="O92">
        <v>15</v>
      </c>
      <c r="P92">
        <v>4247</v>
      </c>
    </row>
    <row r="93" spans="1:16" x14ac:dyDescent="0.25">
      <c r="A93" t="s">
        <v>120</v>
      </c>
      <c r="B93" t="s">
        <v>1</v>
      </c>
      <c r="C93">
        <v>2016</v>
      </c>
      <c r="D93">
        <v>147</v>
      </c>
      <c r="E93">
        <v>772</v>
      </c>
      <c r="F93">
        <v>758</v>
      </c>
      <c r="G93">
        <v>534</v>
      </c>
      <c r="H93">
        <v>476</v>
      </c>
      <c r="I93">
        <v>430</v>
      </c>
      <c r="J93">
        <v>407</v>
      </c>
      <c r="K93">
        <v>386</v>
      </c>
      <c r="L93">
        <v>264</v>
      </c>
      <c r="M93">
        <v>239</v>
      </c>
      <c r="N93">
        <v>64</v>
      </c>
      <c r="O93">
        <v>17</v>
      </c>
      <c r="P93">
        <v>4494</v>
      </c>
    </row>
    <row r="94" spans="1:16" x14ac:dyDescent="0.25">
      <c r="A94" t="s">
        <v>120</v>
      </c>
      <c r="B94" t="s">
        <v>1</v>
      </c>
      <c r="C94">
        <v>2017</v>
      </c>
      <c r="D94">
        <v>138</v>
      </c>
      <c r="E94">
        <v>791</v>
      </c>
      <c r="F94">
        <v>783</v>
      </c>
      <c r="G94">
        <v>563</v>
      </c>
      <c r="H94">
        <v>490</v>
      </c>
      <c r="I94">
        <v>420</v>
      </c>
      <c r="J94">
        <v>407</v>
      </c>
      <c r="K94">
        <v>408</v>
      </c>
      <c r="L94">
        <v>282</v>
      </c>
      <c r="M94">
        <v>238</v>
      </c>
      <c r="N94">
        <v>78</v>
      </c>
      <c r="O94">
        <v>19</v>
      </c>
      <c r="P94">
        <v>4617</v>
      </c>
    </row>
    <row r="95" spans="1:16" x14ac:dyDescent="0.25">
      <c r="A95" t="s">
        <v>120</v>
      </c>
      <c r="B95" t="s">
        <v>1</v>
      </c>
      <c r="C95">
        <v>2018</v>
      </c>
      <c r="D95">
        <v>118</v>
      </c>
      <c r="E95">
        <v>737</v>
      </c>
      <c r="F95">
        <v>792</v>
      </c>
      <c r="G95">
        <v>588</v>
      </c>
      <c r="H95">
        <v>465</v>
      </c>
      <c r="I95">
        <v>435</v>
      </c>
      <c r="J95">
        <v>402</v>
      </c>
      <c r="K95">
        <v>415</v>
      </c>
      <c r="L95">
        <v>311</v>
      </c>
      <c r="M95">
        <v>236</v>
      </c>
      <c r="N95">
        <v>80</v>
      </c>
      <c r="O95">
        <v>24</v>
      </c>
      <c r="P95">
        <v>4603</v>
      </c>
    </row>
    <row r="96" spans="1:16" x14ac:dyDescent="0.25">
      <c r="A96" t="s">
        <v>120</v>
      </c>
      <c r="B96" t="s">
        <v>1</v>
      </c>
      <c r="C96">
        <v>2019</v>
      </c>
      <c r="D96">
        <v>88</v>
      </c>
      <c r="E96">
        <v>520</v>
      </c>
      <c r="F96">
        <v>811</v>
      </c>
      <c r="G96">
        <v>580</v>
      </c>
      <c r="H96">
        <v>433</v>
      </c>
      <c r="I96">
        <v>424</v>
      </c>
      <c r="J96">
        <v>415</v>
      </c>
      <c r="K96">
        <v>436</v>
      </c>
      <c r="L96">
        <v>314</v>
      </c>
      <c r="M96">
        <v>211</v>
      </c>
      <c r="N96">
        <v>83</v>
      </c>
      <c r="O96">
        <v>32</v>
      </c>
      <c r="P96">
        <v>4347</v>
      </c>
    </row>
    <row r="97" spans="1:16" x14ac:dyDescent="0.25">
      <c r="A97" t="s">
        <v>120</v>
      </c>
      <c r="B97" t="s">
        <v>1</v>
      </c>
      <c r="C97">
        <v>2020</v>
      </c>
      <c r="D97">
        <v>89</v>
      </c>
      <c r="E97">
        <v>516</v>
      </c>
      <c r="F97">
        <v>733</v>
      </c>
      <c r="G97">
        <v>611</v>
      </c>
      <c r="H97">
        <v>425</v>
      </c>
      <c r="I97">
        <v>436</v>
      </c>
      <c r="J97">
        <v>422</v>
      </c>
      <c r="K97">
        <v>444</v>
      </c>
      <c r="L97">
        <v>333</v>
      </c>
      <c r="M97">
        <v>230</v>
      </c>
      <c r="N97">
        <v>71</v>
      </c>
      <c r="O97">
        <v>24</v>
      </c>
      <c r="P97">
        <v>4334</v>
      </c>
    </row>
    <row r="98" spans="1:16" x14ac:dyDescent="0.25">
      <c r="A98" t="s">
        <v>120</v>
      </c>
      <c r="B98" t="s">
        <v>1</v>
      </c>
      <c r="C98">
        <v>2021</v>
      </c>
      <c r="D98">
        <v>130</v>
      </c>
      <c r="E98">
        <v>563</v>
      </c>
      <c r="F98">
        <v>780</v>
      </c>
      <c r="G98">
        <v>654</v>
      </c>
      <c r="H98">
        <v>482</v>
      </c>
      <c r="I98">
        <v>485</v>
      </c>
      <c r="J98">
        <v>453</v>
      </c>
      <c r="K98">
        <v>428</v>
      </c>
      <c r="L98">
        <v>364</v>
      </c>
      <c r="M98">
        <v>245</v>
      </c>
      <c r="N98">
        <v>84</v>
      </c>
      <c r="O98">
        <v>34</v>
      </c>
      <c r="P98">
        <v>4702</v>
      </c>
    </row>
    <row r="99" spans="1:16" x14ac:dyDescent="0.25">
      <c r="A99" t="s">
        <v>120</v>
      </c>
      <c r="B99" t="s">
        <v>1</v>
      </c>
      <c r="C99">
        <v>2022</v>
      </c>
      <c r="D99">
        <v>189</v>
      </c>
      <c r="E99">
        <v>635</v>
      </c>
      <c r="F99">
        <v>718</v>
      </c>
      <c r="G99">
        <v>642</v>
      </c>
      <c r="H99">
        <v>538</v>
      </c>
      <c r="I99">
        <v>468</v>
      </c>
      <c r="J99">
        <v>489</v>
      </c>
      <c r="K99">
        <v>446</v>
      </c>
      <c r="L99">
        <v>399</v>
      </c>
      <c r="M99">
        <v>263</v>
      </c>
      <c r="N99">
        <v>98</v>
      </c>
      <c r="O99">
        <v>45</v>
      </c>
      <c r="P99">
        <v>4930</v>
      </c>
    </row>
    <row r="100" spans="1:16" x14ac:dyDescent="0.25">
      <c r="A100" t="s">
        <v>120</v>
      </c>
      <c r="B100" t="s">
        <v>1</v>
      </c>
      <c r="C100">
        <v>2023</v>
      </c>
      <c r="D100">
        <v>187</v>
      </c>
      <c r="E100">
        <v>620</v>
      </c>
      <c r="F100">
        <v>693</v>
      </c>
      <c r="G100">
        <v>681</v>
      </c>
      <c r="H100">
        <v>533</v>
      </c>
      <c r="I100">
        <v>485</v>
      </c>
      <c r="J100">
        <v>487</v>
      </c>
      <c r="K100">
        <v>456</v>
      </c>
      <c r="L100">
        <v>441</v>
      </c>
      <c r="M100">
        <v>281</v>
      </c>
      <c r="N100">
        <v>90</v>
      </c>
      <c r="O100">
        <v>36</v>
      </c>
      <c r="P100">
        <v>4990</v>
      </c>
    </row>
    <row r="101" spans="1:16" x14ac:dyDescent="0.25">
      <c r="A101" t="s">
        <v>120</v>
      </c>
      <c r="B101" t="s">
        <v>1</v>
      </c>
      <c r="C101">
        <v>2024</v>
      </c>
      <c r="D101">
        <v>152</v>
      </c>
      <c r="E101">
        <v>647</v>
      </c>
      <c r="F101">
        <v>662</v>
      </c>
      <c r="G101">
        <v>710</v>
      </c>
      <c r="H101">
        <v>581</v>
      </c>
      <c r="I101">
        <v>463</v>
      </c>
      <c r="J101">
        <v>507</v>
      </c>
      <c r="K101">
        <v>464</v>
      </c>
      <c r="L101">
        <v>443</v>
      </c>
      <c r="M101">
        <v>304</v>
      </c>
      <c r="N101">
        <v>102</v>
      </c>
      <c r="O101">
        <v>26</v>
      </c>
      <c r="P101">
        <v>5061</v>
      </c>
    </row>
    <row r="102" spans="1:16" x14ac:dyDescent="0.25">
      <c r="A102" t="s">
        <v>120</v>
      </c>
      <c r="B102" t="s">
        <v>2</v>
      </c>
      <c r="C102">
        <v>2005</v>
      </c>
      <c r="D102">
        <v>170</v>
      </c>
      <c r="E102">
        <v>1205</v>
      </c>
      <c r="F102">
        <v>1399</v>
      </c>
      <c r="G102">
        <v>1240</v>
      </c>
      <c r="H102">
        <v>965</v>
      </c>
      <c r="I102">
        <v>878</v>
      </c>
      <c r="J102">
        <v>817</v>
      </c>
      <c r="K102">
        <v>743</v>
      </c>
      <c r="L102">
        <v>715</v>
      </c>
      <c r="M102">
        <v>491</v>
      </c>
      <c r="N102">
        <v>95</v>
      </c>
      <c r="O102">
        <v>20</v>
      </c>
      <c r="P102">
        <v>8738</v>
      </c>
    </row>
    <row r="103" spans="1:16" x14ac:dyDescent="0.25">
      <c r="A103" t="s">
        <v>120</v>
      </c>
      <c r="B103" t="s">
        <v>2</v>
      </c>
      <c r="C103">
        <v>2006</v>
      </c>
      <c r="D103">
        <v>194</v>
      </c>
      <c r="E103">
        <v>1318</v>
      </c>
      <c r="F103">
        <v>1415</v>
      </c>
      <c r="G103">
        <v>1156</v>
      </c>
      <c r="H103">
        <v>1011</v>
      </c>
      <c r="I103">
        <v>876</v>
      </c>
      <c r="J103">
        <v>815</v>
      </c>
      <c r="K103">
        <v>742</v>
      </c>
      <c r="L103">
        <v>691</v>
      </c>
      <c r="M103">
        <v>504</v>
      </c>
      <c r="N103">
        <v>94</v>
      </c>
      <c r="O103">
        <v>23</v>
      </c>
      <c r="P103">
        <v>8839</v>
      </c>
    </row>
    <row r="104" spans="1:16" x14ac:dyDescent="0.25">
      <c r="A104" t="s">
        <v>120</v>
      </c>
      <c r="B104" t="s">
        <v>2</v>
      </c>
      <c r="C104">
        <v>2007</v>
      </c>
      <c r="D104">
        <v>219</v>
      </c>
      <c r="E104">
        <v>1507</v>
      </c>
      <c r="F104">
        <v>1523</v>
      </c>
      <c r="G104">
        <v>1307</v>
      </c>
      <c r="H104">
        <v>1083</v>
      </c>
      <c r="I104">
        <v>958</v>
      </c>
      <c r="J104">
        <v>808</v>
      </c>
      <c r="K104">
        <v>834</v>
      </c>
      <c r="L104">
        <v>752</v>
      </c>
      <c r="M104">
        <v>560</v>
      </c>
      <c r="N104">
        <v>120</v>
      </c>
      <c r="O104">
        <v>31</v>
      </c>
      <c r="P104">
        <v>9702</v>
      </c>
    </row>
    <row r="105" spans="1:16" x14ac:dyDescent="0.25">
      <c r="A105" t="s">
        <v>120</v>
      </c>
      <c r="B105" t="s">
        <v>2</v>
      </c>
      <c r="C105">
        <v>2008</v>
      </c>
      <c r="D105">
        <v>233</v>
      </c>
      <c r="E105">
        <v>1490</v>
      </c>
      <c r="F105">
        <v>1449</v>
      </c>
      <c r="G105">
        <v>1304</v>
      </c>
      <c r="H105">
        <v>1122</v>
      </c>
      <c r="I105">
        <v>1041</v>
      </c>
      <c r="J105">
        <v>837</v>
      </c>
      <c r="K105">
        <v>890</v>
      </c>
      <c r="L105">
        <v>750</v>
      </c>
      <c r="M105">
        <v>580</v>
      </c>
      <c r="N105">
        <v>145</v>
      </c>
      <c r="O105">
        <v>18</v>
      </c>
      <c r="P105">
        <v>9859</v>
      </c>
    </row>
    <row r="106" spans="1:16" x14ac:dyDescent="0.25">
      <c r="A106" t="s">
        <v>120</v>
      </c>
      <c r="B106" t="s">
        <v>2</v>
      </c>
      <c r="C106">
        <v>2009</v>
      </c>
      <c r="D106">
        <v>231</v>
      </c>
      <c r="E106">
        <v>1314</v>
      </c>
      <c r="F106">
        <v>1390</v>
      </c>
      <c r="G106">
        <v>1235</v>
      </c>
      <c r="H106">
        <v>1111</v>
      </c>
      <c r="I106">
        <v>1039</v>
      </c>
      <c r="J106">
        <v>874</v>
      </c>
      <c r="K106">
        <v>846</v>
      </c>
      <c r="L106">
        <v>743</v>
      </c>
      <c r="M106">
        <v>570</v>
      </c>
      <c r="N106">
        <v>181</v>
      </c>
      <c r="O106">
        <v>16</v>
      </c>
      <c r="P106">
        <v>9550</v>
      </c>
    </row>
    <row r="107" spans="1:16" x14ac:dyDescent="0.25">
      <c r="A107" t="s">
        <v>120</v>
      </c>
      <c r="B107" t="s">
        <v>2</v>
      </c>
      <c r="C107">
        <v>2010</v>
      </c>
      <c r="D107">
        <v>244</v>
      </c>
      <c r="E107">
        <v>1548</v>
      </c>
      <c r="F107">
        <v>1511</v>
      </c>
      <c r="G107">
        <v>1309</v>
      </c>
      <c r="H107">
        <v>1148</v>
      </c>
      <c r="I107">
        <v>1069</v>
      </c>
      <c r="J107">
        <v>970</v>
      </c>
      <c r="K107">
        <v>878</v>
      </c>
      <c r="L107">
        <v>787</v>
      </c>
      <c r="M107">
        <v>593</v>
      </c>
      <c r="N107">
        <v>180</v>
      </c>
      <c r="O107">
        <v>24</v>
      </c>
      <c r="P107">
        <v>10261</v>
      </c>
    </row>
    <row r="108" spans="1:16" x14ac:dyDescent="0.25">
      <c r="A108" t="s">
        <v>120</v>
      </c>
      <c r="B108" t="s">
        <v>2</v>
      </c>
      <c r="C108">
        <v>2011</v>
      </c>
      <c r="D108">
        <v>238</v>
      </c>
      <c r="E108">
        <v>1463</v>
      </c>
      <c r="F108">
        <v>1485</v>
      </c>
      <c r="G108">
        <v>1312</v>
      </c>
      <c r="H108">
        <v>1164</v>
      </c>
      <c r="I108">
        <v>1064</v>
      </c>
      <c r="J108">
        <v>1042</v>
      </c>
      <c r="K108">
        <v>844</v>
      </c>
      <c r="L108">
        <v>829</v>
      </c>
      <c r="M108">
        <v>622</v>
      </c>
      <c r="N108">
        <v>171</v>
      </c>
      <c r="O108">
        <v>34</v>
      </c>
      <c r="P108">
        <v>10268</v>
      </c>
    </row>
    <row r="109" spans="1:16" x14ac:dyDescent="0.25">
      <c r="A109" t="s">
        <v>120</v>
      </c>
      <c r="B109" t="s">
        <v>2</v>
      </c>
      <c r="C109">
        <v>2012</v>
      </c>
      <c r="D109">
        <v>208</v>
      </c>
      <c r="E109">
        <v>1489</v>
      </c>
      <c r="F109">
        <v>1459</v>
      </c>
      <c r="G109">
        <v>1348</v>
      </c>
      <c r="H109">
        <v>1180</v>
      </c>
      <c r="I109">
        <v>1095</v>
      </c>
      <c r="J109">
        <v>1066</v>
      </c>
      <c r="K109">
        <v>808</v>
      </c>
      <c r="L109">
        <v>834</v>
      </c>
      <c r="M109">
        <v>610</v>
      </c>
      <c r="N109">
        <v>179</v>
      </c>
      <c r="O109">
        <v>60</v>
      </c>
      <c r="P109">
        <v>10336</v>
      </c>
    </row>
    <row r="110" spans="1:16" x14ac:dyDescent="0.25">
      <c r="A110" t="s">
        <v>120</v>
      </c>
      <c r="B110" t="s">
        <v>2</v>
      </c>
      <c r="C110">
        <v>2013</v>
      </c>
      <c r="D110">
        <v>246</v>
      </c>
      <c r="E110">
        <v>1570</v>
      </c>
      <c r="F110">
        <v>1575</v>
      </c>
      <c r="G110">
        <v>1290</v>
      </c>
      <c r="H110">
        <v>1223</v>
      </c>
      <c r="I110">
        <v>1102</v>
      </c>
      <c r="J110">
        <v>1100</v>
      </c>
      <c r="K110">
        <v>839</v>
      </c>
      <c r="L110">
        <v>838</v>
      </c>
      <c r="M110">
        <v>637</v>
      </c>
      <c r="N110">
        <v>196</v>
      </c>
      <c r="O110">
        <v>55</v>
      </c>
      <c r="P110">
        <v>10671</v>
      </c>
    </row>
    <row r="111" spans="1:16" x14ac:dyDescent="0.25">
      <c r="A111" t="s">
        <v>120</v>
      </c>
      <c r="B111" t="s">
        <v>2</v>
      </c>
      <c r="C111">
        <v>2014</v>
      </c>
      <c r="D111">
        <v>220</v>
      </c>
      <c r="E111">
        <v>1533</v>
      </c>
      <c r="F111">
        <v>1581</v>
      </c>
      <c r="G111">
        <v>1256</v>
      </c>
      <c r="H111">
        <v>1156</v>
      </c>
      <c r="I111">
        <v>1119</v>
      </c>
      <c r="J111">
        <v>1082</v>
      </c>
      <c r="K111">
        <v>894</v>
      </c>
      <c r="L111">
        <v>823</v>
      </c>
      <c r="M111">
        <v>646</v>
      </c>
      <c r="N111">
        <v>218</v>
      </c>
      <c r="O111">
        <v>69</v>
      </c>
      <c r="P111">
        <v>10597</v>
      </c>
    </row>
    <row r="112" spans="1:16" x14ac:dyDescent="0.25">
      <c r="A112" t="s">
        <v>120</v>
      </c>
      <c r="B112" t="s">
        <v>2</v>
      </c>
      <c r="C112">
        <v>2015</v>
      </c>
      <c r="D112">
        <v>213</v>
      </c>
      <c r="E112">
        <v>1520</v>
      </c>
      <c r="F112">
        <v>1625</v>
      </c>
      <c r="G112">
        <v>1257</v>
      </c>
      <c r="H112">
        <v>1182</v>
      </c>
      <c r="I112">
        <v>1101</v>
      </c>
      <c r="J112">
        <v>1074</v>
      </c>
      <c r="K112">
        <v>891</v>
      </c>
      <c r="L112">
        <v>820</v>
      </c>
      <c r="M112">
        <v>603</v>
      </c>
      <c r="N112">
        <v>210</v>
      </c>
      <c r="O112">
        <v>83</v>
      </c>
      <c r="P112">
        <v>10579</v>
      </c>
    </row>
    <row r="113" spans="1:16" x14ac:dyDescent="0.25">
      <c r="A113" t="s">
        <v>120</v>
      </c>
      <c r="B113" t="s">
        <v>2</v>
      </c>
      <c r="C113">
        <v>2016</v>
      </c>
      <c r="D113">
        <v>299</v>
      </c>
      <c r="E113">
        <v>1687</v>
      </c>
      <c r="F113">
        <v>1748</v>
      </c>
      <c r="G113">
        <v>1327</v>
      </c>
      <c r="H113">
        <v>1200</v>
      </c>
      <c r="I113">
        <v>1120</v>
      </c>
      <c r="J113">
        <v>1103</v>
      </c>
      <c r="K113">
        <v>1025</v>
      </c>
      <c r="L113">
        <v>790</v>
      </c>
      <c r="M113">
        <v>639</v>
      </c>
      <c r="N113">
        <v>213</v>
      </c>
      <c r="O113">
        <v>84</v>
      </c>
      <c r="P113">
        <v>11235</v>
      </c>
    </row>
    <row r="114" spans="1:16" x14ac:dyDescent="0.25">
      <c r="A114" t="s">
        <v>120</v>
      </c>
      <c r="B114" t="s">
        <v>2</v>
      </c>
      <c r="C114">
        <v>2017</v>
      </c>
      <c r="D114">
        <v>275</v>
      </c>
      <c r="E114">
        <v>1800</v>
      </c>
      <c r="F114">
        <v>1746</v>
      </c>
      <c r="G114">
        <v>1429</v>
      </c>
      <c r="H114">
        <v>1248</v>
      </c>
      <c r="I114">
        <v>1141</v>
      </c>
      <c r="J114">
        <v>1109</v>
      </c>
      <c r="K114">
        <v>1087</v>
      </c>
      <c r="L114">
        <v>790</v>
      </c>
      <c r="M114">
        <v>678</v>
      </c>
      <c r="N114">
        <v>232</v>
      </c>
      <c r="O114">
        <v>91</v>
      </c>
      <c r="P114">
        <v>11626</v>
      </c>
    </row>
    <row r="115" spans="1:16" x14ac:dyDescent="0.25">
      <c r="A115" t="s">
        <v>120</v>
      </c>
      <c r="B115" t="s">
        <v>2</v>
      </c>
      <c r="C115">
        <v>2018</v>
      </c>
      <c r="D115">
        <v>260</v>
      </c>
      <c r="E115">
        <v>1692</v>
      </c>
      <c r="F115">
        <v>1791</v>
      </c>
      <c r="G115">
        <v>1448</v>
      </c>
      <c r="H115">
        <v>1215</v>
      </c>
      <c r="I115">
        <v>1156</v>
      </c>
      <c r="J115">
        <v>1076</v>
      </c>
      <c r="K115">
        <v>1116</v>
      </c>
      <c r="L115">
        <v>853</v>
      </c>
      <c r="M115">
        <v>683</v>
      </c>
      <c r="N115">
        <v>254</v>
      </c>
      <c r="O115">
        <v>82</v>
      </c>
      <c r="P115">
        <v>11626</v>
      </c>
    </row>
    <row r="116" spans="1:16" x14ac:dyDescent="0.25">
      <c r="A116" t="s">
        <v>120</v>
      </c>
      <c r="B116" t="s">
        <v>2</v>
      </c>
      <c r="C116">
        <v>2019</v>
      </c>
      <c r="D116">
        <v>183</v>
      </c>
      <c r="E116">
        <v>1168</v>
      </c>
      <c r="F116">
        <v>1810</v>
      </c>
      <c r="G116">
        <v>1456</v>
      </c>
      <c r="H116">
        <v>1182</v>
      </c>
      <c r="I116">
        <v>1067</v>
      </c>
      <c r="J116">
        <v>1081</v>
      </c>
      <c r="K116">
        <v>1094</v>
      </c>
      <c r="L116">
        <v>878</v>
      </c>
      <c r="M116">
        <v>660</v>
      </c>
      <c r="N116">
        <v>232</v>
      </c>
      <c r="O116">
        <v>101</v>
      </c>
      <c r="P116">
        <v>10912</v>
      </c>
    </row>
    <row r="117" spans="1:16" x14ac:dyDescent="0.25">
      <c r="A117" t="s">
        <v>120</v>
      </c>
      <c r="B117" t="s">
        <v>2</v>
      </c>
      <c r="C117">
        <v>2020</v>
      </c>
      <c r="D117">
        <v>188</v>
      </c>
      <c r="E117">
        <v>1123</v>
      </c>
      <c r="F117">
        <v>1667</v>
      </c>
      <c r="G117">
        <v>1518</v>
      </c>
      <c r="H117">
        <v>1220</v>
      </c>
      <c r="I117">
        <v>1136</v>
      </c>
      <c r="J117">
        <v>1122</v>
      </c>
      <c r="K117">
        <v>1153</v>
      </c>
      <c r="L117">
        <v>941</v>
      </c>
      <c r="M117">
        <v>705</v>
      </c>
      <c r="N117">
        <v>229</v>
      </c>
      <c r="O117">
        <v>78</v>
      </c>
      <c r="P117">
        <v>11080</v>
      </c>
    </row>
    <row r="118" spans="1:16" x14ac:dyDescent="0.25">
      <c r="A118" t="s">
        <v>120</v>
      </c>
      <c r="B118" t="s">
        <v>2</v>
      </c>
      <c r="C118">
        <v>2021</v>
      </c>
      <c r="D118">
        <v>233</v>
      </c>
      <c r="E118">
        <v>1238</v>
      </c>
      <c r="F118">
        <v>1779</v>
      </c>
      <c r="G118">
        <v>1583</v>
      </c>
      <c r="H118">
        <v>1338</v>
      </c>
      <c r="I118">
        <v>1241</v>
      </c>
      <c r="J118">
        <v>1178</v>
      </c>
      <c r="K118">
        <v>1141</v>
      </c>
      <c r="L118">
        <v>997</v>
      </c>
      <c r="M118">
        <v>719</v>
      </c>
      <c r="N118">
        <v>255</v>
      </c>
      <c r="O118">
        <v>90</v>
      </c>
      <c r="P118">
        <v>11792</v>
      </c>
    </row>
    <row r="119" spans="1:16" x14ac:dyDescent="0.25">
      <c r="A119" t="s">
        <v>120</v>
      </c>
      <c r="B119" t="s">
        <v>2</v>
      </c>
      <c r="C119">
        <v>2022</v>
      </c>
      <c r="D119">
        <v>327</v>
      </c>
      <c r="E119">
        <v>1440</v>
      </c>
      <c r="F119">
        <v>1678</v>
      </c>
      <c r="G119">
        <v>1581</v>
      </c>
      <c r="H119">
        <v>1419</v>
      </c>
      <c r="I119">
        <v>1273</v>
      </c>
      <c r="J119">
        <v>1234</v>
      </c>
      <c r="K119">
        <v>1156</v>
      </c>
      <c r="L119">
        <v>1102</v>
      </c>
      <c r="M119">
        <v>742</v>
      </c>
      <c r="N119">
        <v>294</v>
      </c>
      <c r="O119">
        <v>105</v>
      </c>
      <c r="P119">
        <v>12351</v>
      </c>
    </row>
    <row r="120" spans="1:16" x14ac:dyDescent="0.25">
      <c r="A120" t="s">
        <v>120</v>
      </c>
      <c r="B120" t="s">
        <v>2</v>
      </c>
      <c r="C120">
        <v>2023</v>
      </c>
      <c r="D120">
        <v>347</v>
      </c>
      <c r="E120">
        <v>1419</v>
      </c>
      <c r="F120">
        <v>1604</v>
      </c>
      <c r="G120">
        <v>1607</v>
      </c>
      <c r="H120">
        <v>1383</v>
      </c>
      <c r="I120">
        <v>1259</v>
      </c>
      <c r="J120">
        <v>1216</v>
      </c>
      <c r="K120">
        <v>1169</v>
      </c>
      <c r="L120">
        <v>1120</v>
      </c>
      <c r="M120">
        <v>757</v>
      </c>
      <c r="N120">
        <v>298</v>
      </c>
      <c r="O120">
        <v>115</v>
      </c>
      <c r="P120">
        <v>12294</v>
      </c>
    </row>
    <row r="121" spans="1:16" x14ac:dyDescent="0.25">
      <c r="A121" t="s">
        <v>120</v>
      </c>
      <c r="B121" t="s">
        <v>2</v>
      </c>
      <c r="C121">
        <v>2024</v>
      </c>
      <c r="D121">
        <v>304</v>
      </c>
      <c r="E121">
        <v>1422</v>
      </c>
      <c r="F121">
        <v>1525</v>
      </c>
      <c r="G121">
        <v>1654</v>
      </c>
      <c r="H121">
        <v>1462</v>
      </c>
      <c r="I121">
        <v>1258</v>
      </c>
      <c r="J121">
        <v>1228</v>
      </c>
      <c r="K121">
        <v>1177</v>
      </c>
      <c r="L121">
        <v>1138</v>
      </c>
      <c r="M121">
        <v>807</v>
      </c>
      <c r="N121">
        <v>316</v>
      </c>
      <c r="O121">
        <v>111</v>
      </c>
      <c r="P121">
        <v>12402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62B6-EAF6-429F-A99C-4D70A9D64714}">
  <dimension ref="A1:V121"/>
  <sheetViews>
    <sheetView workbookViewId="0"/>
  </sheetViews>
  <sheetFormatPr defaultRowHeight="15" x14ac:dyDescent="0.25"/>
  <sheetData>
    <row r="1" spans="1:22" x14ac:dyDescent="0.25">
      <c r="A1" s="4" t="s">
        <v>22</v>
      </c>
      <c r="B1" s="4" t="s">
        <v>23</v>
      </c>
      <c r="C1" s="4">
        <v>2005</v>
      </c>
      <c r="D1" s="4">
        <v>2006</v>
      </c>
      <c r="E1" s="4">
        <v>2007</v>
      </c>
      <c r="F1" s="4">
        <v>2008</v>
      </c>
      <c r="G1" s="4">
        <v>2009</v>
      </c>
      <c r="H1" s="4">
        <v>2010</v>
      </c>
      <c r="I1" s="4">
        <v>2011</v>
      </c>
      <c r="J1" s="4">
        <v>2012</v>
      </c>
      <c r="K1" s="4">
        <v>2013</v>
      </c>
      <c r="L1" s="4">
        <v>2014</v>
      </c>
      <c r="M1" s="4">
        <v>2015</v>
      </c>
      <c r="N1" s="4">
        <v>2016</v>
      </c>
      <c r="O1" s="4">
        <v>2017</v>
      </c>
      <c r="P1" s="4">
        <v>2018</v>
      </c>
      <c r="Q1" s="4">
        <v>2019</v>
      </c>
      <c r="R1" s="4">
        <v>2020</v>
      </c>
      <c r="S1" s="4">
        <v>2021</v>
      </c>
      <c r="T1" s="4">
        <v>2022</v>
      </c>
      <c r="U1" s="4">
        <v>2023</v>
      </c>
      <c r="V1" s="4">
        <v>2024</v>
      </c>
    </row>
    <row r="2" spans="1:22" x14ac:dyDescent="0.25">
      <c r="A2" t="s">
        <v>0</v>
      </c>
      <c r="B2" t="s">
        <v>57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>
        <v>2</v>
      </c>
      <c r="I2">
        <v>2</v>
      </c>
      <c r="J2">
        <v>2</v>
      </c>
      <c r="K2">
        <v>3</v>
      </c>
      <c r="L2">
        <v>1</v>
      </c>
      <c r="M2">
        <v>0</v>
      </c>
      <c r="N2">
        <v>1</v>
      </c>
      <c r="O2">
        <v>2</v>
      </c>
      <c r="P2">
        <v>0</v>
      </c>
      <c r="Q2">
        <v>21</v>
      </c>
      <c r="R2">
        <v>22</v>
      </c>
      <c r="S2">
        <v>30</v>
      </c>
      <c r="T2">
        <v>47</v>
      </c>
      <c r="U2">
        <v>50</v>
      </c>
      <c r="V2">
        <v>45</v>
      </c>
    </row>
    <row r="3" spans="1:22" x14ac:dyDescent="0.25">
      <c r="A3" t="s">
        <v>0</v>
      </c>
      <c r="B3" t="s">
        <v>59</v>
      </c>
      <c r="C3">
        <v>8</v>
      </c>
      <c r="D3">
        <v>6</v>
      </c>
      <c r="E3">
        <v>2</v>
      </c>
      <c r="F3">
        <v>5</v>
      </c>
      <c r="G3">
        <v>4</v>
      </c>
      <c r="H3">
        <v>4</v>
      </c>
      <c r="I3">
        <v>8</v>
      </c>
      <c r="J3">
        <v>6</v>
      </c>
      <c r="K3">
        <v>10</v>
      </c>
      <c r="L3">
        <v>5</v>
      </c>
      <c r="M3">
        <v>10</v>
      </c>
      <c r="N3">
        <v>12</v>
      </c>
      <c r="O3">
        <v>10</v>
      </c>
      <c r="P3">
        <v>16</v>
      </c>
      <c r="Q3">
        <v>64</v>
      </c>
      <c r="R3">
        <v>39</v>
      </c>
      <c r="S3">
        <v>61</v>
      </c>
      <c r="T3">
        <v>60</v>
      </c>
      <c r="U3">
        <v>106</v>
      </c>
      <c r="V3">
        <v>78</v>
      </c>
    </row>
    <row r="4" spans="1:22" x14ac:dyDescent="0.25">
      <c r="A4" t="s">
        <v>0</v>
      </c>
      <c r="B4" t="s">
        <v>60</v>
      </c>
      <c r="C4">
        <v>30</v>
      </c>
      <c r="D4">
        <v>31</v>
      </c>
      <c r="E4">
        <v>18</v>
      </c>
      <c r="F4">
        <v>26</v>
      </c>
      <c r="G4">
        <v>21</v>
      </c>
      <c r="H4">
        <v>29</v>
      </c>
      <c r="I4">
        <v>37</v>
      </c>
      <c r="J4">
        <v>28</v>
      </c>
      <c r="K4">
        <v>31</v>
      </c>
      <c r="L4">
        <v>19</v>
      </c>
      <c r="M4">
        <v>23</v>
      </c>
      <c r="N4">
        <v>34</v>
      </c>
      <c r="O4">
        <v>47</v>
      </c>
      <c r="P4">
        <v>41</v>
      </c>
      <c r="Q4">
        <v>110</v>
      </c>
      <c r="R4">
        <v>103</v>
      </c>
      <c r="S4">
        <v>114</v>
      </c>
      <c r="T4">
        <v>139</v>
      </c>
      <c r="U4">
        <v>152</v>
      </c>
      <c r="V4">
        <v>138</v>
      </c>
    </row>
    <row r="5" spans="1:22" x14ac:dyDescent="0.25">
      <c r="A5" t="s">
        <v>0</v>
      </c>
      <c r="B5" t="s">
        <v>61</v>
      </c>
      <c r="C5">
        <v>93</v>
      </c>
      <c r="D5">
        <v>98</v>
      </c>
      <c r="E5">
        <v>80</v>
      </c>
      <c r="F5">
        <v>87</v>
      </c>
      <c r="G5">
        <v>71</v>
      </c>
      <c r="H5">
        <v>91</v>
      </c>
      <c r="I5">
        <v>99</v>
      </c>
      <c r="J5">
        <v>111</v>
      </c>
      <c r="K5">
        <v>90</v>
      </c>
      <c r="L5">
        <v>95</v>
      </c>
      <c r="M5">
        <v>78</v>
      </c>
      <c r="N5">
        <v>119</v>
      </c>
      <c r="O5">
        <v>128</v>
      </c>
      <c r="P5">
        <v>163</v>
      </c>
      <c r="Q5">
        <v>191</v>
      </c>
      <c r="R5">
        <v>229</v>
      </c>
      <c r="S5">
        <v>249</v>
      </c>
      <c r="T5">
        <v>320</v>
      </c>
      <c r="U5">
        <v>246</v>
      </c>
      <c r="V5">
        <v>263</v>
      </c>
    </row>
    <row r="6" spans="1:22" x14ac:dyDescent="0.25">
      <c r="A6" t="s">
        <v>0</v>
      </c>
      <c r="B6" t="s">
        <v>62</v>
      </c>
      <c r="C6">
        <v>313</v>
      </c>
      <c r="D6">
        <v>340</v>
      </c>
      <c r="E6">
        <v>388</v>
      </c>
      <c r="F6">
        <v>389</v>
      </c>
      <c r="G6">
        <v>321</v>
      </c>
      <c r="H6">
        <v>399</v>
      </c>
      <c r="I6">
        <v>396</v>
      </c>
      <c r="J6">
        <v>384</v>
      </c>
      <c r="K6">
        <v>378</v>
      </c>
      <c r="L6">
        <v>370</v>
      </c>
      <c r="M6">
        <v>387</v>
      </c>
      <c r="N6">
        <v>441</v>
      </c>
      <c r="O6">
        <v>479</v>
      </c>
      <c r="P6">
        <v>479</v>
      </c>
      <c r="Q6">
        <v>446</v>
      </c>
      <c r="R6">
        <v>372</v>
      </c>
      <c r="S6">
        <v>469</v>
      </c>
      <c r="T6">
        <v>512</v>
      </c>
      <c r="U6">
        <v>504</v>
      </c>
      <c r="V6">
        <v>493</v>
      </c>
    </row>
    <row r="7" spans="1:22" x14ac:dyDescent="0.25">
      <c r="A7" t="s">
        <v>0</v>
      </c>
      <c r="B7" t="s">
        <v>63</v>
      </c>
      <c r="C7">
        <v>323</v>
      </c>
      <c r="D7">
        <v>435</v>
      </c>
      <c r="E7">
        <v>444</v>
      </c>
      <c r="F7">
        <v>475</v>
      </c>
      <c r="G7">
        <v>361</v>
      </c>
      <c r="H7">
        <v>421</v>
      </c>
      <c r="I7">
        <v>516</v>
      </c>
      <c r="J7">
        <v>472</v>
      </c>
      <c r="K7">
        <v>481</v>
      </c>
      <c r="L7">
        <v>478</v>
      </c>
      <c r="M7">
        <v>470</v>
      </c>
      <c r="N7">
        <v>547</v>
      </c>
      <c r="O7">
        <v>576</v>
      </c>
      <c r="P7">
        <v>591</v>
      </c>
      <c r="Q7">
        <v>518</v>
      </c>
      <c r="R7">
        <v>522</v>
      </c>
      <c r="S7">
        <v>574</v>
      </c>
      <c r="T7">
        <v>617</v>
      </c>
      <c r="U7">
        <v>602</v>
      </c>
      <c r="V7">
        <v>627</v>
      </c>
    </row>
    <row r="8" spans="1:22" x14ac:dyDescent="0.25">
      <c r="A8" t="s">
        <v>0</v>
      </c>
      <c r="B8" t="s">
        <v>64</v>
      </c>
      <c r="C8">
        <v>453</v>
      </c>
      <c r="D8">
        <v>469</v>
      </c>
      <c r="E8">
        <v>567</v>
      </c>
      <c r="F8">
        <v>591</v>
      </c>
      <c r="G8">
        <v>532</v>
      </c>
      <c r="H8">
        <v>512</v>
      </c>
      <c r="I8">
        <v>582</v>
      </c>
      <c r="J8">
        <v>583</v>
      </c>
      <c r="K8">
        <v>585</v>
      </c>
      <c r="L8">
        <v>581</v>
      </c>
      <c r="M8">
        <v>583</v>
      </c>
      <c r="N8">
        <v>599</v>
      </c>
      <c r="O8">
        <v>626</v>
      </c>
      <c r="P8">
        <v>604</v>
      </c>
      <c r="Q8">
        <v>605</v>
      </c>
      <c r="R8">
        <v>606</v>
      </c>
      <c r="S8">
        <v>614</v>
      </c>
      <c r="T8">
        <v>635</v>
      </c>
      <c r="U8">
        <v>695</v>
      </c>
      <c r="V8">
        <v>672</v>
      </c>
    </row>
    <row r="9" spans="1:22" x14ac:dyDescent="0.25">
      <c r="A9" t="s">
        <v>0</v>
      </c>
      <c r="B9" t="s">
        <v>65</v>
      </c>
      <c r="C9">
        <v>514</v>
      </c>
      <c r="D9">
        <v>528</v>
      </c>
      <c r="E9">
        <v>611</v>
      </c>
      <c r="F9">
        <v>615</v>
      </c>
      <c r="G9">
        <v>502</v>
      </c>
      <c r="H9">
        <v>649</v>
      </c>
      <c r="I9">
        <v>604</v>
      </c>
      <c r="J9">
        <v>633</v>
      </c>
      <c r="K9">
        <v>666</v>
      </c>
      <c r="L9">
        <v>665</v>
      </c>
      <c r="M9">
        <v>641</v>
      </c>
      <c r="N9">
        <v>763</v>
      </c>
      <c r="O9">
        <v>737</v>
      </c>
      <c r="P9">
        <v>715</v>
      </c>
      <c r="Q9">
        <v>669</v>
      </c>
      <c r="R9">
        <v>680</v>
      </c>
      <c r="S9">
        <v>748</v>
      </c>
      <c r="T9">
        <v>779</v>
      </c>
      <c r="U9">
        <v>703</v>
      </c>
      <c r="V9">
        <v>769</v>
      </c>
    </row>
    <row r="10" spans="1:22" x14ac:dyDescent="0.25">
      <c r="A10" t="s">
        <v>0</v>
      </c>
      <c r="B10" t="s">
        <v>66</v>
      </c>
      <c r="C10">
        <v>532</v>
      </c>
      <c r="D10">
        <v>610</v>
      </c>
      <c r="E10">
        <v>643</v>
      </c>
      <c r="F10">
        <v>700</v>
      </c>
      <c r="G10">
        <v>570</v>
      </c>
      <c r="H10">
        <v>646</v>
      </c>
      <c r="I10">
        <v>753</v>
      </c>
      <c r="J10">
        <v>686</v>
      </c>
      <c r="K10">
        <v>729</v>
      </c>
      <c r="L10">
        <v>836</v>
      </c>
      <c r="M10">
        <v>750</v>
      </c>
      <c r="N10">
        <v>804</v>
      </c>
      <c r="O10">
        <v>908</v>
      </c>
      <c r="P10">
        <v>815</v>
      </c>
      <c r="Q10">
        <v>829</v>
      </c>
      <c r="R10">
        <v>719</v>
      </c>
      <c r="S10">
        <v>814</v>
      </c>
      <c r="T10">
        <v>876</v>
      </c>
      <c r="U10">
        <v>930</v>
      </c>
      <c r="V10">
        <v>769</v>
      </c>
    </row>
    <row r="11" spans="1:22" x14ac:dyDescent="0.25">
      <c r="A11" t="s">
        <v>0</v>
      </c>
      <c r="B11" t="s">
        <v>67</v>
      </c>
      <c r="C11">
        <v>605</v>
      </c>
      <c r="D11">
        <v>647</v>
      </c>
      <c r="E11">
        <v>698</v>
      </c>
      <c r="F11">
        <v>707</v>
      </c>
      <c r="G11">
        <v>687</v>
      </c>
      <c r="H11">
        <v>687</v>
      </c>
      <c r="I11">
        <v>748</v>
      </c>
      <c r="J11">
        <v>823</v>
      </c>
      <c r="K11">
        <v>822</v>
      </c>
      <c r="L11">
        <v>847</v>
      </c>
      <c r="M11">
        <v>931</v>
      </c>
      <c r="N11">
        <v>925</v>
      </c>
      <c r="O11">
        <v>974</v>
      </c>
      <c r="P11">
        <v>1002</v>
      </c>
      <c r="Q11">
        <v>930</v>
      </c>
      <c r="R11">
        <v>879</v>
      </c>
      <c r="S11">
        <v>885</v>
      </c>
      <c r="T11">
        <v>960</v>
      </c>
      <c r="U11">
        <v>999</v>
      </c>
      <c r="V11">
        <v>1019</v>
      </c>
    </row>
    <row r="12" spans="1:22" x14ac:dyDescent="0.25">
      <c r="A12" t="s">
        <v>0</v>
      </c>
      <c r="B12" t="s">
        <v>68</v>
      </c>
      <c r="C12">
        <v>617</v>
      </c>
      <c r="D12">
        <v>699</v>
      </c>
      <c r="E12">
        <v>716</v>
      </c>
      <c r="F12">
        <v>747</v>
      </c>
      <c r="G12">
        <v>625</v>
      </c>
      <c r="H12">
        <v>709</v>
      </c>
      <c r="I12">
        <v>744</v>
      </c>
      <c r="J12">
        <v>799</v>
      </c>
      <c r="K12">
        <v>910</v>
      </c>
      <c r="L12">
        <v>874</v>
      </c>
      <c r="M12">
        <v>893</v>
      </c>
      <c r="N12">
        <v>999</v>
      </c>
      <c r="O12">
        <v>964</v>
      </c>
      <c r="P12">
        <v>1011</v>
      </c>
      <c r="Q12">
        <v>1122</v>
      </c>
      <c r="R12">
        <v>979</v>
      </c>
      <c r="S12">
        <v>982</v>
      </c>
      <c r="T12">
        <v>936</v>
      </c>
      <c r="U12">
        <v>1014</v>
      </c>
      <c r="V12">
        <v>1053</v>
      </c>
    </row>
    <row r="13" spans="1:22" x14ac:dyDescent="0.25">
      <c r="A13" t="s">
        <v>0</v>
      </c>
      <c r="B13" t="s">
        <v>69</v>
      </c>
      <c r="C13">
        <v>701</v>
      </c>
      <c r="D13">
        <v>714</v>
      </c>
      <c r="E13">
        <v>803</v>
      </c>
      <c r="F13">
        <v>788</v>
      </c>
      <c r="G13">
        <v>757</v>
      </c>
      <c r="H13">
        <v>762</v>
      </c>
      <c r="I13">
        <v>786</v>
      </c>
      <c r="J13">
        <v>817</v>
      </c>
      <c r="K13">
        <v>866</v>
      </c>
      <c r="L13">
        <v>968</v>
      </c>
      <c r="M13">
        <v>911</v>
      </c>
      <c r="N13">
        <v>1003</v>
      </c>
      <c r="O13">
        <v>1083</v>
      </c>
      <c r="P13">
        <v>1061</v>
      </c>
      <c r="Q13">
        <v>1172</v>
      </c>
      <c r="R13">
        <v>1087</v>
      </c>
      <c r="S13">
        <v>1061</v>
      </c>
      <c r="T13">
        <v>1028</v>
      </c>
      <c r="U13">
        <v>997</v>
      </c>
      <c r="V13">
        <v>1014</v>
      </c>
    </row>
    <row r="14" spans="1:22" x14ac:dyDescent="0.25">
      <c r="A14" t="s">
        <v>0</v>
      </c>
      <c r="B14" t="s">
        <v>70</v>
      </c>
      <c r="C14">
        <v>737</v>
      </c>
      <c r="D14">
        <v>766</v>
      </c>
      <c r="E14">
        <v>802</v>
      </c>
      <c r="F14">
        <v>799</v>
      </c>
      <c r="G14">
        <v>792</v>
      </c>
      <c r="H14">
        <v>852</v>
      </c>
      <c r="I14">
        <v>818</v>
      </c>
      <c r="J14">
        <v>847</v>
      </c>
      <c r="K14">
        <v>876</v>
      </c>
      <c r="L14">
        <v>891</v>
      </c>
      <c r="M14">
        <v>1020</v>
      </c>
      <c r="N14">
        <v>982</v>
      </c>
      <c r="O14">
        <v>1060</v>
      </c>
      <c r="P14">
        <v>1172</v>
      </c>
      <c r="Q14">
        <v>1159</v>
      </c>
      <c r="R14">
        <v>1157</v>
      </c>
      <c r="S14">
        <v>1105</v>
      </c>
      <c r="T14">
        <v>1072</v>
      </c>
      <c r="U14">
        <v>1069</v>
      </c>
      <c r="V14">
        <v>1018</v>
      </c>
    </row>
    <row r="15" spans="1:22" x14ac:dyDescent="0.25">
      <c r="A15" t="s">
        <v>0</v>
      </c>
      <c r="B15" t="s">
        <v>71</v>
      </c>
      <c r="C15">
        <v>789</v>
      </c>
      <c r="D15">
        <v>778</v>
      </c>
      <c r="E15">
        <v>793</v>
      </c>
      <c r="F15">
        <v>813</v>
      </c>
      <c r="G15">
        <v>798</v>
      </c>
      <c r="H15">
        <v>805</v>
      </c>
      <c r="I15">
        <v>877</v>
      </c>
      <c r="J15">
        <v>845</v>
      </c>
      <c r="K15">
        <v>868</v>
      </c>
      <c r="L15">
        <v>898</v>
      </c>
      <c r="M15">
        <v>940</v>
      </c>
      <c r="N15">
        <v>1060</v>
      </c>
      <c r="O15">
        <v>1053</v>
      </c>
      <c r="P15">
        <v>1109</v>
      </c>
      <c r="Q15">
        <v>1196</v>
      </c>
      <c r="R15">
        <v>1136</v>
      </c>
      <c r="S15">
        <v>1129</v>
      </c>
      <c r="T15">
        <v>1115</v>
      </c>
      <c r="U15">
        <v>1051</v>
      </c>
      <c r="V15">
        <v>1041</v>
      </c>
    </row>
    <row r="16" spans="1:22" x14ac:dyDescent="0.25">
      <c r="A16" t="s">
        <v>0</v>
      </c>
      <c r="B16" t="s">
        <v>72</v>
      </c>
      <c r="C16">
        <v>856</v>
      </c>
      <c r="D16">
        <v>821</v>
      </c>
      <c r="E16">
        <v>808</v>
      </c>
      <c r="F16">
        <v>813</v>
      </c>
      <c r="G16">
        <v>787</v>
      </c>
      <c r="H16">
        <v>816</v>
      </c>
      <c r="I16">
        <v>845</v>
      </c>
      <c r="J16">
        <v>884</v>
      </c>
      <c r="K16">
        <v>839</v>
      </c>
      <c r="L16">
        <v>893</v>
      </c>
      <c r="M16">
        <v>898</v>
      </c>
      <c r="N16">
        <v>963</v>
      </c>
      <c r="O16">
        <v>1090</v>
      </c>
      <c r="P16">
        <v>1063</v>
      </c>
      <c r="Q16">
        <v>1104</v>
      </c>
      <c r="R16">
        <v>1178</v>
      </c>
      <c r="S16">
        <v>1156</v>
      </c>
      <c r="T16">
        <v>1126</v>
      </c>
      <c r="U16">
        <v>1159</v>
      </c>
      <c r="V16">
        <v>1050</v>
      </c>
    </row>
    <row r="17" spans="1:22" x14ac:dyDescent="0.25">
      <c r="A17" t="s">
        <v>0</v>
      </c>
      <c r="B17" t="s">
        <v>73</v>
      </c>
      <c r="C17">
        <v>793</v>
      </c>
      <c r="D17">
        <v>856</v>
      </c>
      <c r="E17">
        <v>852</v>
      </c>
      <c r="F17">
        <v>775</v>
      </c>
      <c r="G17">
        <v>802</v>
      </c>
      <c r="H17">
        <v>811</v>
      </c>
      <c r="I17">
        <v>829</v>
      </c>
      <c r="J17">
        <v>873</v>
      </c>
      <c r="K17">
        <v>908</v>
      </c>
      <c r="L17">
        <v>852</v>
      </c>
      <c r="M17">
        <v>921</v>
      </c>
      <c r="N17">
        <v>958</v>
      </c>
      <c r="O17">
        <v>973</v>
      </c>
      <c r="P17">
        <v>1083</v>
      </c>
      <c r="Q17">
        <v>1089</v>
      </c>
      <c r="R17">
        <v>1090</v>
      </c>
      <c r="S17">
        <v>1197</v>
      </c>
      <c r="T17">
        <v>1149</v>
      </c>
      <c r="U17">
        <v>1154</v>
      </c>
      <c r="V17">
        <v>1142</v>
      </c>
    </row>
    <row r="18" spans="1:22" x14ac:dyDescent="0.25">
      <c r="A18" t="s">
        <v>0</v>
      </c>
      <c r="B18" t="s">
        <v>74</v>
      </c>
      <c r="C18">
        <v>865</v>
      </c>
      <c r="D18">
        <v>795</v>
      </c>
      <c r="E18">
        <v>863</v>
      </c>
      <c r="F18">
        <v>840</v>
      </c>
      <c r="G18">
        <v>758</v>
      </c>
      <c r="H18">
        <v>827</v>
      </c>
      <c r="I18">
        <v>850</v>
      </c>
      <c r="J18">
        <v>844</v>
      </c>
      <c r="K18">
        <v>856</v>
      </c>
      <c r="L18">
        <v>918</v>
      </c>
      <c r="M18">
        <v>855</v>
      </c>
      <c r="N18">
        <v>944</v>
      </c>
      <c r="O18">
        <v>949</v>
      </c>
      <c r="P18">
        <v>984</v>
      </c>
      <c r="Q18">
        <v>1089</v>
      </c>
      <c r="R18">
        <v>1061</v>
      </c>
      <c r="S18">
        <v>1081</v>
      </c>
      <c r="T18">
        <v>1194</v>
      </c>
      <c r="U18">
        <v>1142</v>
      </c>
      <c r="V18">
        <v>1124</v>
      </c>
    </row>
    <row r="19" spans="1:22" x14ac:dyDescent="0.25">
      <c r="A19" t="s">
        <v>0</v>
      </c>
      <c r="B19" t="s">
        <v>75</v>
      </c>
      <c r="C19">
        <v>895</v>
      </c>
      <c r="D19">
        <v>870</v>
      </c>
      <c r="E19">
        <v>839</v>
      </c>
      <c r="F19">
        <v>867</v>
      </c>
      <c r="G19">
        <v>821</v>
      </c>
      <c r="H19">
        <v>774</v>
      </c>
      <c r="I19">
        <v>810</v>
      </c>
      <c r="J19">
        <v>838</v>
      </c>
      <c r="K19">
        <v>840</v>
      </c>
      <c r="L19">
        <v>847</v>
      </c>
      <c r="M19">
        <v>937</v>
      </c>
      <c r="N19">
        <v>865</v>
      </c>
      <c r="O19">
        <v>968</v>
      </c>
      <c r="P19">
        <v>990</v>
      </c>
      <c r="Q19">
        <v>1001</v>
      </c>
      <c r="R19">
        <v>1076</v>
      </c>
      <c r="S19">
        <v>1053</v>
      </c>
      <c r="T19">
        <v>1104</v>
      </c>
      <c r="U19">
        <v>1187</v>
      </c>
      <c r="V19">
        <v>1144</v>
      </c>
    </row>
    <row r="20" spans="1:22" x14ac:dyDescent="0.25">
      <c r="A20" t="s">
        <v>0</v>
      </c>
      <c r="B20" t="s">
        <v>76</v>
      </c>
      <c r="C20">
        <v>876</v>
      </c>
      <c r="D20">
        <v>890</v>
      </c>
      <c r="E20">
        <v>899</v>
      </c>
      <c r="F20">
        <v>834</v>
      </c>
      <c r="G20">
        <v>851</v>
      </c>
      <c r="H20">
        <v>833</v>
      </c>
      <c r="I20">
        <v>809</v>
      </c>
      <c r="J20">
        <v>809</v>
      </c>
      <c r="K20">
        <v>839</v>
      </c>
      <c r="L20">
        <v>844</v>
      </c>
      <c r="M20">
        <v>831</v>
      </c>
      <c r="N20">
        <v>944</v>
      </c>
      <c r="O20">
        <v>883</v>
      </c>
      <c r="P20">
        <v>974</v>
      </c>
      <c r="Q20">
        <v>1020</v>
      </c>
      <c r="R20">
        <v>991</v>
      </c>
      <c r="S20">
        <v>1067</v>
      </c>
      <c r="T20">
        <v>1073</v>
      </c>
      <c r="U20">
        <v>1116</v>
      </c>
      <c r="V20">
        <v>1151</v>
      </c>
    </row>
    <row r="21" spans="1:22" x14ac:dyDescent="0.25">
      <c r="A21" t="s">
        <v>0</v>
      </c>
      <c r="B21" t="s">
        <v>77</v>
      </c>
      <c r="C21">
        <v>854</v>
      </c>
      <c r="D21">
        <v>857</v>
      </c>
      <c r="E21">
        <v>884</v>
      </c>
      <c r="F21">
        <v>887</v>
      </c>
      <c r="G21">
        <v>813</v>
      </c>
      <c r="H21">
        <v>854</v>
      </c>
      <c r="I21">
        <v>832</v>
      </c>
      <c r="J21">
        <v>809</v>
      </c>
      <c r="K21">
        <v>835</v>
      </c>
      <c r="L21">
        <v>862</v>
      </c>
      <c r="M21">
        <v>835</v>
      </c>
      <c r="N21">
        <v>856</v>
      </c>
      <c r="O21">
        <v>951</v>
      </c>
      <c r="P21">
        <v>870</v>
      </c>
      <c r="Q21">
        <v>979</v>
      </c>
      <c r="R21">
        <v>1003</v>
      </c>
      <c r="S21">
        <v>994</v>
      </c>
      <c r="T21">
        <v>1065</v>
      </c>
      <c r="U21">
        <v>1068</v>
      </c>
      <c r="V21">
        <v>1097</v>
      </c>
    </row>
    <row r="22" spans="1:22" x14ac:dyDescent="0.25">
      <c r="A22" t="s">
        <v>0</v>
      </c>
      <c r="B22" t="s">
        <v>78</v>
      </c>
      <c r="C22">
        <v>792</v>
      </c>
      <c r="D22">
        <v>862</v>
      </c>
      <c r="E22">
        <v>856</v>
      </c>
      <c r="F22">
        <v>891</v>
      </c>
      <c r="G22">
        <v>859</v>
      </c>
      <c r="H22">
        <v>814</v>
      </c>
      <c r="I22">
        <v>857</v>
      </c>
      <c r="J22">
        <v>830</v>
      </c>
      <c r="K22">
        <v>816</v>
      </c>
      <c r="L22">
        <v>826</v>
      </c>
      <c r="M22">
        <v>862</v>
      </c>
      <c r="N22">
        <v>855</v>
      </c>
      <c r="O22">
        <v>876</v>
      </c>
      <c r="P22">
        <v>955</v>
      </c>
      <c r="Q22">
        <v>879</v>
      </c>
      <c r="R22">
        <v>976</v>
      </c>
      <c r="S22">
        <v>995</v>
      </c>
      <c r="T22">
        <v>988</v>
      </c>
      <c r="U22">
        <v>1073</v>
      </c>
      <c r="V22">
        <v>1065</v>
      </c>
    </row>
    <row r="23" spans="1:22" x14ac:dyDescent="0.25">
      <c r="A23" t="s">
        <v>0</v>
      </c>
      <c r="B23" t="s">
        <v>79</v>
      </c>
      <c r="C23">
        <v>802</v>
      </c>
      <c r="D23">
        <v>796</v>
      </c>
      <c r="E23">
        <v>877</v>
      </c>
      <c r="F23">
        <v>852</v>
      </c>
      <c r="G23">
        <v>853</v>
      </c>
      <c r="H23">
        <v>861</v>
      </c>
      <c r="I23">
        <v>832</v>
      </c>
      <c r="J23">
        <v>882</v>
      </c>
      <c r="K23">
        <v>857</v>
      </c>
      <c r="L23">
        <v>822</v>
      </c>
      <c r="M23">
        <v>836</v>
      </c>
      <c r="N23">
        <v>882</v>
      </c>
      <c r="O23">
        <v>874</v>
      </c>
      <c r="P23">
        <v>883</v>
      </c>
      <c r="Q23">
        <v>965</v>
      </c>
      <c r="R23">
        <v>869</v>
      </c>
      <c r="S23">
        <v>968</v>
      </c>
      <c r="T23">
        <v>968</v>
      </c>
      <c r="U23">
        <v>984</v>
      </c>
      <c r="V23">
        <v>1045</v>
      </c>
    </row>
    <row r="24" spans="1:22" x14ac:dyDescent="0.25">
      <c r="A24" t="s">
        <v>0</v>
      </c>
      <c r="B24" t="s">
        <v>80</v>
      </c>
      <c r="C24">
        <v>821</v>
      </c>
      <c r="D24">
        <v>823</v>
      </c>
      <c r="E24">
        <v>801</v>
      </c>
      <c r="F24">
        <v>888</v>
      </c>
      <c r="G24">
        <v>848</v>
      </c>
      <c r="H24">
        <v>870</v>
      </c>
      <c r="I24">
        <v>893</v>
      </c>
      <c r="J24">
        <v>841</v>
      </c>
      <c r="K24">
        <v>888</v>
      </c>
      <c r="L24">
        <v>863</v>
      </c>
      <c r="M24">
        <v>836</v>
      </c>
      <c r="N24">
        <v>841</v>
      </c>
      <c r="O24">
        <v>894</v>
      </c>
      <c r="P24">
        <v>870</v>
      </c>
      <c r="Q24">
        <v>889</v>
      </c>
      <c r="R24">
        <v>941</v>
      </c>
      <c r="S24">
        <v>890</v>
      </c>
      <c r="T24">
        <v>984</v>
      </c>
      <c r="U24">
        <v>986</v>
      </c>
      <c r="V24">
        <v>953</v>
      </c>
    </row>
    <row r="25" spans="1:22" x14ac:dyDescent="0.25">
      <c r="A25" t="s">
        <v>0</v>
      </c>
      <c r="B25" t="s">
        <v>81</v>
      </c>
      <c r="C25">
        <v>911</v>
      </c>
      <c r="D25">
        <v>839</v>
      </c>
      <c r="E25">
        <v>845</v>
      </c>
      <c r="F25">
        <v>822</v>
      </c>
      <c r="G25">
        <v>867</v>
      </c>
      <c r="H25">
        <v>865</v>
      </c>
      <c r="I25">
        <v>878</v>
      </c>
      <c r="J25">
        <v>895</v>
      </c>
      <c r="K25">
        <v>839</v>
      </c>
      <c r="L25">
        <v>894</v>
      </c>
      <c r="M25">
        <v>870</v>
      </c>
      <c r="N25">
        <v>863</v>
      </c>
      <c r="O25">
        <v>866</v>
      </c>
      <c r="P25">
        <v>897</v>
      </c>
      <c r="Q25">
        <v>874</v>
      </c>
      <c r="R25">
        <v>883</v>
      </c>
      <c r="S25">
        <v>955</v>
      </c>
      <c r="T25">
        <v>916</v>
      </c>
      <c r="U25">
        <v>962</v>
      </c>
      <c r="V25">
        <v>960</v>
      </c>
    </row>
    <row r="26" spans="1:22" x14ac:dyDescent="0.25">
      <c r="A26" t="s">
        <v>0</v>
      </c>
      <c r="B26" t="s">
        <v>82</v>
      </c>
      <c r="C26">
        <v>833</v>
      </c>
      <c r="D26">
        <v>917</v>
      </c>
      <c r="E26">
        <v>865</v>
      </c>
      <c r="F26">
        <v>848</v>
      </c>
      <c r="G26">
        <v>803</v>
      </c>
      <c r="H26">
        <v>876</v>
      </c>
      <c r="I26">
        <v>884</v>
      </c>
      <c r="J26">
        <v>885</v>
      </c>
      <c r="K26">
        <v>897</v>
      </c>
      <c r="L26">
        <v>845</v>
      </c>
      <c r="M26">
        <v>893</v>
      </c>
      <c r="N26">
        <v>869</v>
      </c>
      <c r="O26">
        <v>863</v>
      </c>
      <c r="P26">
        <v>865</v>
      </c>
      <c r="Q26">
        <v>887</v>
      </c>
      <c r="R26">
        <v>867</v>
      </c>
      <c r="S26">
        <v>892</v>
      </c>
      <c r="T26">
        <v>948</v>
      </c>
      <c r="U26">
        <v>918</v>
      </c>
      <c r="V26">
        <v>938</v>
      </c>
    </row>
    <row r="27" spans="1:22" x14ac:dyDescent="0.25">
      <c r="A27" t="s">
        <v>0</v>
      </c>
      <c r="B27" t="s">
        <v>83</v>
      </c>
      <c r="C27">
        <v>904</v>
      </c>
      <c r="D27">
        <v>833</v>
      </c>
      <c r="E27">
        <v>923</v>
      </c>
      <c r="F27">
        <v>861</v>
      </c>
      <c r="G27">
        <v>842</v>
      </c>
      <c r="H27">
        <v>833</v>
      </c>
      <c r="I27">
        <v>889</v>
      </c>
      <c r="J27">
        <v>882</v>
      </c>
      <c r="K27">
        <v>893</v>
      </c>
      <c r="L27">
        <v>910</v>
      </c>
      <c r="M27">
        <v>844</v>
      </c>
      <c r="N27">
        <v>924</v>
      </c>
      <c r="O27">
        <v>863</v>
      </c>
      <c r="P27">
        <v>870</v>
      </c>
      <c r="Q27">
        <v>864</v>
      </c>
      <c r="R27">
        <v>897</v>
      </c>
      <c r="S27">
        <v>866</v>
      </c>
      <c r="T27">
        <v>893</v>
      </c>
      <c r="U27">
        <v>943</v>
      </c>
      <c r="V27">
        <v>921</v>
      </c>
    </row>
    <row r="28" spans="1:22" x14ac:dyDescent="0.25">
      <c r="A28" t="s">
        <v>0</v>
      </c>
      <c r="B28" t="s">
        <v>84</v>
      </c>
      <c r="C28">
        <v>876</v>
      </c>
      <c r="D28">
        <v>911</v>
      </c>
      <c r="E28">
        <v>839</v>
      </c>
      <c r="F28">
        <v>930</v>
      </c>
      <c r="G28">
        <v>838</v>
      </c>
      <c r="H28">
        <v>836</v>
      </c>
      <c r="I28">
        <v>830</v>
      </c>
      <c r="J28">
        <v>884</v>
      </c>
      <c r="K28">
        <v>885</v>
      </c>
      <c r="L28">
        <v>899</v>
      </c>
      <c r="M28">
        <v>918</v>
      </c>
      <c r="N28">
        <v>846</v>
      </c>
      <c r="O28">
        <v>926</v>
      </c>
      <c r="P28">
        <v>868</v>
      </c>
      <c r="Q28">
        <v>868</v>
      </c>
      <c r="R28">
        <v>849</v>
      </c>
      <c r="S28">
        <v>897</v>
      </c>
      <c r="T28">
        <v>860</v>
      </c>
      <c r="U28">
        <v>911</v>
      </c>
      <c r="V28">
        <v>945</v>
      </c>
    </row>
    <row r="29" spans="1:22" x14ac:dyDescent="0.25">
      <c r="A29" t="s">
        <v>0</v>
      </c>
      <c r="B29" t="s">
        <v>85</v>
      </c>
      <c r="C29">
        <v>812</v>
      </c>
      <c r="D29">
        <v>878</v>
      </c>
      <c r="E29">
        <v>929</v>
      </c>
      <c r="F29">
        <v>847</v>
      </c>
      <c r="G29">
        <v>920</v>
      </c>
      <c r="H29">
        <v>853</v>
      </c>
      <c r="I29">
        <v>831</v>
      </c>
      <c r="J29">
        <v>822</v>
      </c>
      <c r="K29">
        <v>888</v>
      </c>
      <c r="L29">
        <v>878</v>
      </c>
      <c r="M29">
        <v>913</v>
      </c>
      <c r="N29">
        <v>936</v>
      </c>
      <c r="O29">
        <v>853</v>
      </c>
      <c r="P29">
        <v>934</v>
      </c>
      <c r="Q29">
        <v>859</v>
      </c>
      <c r="R29">
        <v>859</v>
      </c>
      <c r="S29">
        <v>868</v>
      </c>
      <c r="T29">
        <v>912</v>
      </c>
      <c r="U29">
        <v>853</v>
      </c>
      <c r="V29">
        <v>909</v>
      </c>
    </row>
    <row r="30" spans="1:22" x14ac:dyDescent="0.25">
      <c r="A30" t="s">
        <v>0</v>
      </c>
      <c r="B30" t="s">
        <v>86</v>
      </c>
      <c r="C30">
        <v>721</v>
      </c>
      <c r="D30">
        <v>817</v>
      </c>
      <c r="E30">
        <v>872</v>
      </c>
      <c r="F30">
        <v>934</v>
      </c>
      <c r="G30">
        <v>831</v>
      </c>
      <c r="H30">
        <v>929</v>
      </c>
      <c r="I30">
        <v>858</v>
      </c>
      <c r="J30">
        <v>834</v>
      </c>
      <c r="K30">
        <v>830</v>
      </c>
      <c r="L30">
        <v>898</v>
      </c>
      <c r="M30">
        <v>890</v>
      </c>
      <c r="N30">
        <v>923</v>
      </c>
      <c r="O30">
        <v>926</v>
      </c>
      <c r="P30">
        <v>862</v>
      </c>
      <c r="Q30">
        <v>923</v>
      </c>
      <c r="R30">
        <v>863</v>
      </c>
      <c r="S30">
        <v>856</v>
      </c>
      <c r="T30">
        <v>866</v>
      </c>
      <c r="U30">
        <v>916</v>
      </c>
      <c r="V30">
        <v>853</v>
      </c>
    </row>
    <row r="31" spans="1:22" x14ac:dyDescent="0.25">
      <c r="A31" t="s">
        <v>0</v>
      </c>
      <c r="B31" t="s">
        <v>87</v>
      </c>
      <c r="C31">
        <v>772</v>
      </c>
      <c r="D31">
        <v>727</v>
      </c>
      <c r="E31">
        <v>828</v>
      </c>
      <c r="F31">
        <v>880</v>
      </c>
      <c r="G31">
        <v>922</v>
      </c>
      <c r="H31">
        <v>838</v>
      </c>
      <c r="I31">
        <v>930</v>
      </c>
      <c r="J31">
        <v>862</v>
      </c>
      <c r="K31">
        <v>819</v>
      </c>
      <c r="L31">
        <v>830</v>
      </c>
      <c r="M31">
        <v>918</v>
      </c>
      <c r="N31">
        <v>889</v>
      </c>
      <c r="O31">
        <v>932</v>
      </c>
      <c r="P31">
        <v>944</v>
      </c>
      <c r="Q31">
        <v>869</v>
      </c>
      <c r="R31">
        <v>914</v>
      </c>
      <c r="S31">
        <v>868</v>
      </c>
      <c r="T31">
        <v>864</v>
      </c>
      <c r="U31">
        <v>856</v>
      </c>
      <c r="V31">
        <v>900</v>
      </c>
    </row>
    <row r="32" spans="1:22" x14ac:dyDescent="0.25">
      <c r="A32" t="s">
        <v>0</v>
      </c>
      <c r="B32" t="s">
        <v>88</v>
      </c>
      <c r="C32">
        <v>749</v>
      </c>
      <c r="D32">
        <v>766</v>
      </c>
      <c r="E32">
        <v>731</v>
      </c>
      <c r="F32">
        <v>840</v>
      </c>
      <c r="G32">
        <v>872</v>
      </c>
      <c r="H32">
        <v>920</v>
      </c>
      <c r="I32">
        <v>852</v>
      </c>
      <c r="J32">
        <v>930</v>
      </c>
      <c r="K32">
        <v>859</v>
      </c>
      <c r="L32">
        <v>827</v>
      </c>
      <c r="M32">
        <v>847</v>
      </c>
      <c r="N32">
        <v>930</v>
      </c>
      <c r="O32">
        <v>911</v>
      </c>
      <c r="P32">
        <v>934</v>
      </c>
      <c r="Q32">
        <v>949</v>
      </c>
      <c r="R32">
        <v>867</v>
      </c>
      <c r="S32">
        <v>924</v>
      </c>
      <c r="T32">
        <v>886</v>
      </c>
      <c r="U32">
        <v>870</v>
      </c>
      <c r="V32">
        <v>857</v>
      </c>
    </row>
    <row r="33" spans="1:22" x14ac:dyDescent="0.25">
      <c r="A33" t="s">
        <v>0</v>
      </c>
      <c r="B33" t="s">
        <v>89</v>
      </c>
      <c r="C33">
        <v>717</v>
      </c>
      <c r="D33">
        <v>758</v>
      </c>
      <c r="E33">
        <v>782</v>
      </c>
      <c r="F33">
        <v>732</v>
      </c>
      <c r="G33">
        <v>815</v>
      </c>
      <c r="H33">
        <v>875</v>
      </c>
      <c r="I33">
        <v>920</v>
      </c>
      <c r="J33">
        <v>857</v>
      </c>
      <c r="K33">
        <v>930</v>
      </c>
      <c r="L33">
        <v>855</v>
      </c>
      <c r="M33">
        <v>849</v>
      </c>
      <c r="N33">
        <v>861</v>
      </c>
      <c r="O33">
        <v>934</v>
      </c>
      <c r="P33">
        <v>907</v>
      </c>
      <c r="Q33">
        <v>928</v>
      </c>
      <c r="R33">
        <v>943</v>
      </c>
      <c r="S33">
        <v>868</v>
      </c>
      <c r="T33">
        <v>927</v>
      </c>
      <c r="U33">
        <v>880</v>
      </c>
      <c r="V33">
        <v>860</v>
      </c>
    </row>
    <row r="34" spans="1:22" x14ac:dyDescent="0.25">
      <c r="A34" t="s">
        <v>0</v>
      </c>
      <c r="B34" t="s">
        <v>90</v>
      </c>
      <c r="C34">
        <v>740</v>
      </c>
      <c r="D34">
        <v>726</v>
      </c>
      <c r="E34">
        <v>748</v>
      </c>
      <c r="F34">
        <v>759</v>
      </c>
      <c r="G34">
        <v>713</v>
      </c>
      <c r="H34">
        <v>822</v>
      </c>
      <c r="I34">
        <v>876</v>
      </c>
      <c r="J34">
        <v>931</v>
      </c>
      <c r="K34">
        <v>847</v>
      </c>
      <c r="L34">
        <v>941</v>
      </c>
      <c r="M34">
        <v>870</v>
      </c>
      <c r="N34">
        <v>870</v>
      </c>
      <c r="O34">
        <v>866</v>
      </c>
      <c r="P34">
        <v>932</v>
      </c>
      <c r="Q34">
        <v>904</v>
      </c>
      <c r="R34">
        <v>916</v>
      </c>
      <c r="S34">
        <v>946</v>
      </c>
      <c r="T34">
        <v>885</v>
      </c>
      <c r="U34">
        <v>926</v>
      </c>
      <c r="V34">
        <v>877</v>
      </c>
    </row>
    <row r="35" spans="1:22" x14ac:dyDescent="0.25">
      <c r="A35" t="s">
        <v>0</v>
      </c>
      <c r="B35" t="s">
        <v>91</v>
      </c>
      <c r="C35">
        <v>726</v>
      </c>
      <c r="D35">
        <v>741</v>
      </c>
      <c r="E35">
        <v>731</v>
      </c>
      <c r="F35">
        <v>752</v>
      </c>
      <c r="G35">
        <v>751</v>
      </c>
      <c r="H35">
        <v>721</v>
      </c>
      <c r="I35">
        <v>832</v>
      </c>
      <c r="J35">
        <v>875</v>
      </c>
      <c r="K35">
        <v>923</v>
      </c>
      <c r="L35">
        <v>858</v>
      </c>
      <c r="M35">
        <v>951</v>
      </c>
      <c r="N35">
        <v>875</v>
      </c>
      <c r="O35">
        <v>875</v>
      </c>
      <c r="P35">
        <v>865</v>
      </c>
      <c r="Q35">
        <v>918</v>
      </c>
      <c r="R35">
        <v>896</v>
      </c>
      <c r="S35">
        <v>923</v>
      </c>
      <c r="T35">
        <v>959</v>
      </c>
      <c r="U35">
        <v>885</v>
      </c>
      <c r="V35">
        <v>913</v>
      </c>
    </row>
    <row r="36" spans="1:22" x14ac:dyDescent="0.25">
      <c r="A36" t="s">
        <v>0</v>
      </c>
      <c r="B36" t="s">
        <v>92</v>
      </c>
      <c r="C36">
        <v>750</v>
      </c>
      <c r="D36">
        <v>722</v>
      </c>
      <c r="E36">
        <v>742</v>
      </c>
      <c r="F36">
        <v>727</v>
      </c>
      <c r="G36">
        <v>741</v>
      </c>
      <c r="H36">
        <v>749</v>
      </c>
      <c r="I36">
        <v>729</v>
      </c>
      <c r="J36">
        <v>824</v>
      </c>
      <c r="K36">
        <v>877</v>
      </c>
      <c r="L36">
        <v>932</v>
      </c>
      <c r="M36">
        <v>861</v>
      </c>
      <c r="N36">
        <v>952</v>
      </c>
      <c r="O36">
        <v>886</v>
      </c>
      <c r="P36">
        <v>872</v>
      </c>
      <c r="Q36">
        <v>871</v>
      </c>
      <c r="R36">
        <v>911</v>
      </c>
      <c r="S36">
        <v>905</v>
      </c>
      <c r="T36">
        <v>933</v>
      </c>
      <c r="U36">
        <v>943</v>
      </c>
      <c r="V36">
        <v>874</v>
      </c>
    </row>
    <row r="37" spans="1:22" x14ac:dyDescent="0.25">
      <c r="A37" t="s">
        <v>0</v>
      </c>
      <c r="B37" t="s">
        <v>93</v>
      </c>
      <c r="C37">
        <v>727</v>
      </c>
      <c r="D37">
        <v>755</v>
      </c>
      <c r="E37">
        <v>724</v>
      </c>
      <c r="F37">
        <v>745</v>
      </c>
      <c r="G37">
        <v>704</v>
      </c>
      <c r="H37">
        <v>745</v>
      </c>
      <c r="I37">
        <v>752</v>
      </c>
      <c r="J37">
        <v>718</v>
      </c>
      <c r="K37">
        <v>822</v>
      </c>
      <c r="L37">
        <v>901</v>
      </c>
      <c r="M37">
        <v>936</v>
      </c>
      <c r="N37">
        <v>868</v>
      </c>
      <c r="O37">
        <v>954</v>
      </c>
      <c r="P37">
        <v>889</v>
      </c>
      <c r="Q37">
        <v>856</v>
      </c>
      <c r="R37">
        <v>859</v>
      </c>
      <c r="S37">
        <v>915</v>
      </c>
      <c r="T37">
        <v>912</v>
      </c>
      <c r="U37">
        <v>929</v>
      </c>
      <c r="V37">
        <v>933</v>
      </c>
    </row>
    <row r="38" spans="1:22" x14ac:dyDescent="0.25">
      <c r="A38" t="s">
        <v>0</v>
      </c>
      <c r="B38" t="s">
        <v>94</v>
      </c>
      <c r="C38">
        <v>649</v>
      </c>
      <c r="D38">
        <v>724</v>
      </c>
      <c r="E38">
        <v>757</v>
      </c>
      <c r="F38">
        <v>737</v>
      </c>
      <c r="G38">
        <v>733</v>
      </c>
      <c r="H38">
        <v>717</v>
      </c>
      <c r="I38">
        <v>740</v>
      </c>
      <c r="J38">
        <v>749</v>
      </c>
      <c r="K38">
        <v>714</v>
      </c>
      <c r="L38">
        <v>826</v>
      </c>
      <c r="M38">
        <v>891</v>
      </c>
      <c r="N38">
        <v>924</v>
      </c>
      <c r="O38">
        <v>868</v>
      </c>
      <c r="P38">
        <v>963</v>
      </c>
      <c r="Q38">
        <v>878</v>
      </c>
      <c r="R38">
        <v>863</v>
      </c>
      <c r="S38">
        <v>863</v>
      </c>
      <c r="T38">
        <v>940</v>
      </c>
      <c r="U38">
        <v>923</v>
      </c>
      <c r="V38">
        <v>919</v>
      </c>
    </row>
    <row r="39" spans="1:22" x14ac:dyDescent="0.25">
      <c r="A39" t="s">
        <v>0</v>
      </c>
      <c r="B39" t="s">
        <v>95</v>
      </c>
      <c r="C39">
        <v>671</v>
      </c>
      <c r="D39">
        <v>642</v>
      </c>
      <c r="E39">
        <v>728</v>
      </c>
      <c r="F39">
        <v>758</v>
      </c>
      <c r="G39">
        <v>724</v>
      </c>
      <c r="H39">
        <v>734</v>
      </c>
      <c r="I39">
        <v>719</v>
      </c>
      <c r="J39">
        <v>736</v>
      </c>
      <c r="K39">
        <v>750</v>
      </c>
      <c r="L39">
        <v>711</v>
      </c>
      <c r="M39">
        <v>835</v>
      </c>
      <c r="N39">
        <v>883</v>
      </c>
      <c r="O39">
        <v>919</v>
      </c>
      <c r="P39">
        <v>863</v>
      </c>
      <c r="Q39">
        <v>962</v>
      </c>
      <c r="R39">
        <v>869</v>
      </c>
      <c r="S39">
        <v>860</v>
      </c>
      <c r="T39">
        <v>870</v>
      </c>
      <c r="U39">
        <v>922</v>
      </c>
      <c r="V39">
        <v>905</v>
      </c>
    </row>
    <row r="40" spans="1:22" x14ac:dyDescent="0.25">
      <c r="A40" t="s">
        <v>0</v>
      </c>
      <c r="B40" t="s">
        <v>96</v>
      </c>
      <c r="C40">
        <v>724</v>
      </c>
      <c r="D40">
        <v>664</v>
      </c>
      <c r="E40">
        <v>653</v>
      </c>
      <c r="F40">
        <v>731</v>
      </c>
      <c r="G40">
        <v>734</v>
      </c>
      <c r="H40">
        <v>715</v>
      </c>
      <c r="I40">
        <v>731</v>
      </c>
      <c r="J40">
        <v>721</v>
      </c>
      <c r="K40">
        <v>736</v>
      </c>
      <c r="L40">
        <v>742</v>
      </c>
      <c r="M40">
        <v>699</v>
      </c>
      <c r="N40">
        <v>841</v>
      </c>
      <c r="O40">
        <v>885</v>
      </c>
      <c r="P40">
        <v>911</v>
      </c>
      <c r="Q40">
        <v>848</v>
      </c>
      <c r="R40">
        <v>958</v>
      </c>
      <c r="S40">
        <v>867</v>
      </c>
      <c r="T40">
        <v>886</v>
      </c>
      <c r="U40">
        <v>859</v>
      </c>
      <c r="V40">
        <v>919</v>
      </c>
    </row>
    <row r="41" spans="1:22" x14ac:dyDescent="0.25">
      <c r="A41" t="s">
        <v>0</v>
      </c>
      <c r="B41" t="s">
        <v>97</v>
      </c>
      <c r="C41">
        <v>658</v>
      </c>
      <c r="D41">
        <v>719</v>
      </c>
      <c r="E41">
        <v>675</v>
      </c>
      <c r="F41">
        <v>649</v>
      </c>
      <c r="G41">
        <v>707</v>
      </c>
      <c r="H41">
        <v>731</v>
      </c>
      <c r="I41">
        <v>713</v>
      </c>
      <c r="J41">
        <v>722</v>
      </c>
      <c r="K41">
        <v>727</v>
      </c>
      <c r="L41">
        <v>736</v>
      </c>
      <c r="M41">
        <v>738</v>
      </c>
      <c r="N41">
        <v>705</v>
      </c>
      <c r="O41">
        <v>849</v>
      </c>
      <c r="P41">
        <v>888</v>
      </c>
      <c r="Q41">
        <v>894</v>
      </c>
      <c r="R41">
        <v>840</v>
      </c>
      <c r="S41">
        <v>949</v>
      </c>
      <c r="T41">
        <v>882</v>
      </c>
      <c r="U41">
        <v>882</v>
      </c>
      <c r="V41">
        <v>861</v>
      </c>
    </row>
    <row r="42" spans="1:22" x14ac:dyDescent="0.25">
      <c r="A42" t="s">
        <v>0</v>
      </c>
      <c r="B42" t="s">
        <v>98</v>
      </c>
      <c r="C42">
        <v>678</v>
      </c>
      <c r="D42">
        <v>647</v>
      </c>
      <c r="E42">
        <v>715</v>
      </c>
      <c r="F42">
        <v>658</v>
      </c>
      <c r="G42">
        <v>630</v>
      </c>
      <c r="H42">
        <v>686</v>
      </c>
      <c r="I42">
        <v>724</v>
      </c>
      <c r="J42">
        <v>698</v>
      </c>
      <c r="K42">
        <v>714</v>
      </c>
      <c r="L42">
        <v>717</v>
      </c>
      <c r="M42">
        <v>736</v>
      </c>
      <c r="N42">
        <v>728</v>
      </c>
      <c r="O42">
        <v>708</v>
      </c>
      <c r="P42">
        <v>836</v>
      </c>
      <c r="Q42">
        <v>869</v>
      </c>
      <c r="R42">
        <v>889</v>
      </c>
      <c r="S42">
        <v>826</v>
      </c>
      <c r="T42">
        <v>960</v>
      </c>
      <c r="U42">
        <v>880</v>
      </c>
      <c r="V42">
        <v>862</v>
      </c>
    </row>
    <row r="43" spans="1:22" x14ac:dyDescent="0.25">
      <c r="A43" t="s">
        <v>0</v>
      </c>
      <c r="B43" t="s">
        <v>99</v>
      </c>
      <c r="C43">
        <v>692</v>
      </c>
      <c r="D43">
        <v>664</v>
      </c>
      <c r="E43">
        <v>645</v>
      </c>
      <c r="F43">
        <v>693</v>
      </c>
      <c r="G43">
        <v>651</v>
      </c>
      <c r="H43">
        <v>631</v>
      </c>
      <c r="I43">
        <v>684</v>
      </c>
      <c r="J43">
        <v>701</v>
      </c>
      <c r="K43">
        <v>687</v>
      </c>
      <c r="L43">
        <v>710</v>
      </c>
      <c r="M43">
        <v>704</v>
      </c>
      <c r="N43">
        <v>730</v>
      </c>
      <c r="O43">
        <v>715</v>
      </c>
      <c r="P43">
        <v>714</v>
      </c>
      <c r="Q43">
        <v>829</v>
      </c>
      <c r="R43">
        <v>864</v>
      </c>
      <c r="S43">
        <v>892</v>
      </c>
      <c r="T43">
        <v>846</v>
      </c>
      <c r="U43">
        <v>943</v>
      </c>
      <c r="V43">
        <v>865</v>
      </c>
    </row>
    <row r="44" spans="1:22" x14ac:dyDescent="0.25">
      <c r="A44" t="s">
        <v>0</v>
      </c>
      <c r="B44" t="s">
        <v>100</v>
      </c>
      <c r="C44">
        <v>656</v>
      </c>
      <c r="D44">
        <v>693</v>
      </c>
      <c r="E44">
        <v>673</v>
      </c>
      <c r="F44">
        <v>620</v>
      </c>
      <c r="G44">
        <v>678</v>
      </c>
      <c r="H44">
        <v>653</v>
      </c>
      <c r="I44">
        <v>621</v>
      </c>
      <c r="J44">
        <v>680</v>
      </c>
      <c r="K44">
        <v>691</v>
      </c>
      <c r="L44">
        <v>676</v>
      </c>
      <c r="M44">
        <v>708</v>
      </c>
      <c r="N44">
        <v>705</v>
      </c>
      <c r="O44">
        <v>724</v>
      </c>
      <c r="P44">
        <v>718</v>
      </c>
      <c r="Q44">
        <v>702</v>
      </c>
      <c r="R44">
        <v>825</v>
      </c>
      <c r="S44">
        <v>855</v>
      </c>
      <c r="T44">
        <v>895</v>
      </c>
      <c r="U44">
        <v>820</v>
      </c>
      <c r="V44">
        <v>942</v>
      </c>
    </row>
    <row r="45" spans="1:22" x14ac:dyDescent="0.25">
      <c r="A45" t="s">
        <v>0</v>
      </c>
      <c r="B45" t="s">
        <v>101</v>
      </c>
      <c r="C45">
        <v>679</v>
      </c>
      <c r="D45">
        <v>649</v>
      </c>
      <c r="E45">
        <v>689</v>
      </c>
      <c r="F45">
        <v>651</v>
      </c>
      <c r="G45">
        <v>612</v>
      </c>
      <c r="H45">
        <v>667</v>
      </c>
      <c r="I45">
        <v>637</v>
      </c>
      <c r="J45">
        <v>608</v>
      </c>
      <c r="K45">
        <v>664</v>
      </c>
      <c r="L45">
        <v>694</v>
      </c>
      <c r="M45">
        <v>673</v>
      </c>
      <c r="N45">
        <v>701</v>
      </c>
      <c r="O45">
        <v>697</v>
      </c>
      <c r="P45">
        <v>720</v>
      </c>
      <c r="Q45">
        <v>725</v>
      </c>
      <c r="R45">
        <v>686</v>
      </c>
      <c r="S45">
        <v>818</v>
      </c>
      <c r="T45">
        <v>867</v>
      </c>
      <c r="U45">
        <v>889</v>
      </c>
      <c r="V45">
        <v>796</v>
      </c>
    </row>
    <row r="46" spans="1:22" x14ac:dyDescent="0.25">
      <c r="A46" t="s">
        <v>0</v>
      </c>
      <c r="B46" t="s">
        <v>102</v>
      </c>
      <c r="C46">
        <v>698</v>
      </c>
      <c r="D46">
        <v>678</v>
      </c>
      <c r="E46">
        <v>650</v>
      </c>
      <c r="F46">
        <v>681</v>
      </c>
      <c r="G46">
        <v>637</v>
      </c>
      <c r="H46">
        <v>611</v>
      </c>
      <c r="I46">
        <v>655</v>
      </c>
      <c r="J46">
        <v>635</v>
      </c>
      <c r="K46">
        <v>605</v>
      </c>
      <c r="L46">
        <v>658</v>
      </c>
      <c r="M46">
        <v>688</v>
      </c>
      <c r="N46">
        <v>663</v>
      </c>
      <c r="O46">
        <v>707</v>
      </c>
      <c r="P46">
        <v>694</v>
      </c>
      <c r="Q46">
        <v>707</v>
      </c>
      <c r="R46">
        <v>693</v>
      </c>
      <c r="S46">
        <v>677</v>
      </c>
      <c r="T46">
        <v>828</v>
      </c>
      <c r="U46">
        <v>856</v>
      </c>
      <c r="V46">
        <v>886</v>
      </c>
    </row>
    <row r="47" spans="1:22" x14ac:dyDescent="0.25">
      <c r="A47" t="s">
        <v>0</v>
      </c>
      <c r="B47" t="s">
        <v>103</v>
      </c>
      <c r="C47">
        <v>634</v>
      </c>
      <c r="D47">
        <v>675</v>
      </c>
      <c r="E47">
        <v>640</v>
      </c>
      <c r="F47">
        <v>633</v>
      </c>
      <c r="G47">
        <v>641</v>
      </c>
      <c r="H47">
        <v>620</v>
      </c>
      <c r="I47">
        <v>606</v>
      </c>
      <c r="J47">
        <v>648</v>
      </c>
      <c r="K47">
        <v>618</v>
      </c>
      <c r="L47">
        <v>581</v>
      </c>
      <c r="M47">
        <v>653</v>
      </c>
      <c r="N47">
        <v>672</v>
      </c>
      <c r="O47">
        <v>654</v>
      </c>
      <c r="P47">
        <v>696</v>
      </c>
      <c r="Q47">
        <v>669</v>
      </c>
      <c r="R47">
        <v>697</v>
      </c>
      <c r="S47">
        <v>702</v>
      </c>
      <c r="T47">
        <v>686</v>
      </c>
      <c r="U47">
        <v>807</v>
      </c>
      <c r="V47">
        <v>839</v>
      </c>
    </row>
    <row r="48" spans="1:22" x14ac:dyDescent="0.25">
      <c r="A48" t="s">
        <v>0</v>
      </c>
      <c r="B48" t="s">
        <v>104</v>
      </c>
      <c r="C48">
        <v>590</v>
      </c>
      <c r="D48">
        <v>605</v>
      </c>
      <c r="E48">
        <v>665</v>
      </c>
      <c r="F48">
        <v>614</v>
      </c>
      <c r="G48">
        <v>594</v>
      </c>
      <c r="H48">
        <v>617</v>
      </c>
      <c r="I48">
        <v>590</v>
      </c>
      <c r="J48">
        <v>588</v>
      </c>
      <c r="K48">
        <v>631</v>
      </c>
      <c r="L48">
        <v>594</v>
      </c>
      <c r="M48">
        <v>559</v>
      </c>
      <c r="N48">
        <v>645</v>
      </c>
      <c r="O48">
        <v>666</v>
      </c>
      <c r="P48">
        <v>628</v>
      </c>
      <c r="Q48">
        <v>669</v>
      </c>
      <c r="R48">
        <v>661</v>
      </c>
      <c r="S48">
        <v>678</v>
      </c>
      <c r="T48">
        <v>704</v>
      </c>
      <c r="U48">
        <v>668</v>
      </c>
      <c r="V48">
        <v>783</v>
      </c>
    </row>
    <row r="49" spans="1:22" x14ac:dyDescent="0.25">
      <c r="A49" t="s">
        <v>0</v>
      </c>
      <c r="B49" t="s">
        <v>105</v>
      </c>
      <c r="C49">
        <v>534</v>
      </c>
      <c r="D49">
        <v>555</v>
      </c>
      <c r="E49">
        <v>596</v>
      </c>
      <c r="F49">
        <v>629</v>
      </c>
      <c r="G49">
        <v>563</v>
      </c>
      <c r="H49">
        <v>571</v>
      </c>
      <c r="I49">
        <v>575</v>
      </c>
      <c r="J49">
        <v>554</v>
      </c>
      <c r="K49">
        <v>549</v>
      </c>
      <c r="L49">
        <v>600</v>
      </c>
      <c r="M49">
        <v>570</v>
      </c>
      <c r="N49">
        <v>538</v>
      </c>
      <c r="O49">
        <v>605</v>
      </c>
      <c r="P49">
        <v>625</v>
      </c>
      <c r="Q49">
        <v>580</v>
      </c>
      <c r="R49">
        <v>614</v>
      </c>
      <c r="S49">
        <v>621</v>
      </c>
      <c r="T49">
        <v>668</v>
      </c>
      <c r="U49">
        <v>679</v>
      </c>
      <c r="V49">
        <v>651</v>
      </c>
    </row>
    <row r="50" spans="1:22" x14ac:dyDescent="0.25">
      <c r="A50" t="s">
        <v>0</v>
      </c>
      <c r="B50" t="s">
        <v>106</v>
      </c>
      <c r="C50">
        <v>442</v>
      </c>
      <c r="D50">
        <v>478</v>
      </c>
      <c r="E50">
        <v>525</v>
      </c>
      <c r="F50">
        <v>539</v>
      </c>
      <c r="G50">
        <v>585</v>
      </c>
      <c r="H50">
        <v>522</v>
      </c>
      <c r="I50">
        <v>523</v>
      </c>
      <c r="J50">
        <v>546</v>
      </c>
      <c r="K50">
        <v>513</v>
      </c>
      <c r="L50">
        <v>509</v>
      </c>
      <c r="M50">
        <v>558</v>
      </c>
      <c r="N50">
        <v>546</v>
      </c>
      <c r="O50">
        <v>501</v>
      </c>
      <c r="P50">
        <v>550</v>
      </c>
      <c r="Q50">
        <v>582</v>
      </c>
      <c r="R50">
        <v>534</v>
      </c>
      <c r="S50">
        <v>578</v>
      </c>
      <c r="T50">
        <v>569</v>
      </c>
      <c r="U50">
        <v>629</v>
      </c>
      <c r="V50">
        <v>626</v>
      </c>
    </row>
    <row r="51" spans="1:22" x14ac:dyDescent="0.25">
      <c r="A51" t="s">
        <v>0</v>
      </c>
      <c r="B51" t="s">
        <v>107</v>
      </c>
      <c r="C51">
        <v>299</v>
      </c>
      <c r="D51">
        <v>379</v>
      </c>
      <c r="E51">
        <v>444</v>
      </c>
      <c r="F51">
        <v>464</v>
      </c>
      <c r="G51">
        <v>463</v>
      </c>
      <c r="H51">
        <v>523</v>
      </c>
      <c r="I51">
        <v>476</v>
      </c>
      <c r="J51">
        <v>470</v>
      </c>
      <c r="K51">
        <v>478</v>
      </c>
      <c r="L51">
        <v>462</v>
      </c>
      <c r="M51">
        <v>454</v>
      </c>
      <c r="N51">
        <v>519</v>
      </c>
      <c r="O51">
        <v>489</v>
      </c>
      <c r="P51">
        <v>443</v>
      </c>
      <c r="Q51">
        <v>509</v>
      </c>
      <c r="R51">
        <v>488</v>
      </c>
      <c r="S51">
        <v>467</v>
      </c>
      <c r="T51">
        <v>510</v>
      </c>
      <c r="U51">
        <v>526</v>
      </c>
      <c r="V51">
        <v>575</v>
      </c>
    </row>
    <row r="52" spans="1:22" x14ac:dyDescent="0.25">
      <c r="A52" t="s">
        <v>0</v>
      </c>
      <c r="B52" t="s">
        <v>108</v>
      </c>
      <c r="C52">
        <v>153</v>
      </c>
      <c r="D52">
        <v>173</v>
      </c>
      <c r="E52">
        <v>243</v>
      </c>
      <c r="F52">
        <v>256</v>
      </c>
      <c r="G52">
        <v>301</v>
      </c>
      <c r="H52">
        <v>288</v>
      </c>
      <c r="I52">
        <v>418</v>
      </c>
      <c r="J52">
        <v>364</v>
      </c>
      <c r="K52">
        <v>377</v>
      </c>
      <c r="L52">
        <v>363</v>
      </c>
      <c r="M52">
        <v>366</v>
      </c>
      <c r="N52">
        <v>352</v>
      </c>
      <c r="O52">
        <v>383</v>
      </c>
      <c r="P52">
        <v>403</v>
      </c>
      <c r="Q52">
        <v>329</v>
      </c>
      <c r="R52">
        <v>378</v>
      </c>
      <c r="S52">
        <v>379</v>
      </c>
      <c r="T52">
        <v>394</v>
      </c>
      <c r="U52">
        <v>414</v>
      </c>
      <c r="V52">
        <v>444</v>
      </c>
    </row>
    <row r="53" spans="1:22" x14ac:dyDescent="0.25">
      <c r="A53" t="s">
        <v>0</v>
      </c>
      <c r="B53" t="s">
        <v>109</v>
      </c>
      <c r="C53">
        <v>128</v>
      </c>
      <c r="D53">
        <v>134</v>
      </c>
      <c r="E53">
        <v>154</v>
      </c>
      <c r="F53">
        <v>205</v>
      </c>
      <c r="G53">
        <v>230</v>
      </c>
      <c r="H53">
        <v>217</v>
      </c>
      <c r="I53">
        <v>240</v>
      </c>
      <c r="J53">
        <v>250</v>
      </c>
      <c r="K53">
        <v>245</v>
      </c>
      <c r="L53">
        <v>261</v>
      </c>
      <c r="M53">
        <v>270</v>
      </c>
      <c r="N53">
        <v>243</v>
      </c>
      <c r="O53">
        <v>248</v>
      </c>
      <c r="P53">
        <v>262</v>
      </c>
      <c r="Q53">
        <v>302</v>
      </c>
      <c r="R53">
        <v>268</v>
      </c>
      <c r="S53">
        <v>306</v>
      </c>
      <c r="T53">
        <v>343</v>
      </c>
      <c r="U53">
        <v>335</v>
      </c>
      <c r="V53">
        <v>356</v>
      </c>
    </row>
    <row r="54" spans="1:22" x14ac:dyDescent="0.25">
      <c r="A54" t="s">
        <v>0</v>
      </c>
      <c r="B54" t="s">
        <v>110</v>
      </c>
      <c r="C54">
        <v>95</v>
      </c>
      <c r="D54">
        <v>97</v>
      </c>
      <c r="E54">
        <v>111</v>
      </c>
      <c r="F54">
        <v>144</v>
      </c>
      <c r="G54">
        <v>164</v>
      </c>
      <c r="H54">
        <v>165</v>
      </c>
      <c r="I54">
        <v>184</v>
      </c>
      <c r="J54">
        <v>190</v>
      </c>
      <c r="K54">
        <v>208</v>
      </c>
      <c r="L54">
        <v>198</v>
      </c>
      <c r="M54">
        <v>212</v>
      </c>
      <c r="N54">
        <v>211</v>
      </c>
      <c r="O54">
        <v>192</v>
      </c>
      <c r="P54">
        <v>214</v>
      </c>
      <c r="Q54">
        <v>212</v>
      </c>
      <c r="R54">
        <v>240</v>
      </c>
      <c r="S54">
        <v>238</v>
      </c>
      <c r="T54">
        <v>261</v>
      </c>
      <c r="U54">
        <v>303</v>
      </c>
      <c r="V54">
        <v>289</v>
      </c>
    </row>
    <row r="55" spans="1:22" x14ac:dyDescent="0.25">
      <c r="A55" t="s">
        <v>0</v>
      </c>
      <c r="B55" t="s">
        <v>111</v>
      </c>
      <c r="C55">
        <v>67</v>
      </c>
      <c r="D55">
        <v>72</v>
      </c>
      <c r="E55">
        <v>79</v>
      </c>
      <c r="F55">
        <v>94</v>
      </c>
      <c r="G55">
        <v>111</v>
      </c>
      <c r="H55">
        <v>114</v>
      </c>
      <c r="I55">
        <v>173</v>
      </c>
      <c r="J55">
        <v>182</v>
      </c>
      <c r="K55">
        <v>205</v>
      </c>
      <c r="L55">
        <v>205</v>
      </c>
      <c r="M55">
        <v>170</v>
      </c>
      <c r="N55">
        <v>188</v>
      </c>
      <c r="O55">
        <v>214</v>
      </c>
      <c r="P55">
        <v>203</v>
      </c>
      <c r="Q55">
        <v>215</v>
      </c>
      <c r="R55">
        <v>171</v>
      </c>
      <c r="S55">
        <v>207</v>
      </c>
      <c r="T55">
        <v>213</v>
      </c>
      <c r="U55">
        <v>232</v>
      </c>
      <c r="V55">
        <v>263</v>
      </c>
    </row>
    <row r="56" spans="1:22" x14ac:dyDescent="0.25">
      <c r="A56" t="s">
        <v>0</v>
      </c>
      <c r="B56" t="s">
        <v>112</v>
      </c>
      <c r="C56">
        <v>47</v>
      </c>
      <c r="D56">
        <v>53</v>
      </c>
      <c r="E56">
        <v>74</v>
      </c>
      <c r="F56">
        <v>71</v>
      </c>
      <c r="G56">
        <v>79</v>
      </c>
      <c r="H56">
        <v>92</v>
      </c>
      <c r="I56">
        <v>124</v>
      </c>
      <c r="J56">
        <v>166</v>
      </c>
      <c r="K56">
        <v>163</v>
      </c>
      <c r="L56">
        <v>175</v>
      </c>
      <c r="M56">
        <v>178</v>
      </c>
      <c r="N56">
        <v>156</v>
      </c>
      <c r="O56">
        <v>181</v>
      </c>
      <c r="P56">
        <v>181</v>
      </c>
      <c r="Q56">
        <v>181</v>
      </c>
      <c r="R56">
        <v>185</v>
      </c>
      <c r="S56">
        <v>154</v>
      </c>
      <c r="T56">
        <v>178</v>
      </c>
      <c r="U56">
        <v>187</v>
      </c>
      <c r="V56">
        <v>222</v>
      </c>
    </row>
    <row r="57" spans="1:22" x14ac:dyDescent="0.25">
      <c r="A57" t="s">
        <v>0</v>
      </c>
      <c r="B57" t="s">
        <v>113</v>
      </c>
      <c r="C57">
        <v>35</v>
      </c>
      <c r="D57">
        <v>37</v>
      </c>
      <c r="E57">
        <v>52</v>
      </c>
      <c r="F57">
        <v>64</v>
      </c>
      <c r="G57">
        <v>67</v>
      </c>
      <c r="H57">
        <v>53</v>
      </c>
      <c r="I57">
        <v>96</v>
      </c>
      <c r="J57">
        <v>123</v>
      </c>
      <c r="K57">
        <v>156</v>
      </c>
      <c r="L57">
        <v>151</v>
      </c>
      <c r="M57">
        <v>144</v>
      </c>
      <c r="N57">
        <v>158</v>
      </c>
      <c r="O57">
        <v>152</v>
      </c>
      <c r="P57">
        <v>171</v>
      </c>
      <c r="Q57">
        <v>164</v>
      </c>
      <c r="R57">
        <v>151</v>
      </c>
      <c r="S57">
        <v>160</v>
      </c>
      <c r="T57">
        <v>147</v>
      </c>
      <c r="U57">
        <v>163</v>
      </c>
      <c r="V57">
        <v>187</v>
      </c>
    </row>
    <row r="58" spans="1:22" x14ac:dyDescent="0.25">
      <c r="A58" t="s">
        <v>0</v>
      </c>
      <c r="B58" t="s">
        <v>114</v>
      </c>
      <c r="C58">
        <v>20</v>
      </c>
      <c r="D58">
        <v>35</v>
      </c>
      <c r="E58">
        <v>42</v>
      </c>
      <c r="F58">
        <v>29</v>
      </c>
      <c r="G58">
        <v>60</v>
      </c>
      <c r="H58">
        <v>54</v>
      </c>
      <c r="I58">
        <v>76</v>
      </c>
      <c r="J58">
        <v>98</v>
      </c>
      <c r="K58">
        <v>117</v>
      </c>
      <c r="L58">
        <v>142</v>
      </c>
      <c r="M58">
        <v>136</v>
      </c>
      <c r="N58">
        <v>124</v>
      </c>
      <c r="O58">
        <v>148</v>
      </c>
      <c r="P58">
        <v>139</v>
      </c>
      <c r="Q58">
        <v>171</v>
      </c>
      <c r="R58">
        <v>138</v>
      </c>
      <c r="S58">
        <v>137</v>
      </c>
      <c r="T58">
        <v>146</v>
      </c>
      <c r="U58">
        <v>136</v>
      </c>
      <c r="V58">
        <v>157</v>
      </c>
    </row>
    <row r="59" spans="1:22" x14ac:dyDescent="0.25">
      <c r="A59" t="s">
        <v>0</v>
      </c>
      <c r="B59" t="s">
        <v>115</v>
      </c>
      <c r="C59">
        <v>25</v>
      </c>
      <c r="D59">
        <v>15</v>
      </c>
      <c r="E59">
        <v>32</v>
      </c>
      <c r="F59">
        <v>18</v>
      </c>
      <c r="G59">
        <v>21</v>
      </c>
      <c r="H59">
        <v>51</v>
      </c>
      <c r="I59">
        <v>64</v>
      </c>
      <c r="J59">
        <v>74</v>
      </c>
      <c r="K59">
        <v>83</v>
      </c>
      <c r="L59">
        <v>110</v>
      </c>
      <c r="M59">
        <v>126</v>
      </c>
      <c r="N59">
        <v>121</v>
      </c>
      <c r="O59">
        <v>124</v>
      </c>
      <c r="P59">
        <v>130</v>
      </c>
      <c r="Q59">
        <v>146</v>
      </c>
      <c r="R59">
        <v>145</v>
      </c>
      <c r="S59">
        <v>145</v>
      </c>
      <c r="T59">
        <v>139</v>
      </c>
      <c r="U59">
        <v>142</v>
      </c>
      <c r="V59">
        <v>137</v>
      </c>
    </row>
    <row r="60" spans="1:22" x14ac:dyDescent="0.25">
      <c r="A60" t="s">
        <v>0</v>
      </c>
      <c r="B60" t="s">
        <v>116</v>
      </c>
      <c r="C60">
        <v>13</v>
      </c>
      <c r="D60">
        <v>22</v>
      </c>
      <c r="E60">
        <v>15</v>
      </c>
      <c r="F60">
        <v>20</v>
      </c>
      <c r="G60">
        <v>19</v>
      </c>
      <c r="H60">
        <v>22</v>
      </c>
      <c r="I60">
        <v>52</v>
      </c>
      <c r="J60">
        <v>71</v>
      </c>
      <c r="K60">
        <v>63</v>
      </c>
      <c r="L60">
        <v>76</v>
      </c>
      <c r="M60">
        <v>95</v>
      </c>
      <c r="N60">
        <v>113</v>
      </c>
      <c r="O60">
        <v>116</v>
      </c>
      <c r="P60">
        <v>113</v>
      </c>
      <c r="Q60">
        <v>141</v>
      </c>
      <c r="R60">
        <v>123</v>
      </c>
      <c r="S60">
        <v>130</v>
      </c>
      <c r="T60">
        <v>133</v>
      </c>
      <c r="U60">
        <v>131</v>
      </c>
      <c r="V60">
        <v>140</v>
      </c>
    </row>
    <row r="61" spans="1:22" x14ac:dyDescent="0.25">
      <c r="A61" t="s">
        <v>0</v>
      </c>
      <c r="B61" t="s">
        <v>117</v>
      </c>
      <c r="C61">
        <v>19</v>
      </c>
      <c r="D61">
        <v>14</v>
      </c>
      <c r="E61">
        <v>20</v>
      </c>
      <c r="F61">
        <v>8</v>
      </c>
      <c r="G61">
        <v>18</v>
      </c>
      <c r="H61">
        <v>18</v>
      </c>
      <c r="I61">
        <v>42</v>
      </c>
      <c r="J61">
        <v>58</v>
      </c>
      <c r="K61">
        <v>63</v>
      </c>
      <c r="L61">
        <v>53</v>
      </c>
      <c r="M61">
        <v>68</v>
      </c>
      <c r="N61">
        <v>89</v>
      </c>
      <c r="O61">
        <v>106</v>
      </c>
      <c r="P61">
        <v>102</v>
      </c>
      <c r="Q61">
        <v>112</v>
      </c>
      <c r="R61">
        <v>111</v>
      </c>
      <c r="S61">
        <v>115</v>
      </c>
      <c r="T61">
        <v>115</v>
      </c>
      <c r="U61">
        <v>128</v>
      </c>
      <c r="V61">
        <v>122</v>
      </c>
    </row>
    <row r="62" spans="1:22" x14ac:dyDescent="0.25">
      <c r="A62" t="s">
        <v>1</v>
      </c>
      <c r="B62" t="s">
        <v>57</v>
      </c>
      <c r="C62" t="s">
        <v>58</v>
      </c>
      <c r="D62" t="s">
        <v>58</v>
      </c>
      <c r="E62" t="s">
        <v>58</v>
      </c>
      <c r="F62" t="s">
        <v>58</v>
      </c>
      <c r="G62" t="s">
        <v>58</v>
      </c>
      <c r="H62">
        <v>1</v>
      </c>
      <c r="I62">
        <v>3</v>
      </c>
      <c r="J62">
        <v>0</v>
      </c>
      <c r="K62">
        <v>0</v>
      </c>
      <c r="L62">
        <v>2</v>
      </c>
      <c r="M62">
        <v>1</v>
      </c>
      <c r="N62">
        <v>2</v>
      </c>
      <c r="O62">
        <v>2</v>
      </c>
      <c r="P62">
        <v>2</v>
      </c>
      <c r="Q62">
        <v>28</v>
      </c>
      <c r="R62">
        <v>25</v>
      </c>
      <c r="S62">
        <v>41</v>
      </c>
      <c r="T62">
        <v>59</v>
      </c>
      <c r="U62">
        <v>63</v>
      </c>
      <c r="V62">
        <v>58</v>
      </c>
    </row>
    <row r="63" spans="1:22" x14ac:dyDescent="0.25">
      <c r="A63" t="s">
        <v>1</v>
      </c>
      <c r="B63" t="s">
        <v>59</v>
      </c>
      <c r="C63">
        <v>9</v>
      </c>
      <c r="D63">
        <v>2</v>
      </c>
      <c r="E63">
        <v>8</v>
      </c>
      <c r="F63">
        <v>5</v>
      </c>
      <c r="G63">
        <v>12</v>
      </c>
      <c r="H63">
        <v>6</v>
      </c>
      <c r="I63">
        <v>4</v>
      </c>
      <c r="J63">
        <v>12</v>
      </c>
      <c r="K63">
        <v>8</v>
      </c>
      <c r="L63">
        <v>10</v>
      </c>
      <c r="M63">
        <v>7</v>
      </c>
      <c r="N63">
        <v>16</v>
      </c>
      <c r="O63">
        <v>13</v>
      </c>
      <c r="P63">
        <v>10</v>
      </c>
      <c r="Q63">
        <v>68</v>
      </c>
      <c r="R63">
        <v>59</v>
      </c>
      <c r="S63">
        <v>92</v>
      </c>
      <c r="T63">
        <v>110</v>
      </c>
      <c r="U63">
        <v>126</v>
      </c>
      <c r="V63">
        <v>90</v>
      </c>
    </row>
    <row r="64" spans="1:22" x14ac:dyDescent="0.25">
      <c r="A64" t="s">
        <v>1</v>
      </c>
      <c r="B64" t="s">
        <v>60</v>
      </c>
      <c r="C64">
        <v>48</v>
      </c>
      <c r="D64">
        <v>26</v>
      </c>
      <c r="E64">
        <v>17</v>
      </c>
      <c r="F64">
        <v>34</v>
      </c>
      <c r="G64">
        <v>27</v>
      </c>
      <c r="H64">
        <v>35</v>
      </c>
      <c r="I64">
        <v>23</v>
      </c>
      <c r="J64">
        <v>32</v>
      </c>
      <c r="K64">
        <v>40</v>
      </c>
      <c r="L64">
        <v>29</v>
      </c>
      <c r="M64">
        <v>31</v>
      </c>
      <c r="N64">
        <v>45</v>
      </c>
      <c r="O64">
        <v>65</v>
      </c>
      <c r="P64">
        <v>68</v>
      </c>
      <c r="Q64">
        <v>202</v>
      </c>
      <c r="R64">
        <v>152</v>
      </c>
      <c r="S64">
        <v>184</v>
      </c>
      <c r="T64">
        <v>240</v>
      </c>
      <c r="U64">
        <v>250</v>
      </c>
      <c r="V64">
        <v>231</v>
      </c>
    </row>
    <row r="65" spans="1:22" x14ac:dyDescent="0.25">
      <c r="A65" t="s">
        <v>1</v>
      </c>
      <c r="B65" t="s">
        <v>61</v>
      </c>
      <c r="C65">
        <v>111</v>
      </c>
      <c r="D65">
        <v>122</v>
      </c>
      <c r="E65">
        <v>107</v>
      </c>
      <c r="F65">
        <v>108</v>
      </c>
      <c r="G65">
        <v>105</v>
      </c>
      <c r="H65">
        <v>105</v>
      </c>
      <c r="I65">
        <v>104</v>
      </c>
      <c r="J65">
        <v>132</v>
      </c>
      <c r="K65">
        <v>114</v>
      </c>
      <c r="L65">
        <v>113</v>
      </c>
      <c r="M65">
        <v>115</v>
      </c>
      <c r="N65">
        <v>178</v>
      </c>
      <c r="O65">
        <v>190</v>
      </c>
      <c r="P65">
        <v>204</v>
      </c>
      <c r="Q65">
        <v>333</v>
      </c>
      <c r="R65">
        <v>288</v>
      </c>
      <c r="S65">
        <v>336</v>
      </c>
      <c r="T65">
        <v>370</v>
      </c>
      <c r="U65">
        <v>411</v>
      </c>
      <c r="V65">
        <v>422</v>
      </c>
    </row>
    <row r="66" spans="1:22" x14ac:dyDescent="0.25">
      <c r="A66" t="s">
        <v>1</v>
      </c>
      <c r="B66" t="s">
        <v>62</v>
      </c>
      <c r="C66">
        <v>353</v>
      </c>
      <c r="D66">
        <v>392</v>
      </c>
      <c r="E66">
        <v>436</v>
      </c>
      <c r="F66">
        <v>373</v>
      </c>
      <c r="G66">
        <v>389</v>
      </c>
      <c r="H66">
        <v>415</v>
      </c>
      <c r="I66">
        <v>412</v>
      </c>
      <c r="J66">
        <v>413</v>
      </c>
      <c r="K66">
        <v>460</v>
      </c>
      <c r="L66">
        <v>392</v>
      </c>
      <c r="M66">
        <v>464</v>
      </c>
      <c r="N66">
        <v>489</v>
      </c>
      <c r="O66">
        <v>507</v>
      </c>
      <c r="P66">
        <v>506</v>
      </c>
      <c r="Q66">
        <v>486</v>
      </c>
      <c r="R66">
        <v>515</v>
      </c>
      <c r="S66">
        <v>519</v>
      </c>
      <c r="T66">
        <v>580</v>
      </c>
      <c r="U66">
        <v>550</v>
      </c>
      <c r="V66">
        <v>577</v>
      </c>
    </row>
    <row r="67" spans="1:22" x14ac:dyDescent="0.25">
      <c r="A67" t="s">
        <v>1</v>
      </c>
      <c r="B67" t="s">
        <v>63</v>
      </c>
      <c r="C67">
        <v>409</v>
      </c>
      <c r="D67">
        <v>466</v>
      </c>
      <c r="E67">
        <v>493</v>
      </c>
      <c r="F67">
        <v>502</v>
      </c>
      <c r="G67">
        <v>384</v>
      </c>
      <c r="H67">
        <v>464</v>
      </c>
      <c r="I67">
        <v>479</v>
      </c>
      <c r="J67">
        <v>484</v>
      </c>
      <c r="K67">
        <v>539</v>
      </c>
      <c r="L67">
        <v>479</v>
      </c>
      <c r="M67">
        <v>499</v>
      </c>
      <c r="N67">
        <v>541</v>
      </c>
      <c r="O67">
        <v>567</v>
      </c>
      <c r="P67">
        <v>564</v>
      </c>
      <c r="Q67">
        <v>533</v>
      </c>
      <c r="R67">
        <v>532</v>
      </c>
      <c r="S67">
        <v>583</v>
      </c>
      <c r="T67">
        <v>605</v>
      </c>
      <c r="U67">
        <v>637</v>
      </c>
      <c r="V67">
        <v>600</v>
      </c>
    </row>
    <row r="68" spans="1:22" x14ac:dyDescent="0.25">
      <c r="A68" t="s">
        <v>1</v>
      </c>
      <c r="B68" t="s">
        <v>64</v>
      </c>
      <c r="C68">
        <v>441</v>
      </c>
      <c r="D68">
        <v>497</v>
      </c>
      <c r="E68">
        <v>543</v>
      </c>
      <c r="F68">
        <v>481</v>
      </c>
      <c r="G68">
        <v>500</v>
      </c>
      <c r="H68">
        <v>492</v>
      </c>
      <c r="I68">
        <v>517</v>
      </c>
      <c r="J68">
        <v>599</v>
      </c>
      <c r="K68">
        <v>568</v>
      </c>
      <c r="L68">
        <v>581</v>
      </c>
      <c r="M68">
        <v>603</v>
      </c>
      <c r="N68">
        <v>597</v>
      </c>
      <c r="O68">
        <v>638</v>
      </c>
      <c r="P68">
        <v>546</v>
      </c>
      <c r="Q68">
        <v>592</v>
      </c>
      <c r="R68">
        <v>537</v>
      </c>
      <c r="S68">
        <v>601</v>
      </c>
      <c r="T68">
        <v>646</v>
      </c>
      <c r="U68">
        <v>683</v>
      </c>
      <c r="V68">
        <v>669</v>
      </c>
    </row>
    <row r="69" spans="1:22" x14ac:dyDescent="0.25">
      <c r="A69" t="s">
        <v>1</v>
      </c>
      <c r="B69" t="s">
        <v>65</v>
      </c>
      <c r="C69">
        <v>463</v>
      </c>
      <c r="D69">
        <v>480</v>
      </c>
      <c r="E69">
        <v>556</v>
      </c>
      <c r="F69">
        <v>497</v>
      </c>
      <c r="G69">
        <v>493</v>
      </c>
      <c r="H69">
        <v>582</v>
      </c>
      <c r="I69">
        <v>505</v>
      </c>
      <c r="J69">
        <v>553</v>
      </c>
      <c r="K69">
        <v>688</v>
      </c>
      <c r="L69">
        <v>640</v>
      </c>
      <c r="M69">
        <v>675</v>
      </c>
      <c r="N69">
        <v>701</v>
      </c>
      <c r="O69">
        <v>649</v>
      </c>
      <c r="P69">
        <v>652</v>
      </c>
      <c r="Q69">
        <v>626</v>
      </c>
      <c r="R69">
        <v>640</v>
      </c>
      <c r="S69">
        <v>624</v>
      </c>
      <c r="T69">
        <v>731</v>
      </c>
      <c r="U69">
        <v>730</v>
      </c>
      <c r="V69">
        <v>696</v>
      </c>
    </row>
    <row r="70" spans="1:22" x14ac:dyDescent="0.25">
      <c r="A70" t="s">
        <v>1</v>
      </c>
      <c r="B70" t="s">
        <v>66</v>
      </c>
      <c r="C70">
        <v>456</v>
      </c>
      <c r="D70">
        <v>564</v>
      </c>
      <c r="E70">
        <v>528</v>
      </c>
      <c r="F70">
        <v>554</v>
      </c>
      <c r="G70">
        <v>504</v>
      </c>
      <c r="H70">
        <v>601</v>
      </c>
      <c r="I70">
        <v>596</v>
      </c>
      <c r="J70">
        <v>605</v>
      </c>
      <c r="K70">
        <v>687</v>
      </c>
      <c r="L70">
        <v>727</v>
      </c>
      <c r="M70">
        <v>768</v>
      </c>
      <c r="N70">
        <v>811</v>
      </c>
      <c r="O70">
        <v>779</v>
      </c>
      <c r="P70">
        <v>717</v>
      </c>
      <c r="Q70">
        <v>773</v>
      </c>
      <c r="R70">
        <v>692</v>
      </c>
      <c r="S70">
        <v>732</v>
      </c>
      <c r="T70">
        <v>751</v>
      </c>
      <c r="U70">
        <v>799</v>
      </c>
      <c r="V70">
        <v>771</v>
      </c>
    </row>
    <row r="71" spans="1:22" x14ac:dyDescent="0.25">
      <c r="A71" t="s">
        <v>1</v>
      </c>
      <c r="B71" t="s">
        <v>67</v>
      </c>
      <c r="C71">
        <v>549</v>
      </c>
      <c r="D71">
        <v>553</v>
      </c>
      <c r="E71">
        <v>642</v>
      </c>
      <c r="F71">
        <v>560</v>
      </c>
      <c r="G71">
        <v>593</v>
      </c>
      <c r="H71">
        <v>636</v>
      </c>
      <c r="I71">
        <v>637</v>
      </c>
      <c r="J71">
        <v>709</v>
      </c>
      <c r="K71">
        <v>743</v>
      </c>
      <c r="L71">
        <v>761</v>
      </c>
      <c r="M71">
        <v>830</v>
      </c>
      <c r="N71">
        <v>916</v>
      </c>
      <c r="O71">
        <v>932</v>
      </c>
      <c r="P71">
        <v>823</v>
      </c>
      <c r="Q71">
        <v>867</v>
      </c>
      <c r="R71">
        <v>799</v>
      </c>
      <c r="S71">
        <v>795</v>
      </c>
      <c r="T71">
        <v>804</v>
      </c>
      <c r="U71">
        <v>814</v>
      </c>
      <c r="V71">
        <v>800</v>
      </c>
    </row>
    <row r="72" spans="1:22" x14ac:dyDescent="0.25">
      <c r="A72" t="s">
        <v>1</v>
      </c>
      <c r="B72" t="s">
        <v>68</v>
      </c>
      <c r="C72">
        <v>562</v>
      </c>
      <c r="D72">
        <v>609</v>
      </c>
      <c r="E72">
        <v>548</v>
      </c>
      <c r="F72">
        <v>570</v>
      </c>
      <c r="G72">
        <v>540</v>
      </c>
      <c r="H72">
        <v>652</v>
      </c>
      <c r="I72">
        <v>611</v>
      </c>
      <c r="J72">
        <v>627</v>
      </c>
      <c r="K72">
        <v>691</v>
      </c>
      <c r="L72">
        <v>721</v>
      </c>
      <c r="M72">
        <v>837</v>
      </c>
      <c r="N72">
        <v>879</v>
      </c>
      <c r="O72">
        <v>847</v>
      </c>
      <c r="P72">
        <v>867</v>
      </c>
      <c r="Q72">
        <v>958</v>
      </c>
      <c r="R72">
        <v>916</v>
      </c>
      <c r="S72">
        <v>861</v>
      </c>
      <c r="T72">
        <v>835</v>
      </c>
      <c r="U72">
        <v>809</v>
      </c>
      <c r="V72">
        <v>757</v>
      </c>
    </row>
    <row r="73" spans="1:22" x14ac:dyDescent="0.25">
      <c r="A73" t="s">
        <v>1</v>
      </c>
      <c r="B73" t="s">
        <v>69</v>
      </c>
      <c r="C73">
        <v>620</v>
      </c>
      <c r="D73">
        <v>656</v>
      </c>
      <c r="E73">
        <v>695</v>
      </c>
      <c r="F73">
        <v>581</v>
      </c>
      <c r="G73">
        <v>602</v>
      </c>
      <c r="H73">
        <v>640</v>
      </c>
      <c r="I73">
        <v>693</v>
      </c>
      <c r="J73">
        <v>661</v>
      </c>
      <c r="K73">
        <v>688</v>
      </c>
      <c r="L73">
        <v>791</v>
      </c>
      <c r="M73">
        <v>766</v>
      </c>
      <c r="N73">
        <v>936</v>
      </c>
      <c r="O73">
        <v>925</v>
      </c>
      <c r="P73">
        <v>946</v>
      </c>
      <c r="Q73">
        <v>974</v>
      </c>
      <c r="R73">
        <v>925</v>
      </c>
      <c r="S73">
        <v>919</v>
      </c>
      <c r="T73">
        <v>865</v>
      </c>
      <c r="U73">
        <v>842</v>
      </c>
      <c r="V73">
        <v>796</v>
      </c>
    </row>
    <row r="74" spans="1:22" x14ac:dyDescent="0.25">
      <c r="A74" t="s">
        <v>1</v>
      </c>
      <c r="B74" t="s">
        <v>70</v>
      </c>
      <c r="C74">
        <v>597</v>
      </c>
      <c r="D74">
        <v>685</v>
      </c>
      <c r="E74">
        <v>688</v>
      </c>
      <c r="F74">
        <v>696</v>
      </c>
      <c r="G74">
        <v>593</v>
      </c>
      <c r="H74">
        <v>668</v>
      </c>
      <c r="I74">
        <v>629</v>
      </c>
      <c r="J74">
        <v>728</v>
      </c>
      <c r="K74">
        <v>693</v>
      </c>
      <c r="L74">
        <v>717</v>
      </c>
      <c r="M74">
        <v>833</v>
      </c>
      <c r="N74">
        <v>823</v>
      </c>
      <c r="O74">
        <v>953</v>
      </c>
      <c r="P74">
        <v>979</v>
      </c>
      <c r="Q74">
        <v>1016</v>
      </c>
      <c r="R74">
        <v>959</v>
      </c>
      <c r="S74">
        <v>950</v>
      </c>
      <c r="T74">
        <v>908</v>
      </c>
      <c r="U74">
        <v>871</v>
      </c>
      <c r="V74">
        <v>810</v>
      </c>
    </row>
    <row r="75" spans="1:22" x14ac:dyDescent="0.25">
      <c r="A75" t="s">
        <v>1</v>
      </c>
      <c r="B75" t="s">
        <v>71</v>
      </c>
      <c r="C75">
        <v>671</v>
      </c>
      <c r="D75">
        <v>655</v>
      </c>
      <c r="E75">
        <v>701</v>
      </c>
      <c r="F75">
        <v>690</v>
      </c>
      <c r="G75">
        <v>700</v>
      </c>
      <c r="H75">
        <v>618</v>
      </c>
      <c r="I75">
        <v>694</v>
      </c>
      <c r="J75">
        <v>664</v>
      </c>
      <c r="K75">
        <v>746</v>
      </c>
      <c r="L75">
        <v>748</v>
      </c>
      <c r="M75">
        <v>769</v>
      </c>
      <c r="N75">
        <v>861</v>
      </c>
      <c r="O75">
        <v>851</v>
      </c>
      <c r="P75">
        <v>980</v>
      </c>
      <c r="Q75">
        <v>1009</v>
      </c>
      <c r="R75">
        <v>971</v>
      </c>
      <c r="S75">
        <v>967</v>
      </c>
      <c r="T75">
        <v>926</v>
      </c>
      <c r="U75">
        <v>927</v>
      </c>
      <c r="V75">
        <v>865</v>
      </c>
    </row>
    <row r="76" spans="1:22" x14ac:dyDescent="0.25">
      <c r="A76" t="s">
        <v>1</v>
      </c>
      <c r="B76" t="s">
        <v>72</v>
      </c>
      <c r="C76">
        <v>720</v>
      </c>
      <c r="D76">
        <v>674</v>
      </c>
      <c r="E76">
        <v>669</v>
      </c>
      <c r="F76">
        <v>696</v>
      </c>
      <c r="G76">
        <v>688</v>
      </c>
      <c r="H76">
        <v>709</v>
      </c>
      <c r="I76">
        <v>670</v>
      </c>
      <c r="J76">
        <v>714</v>
      </c>
      <c r="K76">
        <v>658</v>
      </c>
      <c r="L76">
        <v>764</v>
      </c>
      <c r="M76">
        <v>750</v>
      </c>
      <c r="N76">
        <v>795</v>
      </c>
      <c r="O76">
        <v>859</v>
      </c>
      <c r="P76">
        <v>870</v>
      </c>
      <c r="Q76">
        <v>997</v>
      </c>
      <c r="R76">
        <v>1008</v>
      </c>
      <c r="S76">
        <v>940</v>
      </c>
      <c r="T76">
        <v>965</v>
      </c>
      <c r="U76">
        <v>931</v>
      </c>
      <c r="V76">
        <v>911</v>
      </c>
    </row>
    <row r="77" spans="1:22" x14ac:dyDescent="0.25">
      <c r="A77" t="s">
        <v>1</v>
      </c>
      <c r="B77" t="s">
        <v>73</v>
      </c>
      <c r="C77">
        <v>664</v>
      </c>
      <c r="D77">
        <v>728</v>
      </c>
      <c r="E77">
        <v>679</v>
      </c>
      <c r="F77">
        <v>670</v>
      </c>
      <c r="G77">
        <v>677</v>
      </c>
      <c r="H77">
        <v>698</v>
      </c>
      <c r="I77">
        <v>707</v>
      </c>
      <c r="J77">
        <v>657</v>
      </c>
      <c r="K77">
        <v>710</v>
      </c>
      <c r="L77">
        <v>676</v>
      </c>
      <c r="M77">
        <v>777</v>
      </c>
      <c r="N77">
        <v>785</v>
      </c>
      <c r="O77">
        <v>811</v>
      </c>
      <c r="P77">
        <v>890</v>
      </c>
      <c r="Q77">
        <v>879</v>
      </c>
      <c r="R77">
        <v>994</v>
      </c>
      <c r="S77">
        <v>1009</v>
      </c>
      <c r="T77">
        <v>964</v>
      </c>
      <c r="U77">
        <v>954</v>
      </c>
      <c r="V77">
        <v>905</v>
      </c>
    </row>
    <row r="78" spans="1:22" x14ac:dyDescent="0.25">
      <c r="A78" t="s">
        <v>1</v>
      </c>
      <c r="B78" t="s">
        <v>74</v>
      </c>
      <c r="C78">
        <v>710</v>
      </c>
      <c r="D78">
        <v>655</v>
      </c>
      <c r="E78">
        <v>730</v>
      </c>
      <c r="F78">
        <v>696</v>
      </c>
      <c r="G78">
        <v>679</v>
      </c>
      <c r="H78">
        <v>701</v>
      </c>
      <c r="I78">
        <v>689</v>
      </c>
      <c r="J78">
        <v>704</v>
      </c>
      <c r="K78">
        <v>669</v>
      </c>
      <c r="L78">
        <v>715</v>
      </c>
      <c r="M78">
        <v>707</v>
      </c>
      <c r="N78">
        <v>802</v>
      </c>
      <c r="O78">
        <v>805</v>
      </c>
      <c r="P78">
        <v>841</v>
      </c>
      <c r="Q78">
        <v>891</v>
      </c>
      <c r="R78">
        <v>884</v>
      </c>
      <c r="S78">
        <v>992</v>
      </c>
      <c r="T78">
        <v>1035</v>
      </c>
      <c r="U78">
        <v>979</v>
      </c>
      <c r="V78">
        <v>959</v>
      </c>
    </row>
    <row r="79" spans="1:22" x14ac:dyDescent="0.25">
      <c r="A79" t="s">
        <v>1</v>
      </c>
      <c r="B79" t="s">
        <v>75</v>
      </c>
      <c r="C79">
        <v>755</v>
      </c>
      <c r="D79">
        <v>715</v>
      </c>
      <c r="E79">
        <v>653</v>
      </c>
      <c r="F79">
        <v>731</v>
      </c>
      <c r="G79">
        <v>684</v>
      </c>
      <c r="H79">
        <v>683</v>
      </c>
      <c r="I79">
        <v>710</v>
      </c>
      <c r="J79">
        <v>704</v>
      </c>
      <c r="K79">
        <v>723</v>
      </c>
      <c r="L79">
        <v>668</v>
      </c>
      <c r="M79">
        <v>749</v>
      </c>
      <c r="N79">
        <v>739</v>
      </c>
      <c r="O79">
        <v>808</v>
      </c>
      <c r="P79">
        <v>821</v>
      </c>
      <c r="Q79">
        <v>851</v>
      </c>
      <c r="R79">
        <v>879</v>
      </c>
      <c r="S79">
        <v>857</v>
      </c>
      <c r="T79">
        <v>1014</v>
      </c>
      <c r="U79">
        <v>1053</v>
      </c>
      <c r="V79">
        <v>963</v>
      </c>
    </row>
    <row r="80" spans="1:22" x14ac:dyDescent="0.25">
      <c r="A80" t="s">
        <v>1</v>
      </c>
      <c r="B80" t="s">
        <v>76</v>
      </c>
      <c r="C80">
        <v>662</v>
      </c>
      <c r="D80">
        <v>746</v>
      </c>
      <c r="E80">
        <v>719</v>
      </c>
      <c r="F80">
        <v>683</v>
      </c>
      <c r="G80">
        <v>706</v>
      </c>
      <c r="H80">
        <v>713</v>
      </c>
      <c r="I80">
        <v>685</v>
      </c>
      <c r="J80">
        <v>742</v>
      </c>
      <c r="K80">
        <v>700</v>
      </c>
      <c r="L80">
        <v>719</v>
      </c>
      <c r="M80">
        <v>686</v>
      </c>
      <c r="N80">
        <v>763</v>
      </c>
      <c r="O80">
        <v>758</v>
      </c>
      <c r="P80">
        <v>805</v>
      </c>
      <c r="Q80">
        <v>861</v>
      </c>
      <c r="R80">
        <v>878</v>
      </c>
      <c r="S80">
        <v>861</v>
      </c>
      <c r="T80">
        <v>914</v>
      </c>
      <c r="U80">
        <v>1011</v>
      </c>
      <c r="V80">
        <v>1045</v>
      </c>
    </row>
    <row r="81" spans="1:22" x14ac:dyDescent="0.25">
      <c r="A81" t="s">
        <v>1</v>
      </c>
      <c r="B81" t="s">
        <v>77</v>
      </c>
      <c r="C81">
        <v>710</v>
      </c>
      <c r="D81">
        <v>671</v>
      </c>
      <c r="E81">
        <v>765</v>
      </c>
      <c r="F81">
        <v>742</v>
      </c>
      <c r="G81">
        <v>679</v>
      </c>
      <c r="H81">
        <v>722</v>
      </c>
      <c r="I81">
        <v>728</v>
      </c>
      <c r="J81">
        <v>698</v>
      </c>
      <c r="K81">
        <v>759</v>
      </c>
      <c r="L81">
        <v>707</v>
      </c>
      <c r="M81">
        <v>734</v>
      </c>
      <c r="N81">
        <v>712</v>
      </c>
      <c r="O81">
        <v>765</v>
      </c>
      <c r="P81">
        <v>771</v>
      </c>
      <c r="Q81">
        <v>825</v>
      </c>
      <c r="R81">
        <v>858</v>
      </c>
      <c r="S81">
        <v>885</v>
      </c>
      <c r="T81">
        <v>875</v>
      </c>
      <c r="U81">
        <v>917</v>
      </c>
      <c r="V81">
        <v>991</v>
      </c>
    </row>
    <row r="82" spans="1:22" x14ac:dyDescent="0.25">
      <c r="A82" t="s">
        <v>1</v>
      </c>
      <c r="B82" t="s">
        <v>78</v>
      </c>
      <c r="C82">
        <v>731</v>
      </c>
      <c r="D82">
        <v>716</v>
      </c>
      <c r="E82">
        <v>703</v>
      </c>
      <c r="F82">
        <v>788</v>
      </c>
      <c r="G82">
        <v>726</v>
      </c>
      <c r="H82">
        <v>701</v>
      </c>
      <c r="I82">
        <v>741</v>
      </c>
      <c r="J82">
        <v>727</v>
      </c>
      <c r="K82">
        <v>716</v>
      </c>
      <c r="L82">
        <v>758</v>
      </c>
      <c r="M82">
        <v>734</v>
      </c>
      <c r="N82">
        <v>770</v>
      </c>
      <c r="O82">
        <v>724</v>
      </c>
      <c r="P82">
        <v>776</v>
      </c>
      <c r="Q82">
        <v>755</v>
      </c>
      <c r="R82">
        <v>821</v>
      </c>
      <c r="S82">
        <v>872</v>
      </c>
      <c r="T82">
        <v>883</v>
      </c>
      <c r="U82">
        <v>884</v>
      </c>
      <c r="V82">
        <v>910</v>
      </c>
    </row>
    <row r="83" spans="1:22" x14ac:dyDescent="0.25">
      <c r="A83" t="s">
        <v>1</v>
      </c>
      <c r="B83" t="s">
        <v>79</v>
      </c>
      <c r="C83">
        <v>668</v>
      </c>
      <c r="D83">
        <v>732</v>
      </c>
      <c r="E83">
        <v>749</v>
      </c>
      <c r="F83">
        <v>700</v>
      </c>
      <c r="G83">
        <v>777</v>
      </c>
      <c r="H83">
        <v>742</v>
      </c>
      <c r="I83">
        <v>717</v>
      </c>
      <c r="J83">
        <v>765</v>
      </c>
      <c r="K83">
        <v>743</v>
      </c>
      <c r="L83">
        <v>709</v>
      </c>
      <c r="M83">
        <v>782</v>
      </c>
      <c r="N83">
        <v>744</v>
      </c>
      <c r="O83">
        <v>795</v>
      </c>
      <c r="P83">
        <v>735</v>
      </c>
      <c r="Q83">
        <v>770</v>
      </c>
      <c r="R83">
        <v>751</v>
      </c>
      <c r="S83">
        <v>817</v>
      </c>
      <c r="T83">
        <v>908</v>
      </c>
      <c r="U83">
        <v>888</v>
      </c>
      <c r="V83">
        <v>884</v>
      </c>
    </row>
    <row r="84" spans="1:22" x14ac:dyDescent="0.25">
      <c r="A84" t="s">
        <v>1</v>
      </c>
      <c r="B84" t="s">
        <v>80</v>
      </c>
      <c r="C84">
        <v>646</v>
      </c>
      <c r="D84">
        <v>697</v>
      </c>
      <c r="E84">
        <v>739</v>
      </c>
      <c r="F84">
        <v>778</v>
      </c>
      <c r="G84">
        <v>678</v>
      </c>
      <c r="H84">
        <v>800</v>
      </c>
      <c r="I84">
        <v>758</v>
      </c>
      <c r="J84">
        <v>737</v>
      </c>
      <c r="K84">
        <v>789</v>
      </c>
      <c r="L84">
        <v>773</v>
      </c>
      <c r="M84">
        <v>720</v>
      </c>
      <c r="N84">
        <v>791</v>
      </c>
      <c r="O84">
        <v>773</v>
      </c>
      <c r="P84">
        <v>808</v>
      </c>
      <c r="Q84">
        <v>755</v>
      </c>
      <c r="R84">
        <v>785</v>
      </c>
      <c r="S84">
        <v>763</v>
      </c>
      <c r="T84">
        <v>829</v>
      </c>
      <c r="U84">
        <v>918</v>
      </c>
      <c r="V84">
        <v>895</v>
      </c>
    </row>
    <row r="85" spans="1:22" x14ac:dyDescent="0.25">
      <c r="A85" t="s">
        <v>1</v>
      </c>
      <c r="B85" t="s">
        <v>81</v>
      </c>
      <c r="C85">
        <v>768</v>
      </c>
      <c r="D85">
        <v>661</v>
      </c>
      <c r="E85">
        <v>703</v>
      </c>
      <c r="F85">
        <v>749</v>
      </c>
      <c r="G85">
        <v>762</v>
      </c>
      <c r="H85">
        <v>714</v>
      </c>
      <c r="I85">
        <v>800</v>
      </c>
      <c r="J85">
        <v>765</v>
      </c>
      <c r="K85">
        <v>745</v>
      </c>
      <c r="L85">
        <v>805</v>
      </c>
      <c r="M85">
        <v>773</v>
      </c>
      <c r="N85">
        <v>739</v>
      </c>
      <c r="O85">
        <v>818</v>
      </c>
      <c r="P85">
        <v>795</v>
      </c>
      <c r="Q85">
        <v>812</v>
      </c>
      <c r="R85">
        <v>758</v>
      </c>
      <c r="S85">
        <v>791</v>
      </c>
      <c r="T85">
        <v>797</v>
      </c>
      <c r="U85">
        <v>858</v>
      </c>
      <c r="V85">
        <v>924</v>
      </c>
    </row>
    <row r="86" spans="1:22" x14ac:dyDescent="0.25">
      <c r="A86" t="s">
        <v>1</v>
      </c>
      <c r="B86" t="s">
        <v>82</v>
      </c>
      <c r="C86">
        <v>813</v>
      </c>
      <c r="D86">
        <v>757</v>
      </c>
      <c r="E86">
        <v>689</v>
      </c>
      <c r="F86">
        <v>706</v>
      </c>
      <c r="G86">
        <v>734</v>
      </c>
      <c r="H86">
        <v>780</v>
      </c>
      <c r="I86">
        <v>721</v>
      </c>
      <c r="J86">
        <v>818</v>
      </c>
      <c r="K86">
        <v>787</v>
      </c>
      <c r="L86">
        <v>751</v>
      </c>
      <c r="M86">
        <v>809</v>
      </c>
      <c r="N86">
        <v>777</v>
      </c>
      <c r="O86">
        <v>750</v>
      </c>
      <c r="P86">
        <v>817</v>
      </c>
      <c r="Q86">
        <v>800</v>
      </c>
      <c r="R86">
        <v>813</v>
      </c>
      <c r="S86">
        <v>769</v>
      </c>
      <c r="T86">
        <v>819</v>
      </c>
      <c r="U86">
        <v>797</v>
      </c>
      <c r="V86">
        <v>867</v>
      </c>
    </row>
    <row r="87" spans="1:22" x14ac:dyDescent="0.25">
      <c r="A87" t="s">
        <v>1</v>
      </c>
      <c r="B87" t="s">
        <v>83</v>
      </c>
      <c r="C87">
        <v>794</v>
      </c>
      <c r="D87">
        <v>832</v>
      </c>
      <c r="E87">
        <v>778</v>
      </c>
      <c r="F87">
        <v>701</v>
      </c>
      <c r="G87">
        <v>717</v>
      </c>
      <c r="H87">
        <v>753</v>
      </c>
      <c r="I87">
        <v>796</v>
      </c>
      <c r="J87">
        <v>738</v>
      </c>
      <c r="K87">
        <v>827</v>
      </c>
      <c r="L87">
        <v>789</v>
      </c>
      <c r="M87">
        <v>752</v>
      </c>
      <c r="N87">
        <v>828</v>
      </c>
      <c r="O87">
        <v>796</v>
      </c>
      <c r="P87">
        <v>775</v>
      </c>
      <c r="Q87">
        <v>836</v>
      </c>
      <c r="R87">
        <v>804</v>
      </c>
      <c r="S87">
        <v>841</v>
      </c>
      <c r="T87">
        <v>787</v>
      </c>
      <c r="U87">
        <v>821</v>
      </c>
      <c r="V87">
        <v>811</v>
      </c>
    </row>
    <row r="88" spans="1:22" x14ac:dyDescent="0.25">
      <c r="A88" t="s">
        <v>1</v>
      </c>
      <c r="B88" t="s">
        <v>84</v>
      </c>
      <c r="C88">
        <v>760</v>
      </c>
      <c r="D88">
        <v>792</v>
      </c>
      <c r="E88">
        <v>838</v>
      </c>
      <c r="F88">
        <v>795</v>
      </c>
      <c r="G88">
        <v>702</v>
      </c>
      <c r="H88">
        <v>742</v>
      </c>
      <c r="I88">
        <v>763</v>
      </c>
      <c r="J88">
        <v>801</v>
      </c>
      <c r="K88">
        <v>737</v>
      </c>
      <c r="L88">
        <v>827</v>
      </c>
      <c r="M88">
        <v>797</v>
      </c>
      <c r="N88">
        <v>774</v>
      </c>
      <c r="O88">
        <v>840</v>
      </c>
      <c r="P88">
        <v>820</v>
      </c>
      <c r="Q88">
        <v>770</v>
      </c>
      <c r="R88">
        <v>833</v>
      </c>
      <c r="S88">
        <v>814</v>
      </c>
      <c r="T88">
        <v>855</v>
      </c>
      <c r="U88">
        <v>809</v>
      </c>
      <c r="V88">
        <v>832</v>
      </c>
    </row>
    <row r="89" spans="1:22" x14ac:dyDescent="0.25">
      <c r="A89" t="s">
        <v>1</v>
      </c>
      <c r="B89" t="s">
        <v>85</v>
      </c>
      <c r="C89">
        <v>719</v>
      </c>
      <c r="D89">
        <v>779</v>
      </c>
      <c r="E89">
        <v>807</v>
      </c>
      <c r="F89">
        <v>852</v>
      </c>
      <c r="G89">
        <v>795</v>
      </c>
      <c r="H89">
        <v>716</v>
      </c>
      <c r="I89">
        <v>747</v>
      </c>
      <c r="J89">
        <v>764</v>
      </c>
      <c r="K89">
        <v>807</v>
      </c>
      <c r="L89">
        <v>754</v>
      </c>
      <c r="M89">
        <v>842</v>
      </c>
      <c r="N89">
        <v>804</v>
      </c>
      <c r="O89">
        <v>776</v>
      </c>
      <c r="P89">
        <v>852</v>
      </c>
      <c r="Q89">
        <v>839</v>
      </c>
      <c r="R89">
        <v>774</v>
      </c>
      <c r="S89">
        <v>841</v>
      </c>
      <c r="T89">
        <v>827</v>
      </c>
      <c r="U89">
        <v>854</v>
      </c>
      <c r="V89">
        <v>810</v>
      </c>
    </row>
    <row r="90" spans="1:22" x14ac:dyDescent="0.25">
      <c r="A90" t="s">
        <v>1</v>
      </c>
      <c r="B90" t="s">
        <v>86</v>
      </c>
      <c r="C90">
        <v>740</v>
      </c>
      <c r="D90">
        <v>732</v>
      </c>
      <c r="E90">
        <v>781</v>
      </c>
      <c r="F90">
        <v>805</v>
      </c>
      <c r="G90">
        <v>851</v>
      </c>
      <c r="H90">
        <v>799</v>
      </c>
      <c r="I90">
        <v>728</v>
      </c>
      <c r="J90">
        <v>753</v>
      </c>
      <c r="K90">
        <v>775</v>
      </c>
      <c r="L90">
        <v>817</v>
      </c>
      <c r="M90">
        <v>771</v>
      </c>
      <c r="N90">
        <v>856</v>
      </c>
      <c r="O90">
        <v>819</v>
      </c>
      <c r="P90">
        <v>784</v>
      </c>
      <c r="Q90">
        <v>859</v>
      </c>
      <c r="R90">
        <v>834</v>
      </c>
      <c r="S90">
        <v>790</v>
      </c>
      <c r="T90">
        <v>854</v>
      </c>
      <c r="U90">
        <v>850</v>
      </c>
      <c r="V90">
        <v>862</v>
      </c>
    </row>
    <row r="91" spans="1:22" x14ac:dyDescent="0.25">
      <c r="A91" t="s">
        <v>1</v>
      </c>
      <c r="B91" t="s">
        <v>87</v>
      </c>
      <c r="C91">
        <v>655</v>
      </c>
      <c r="D91">
        <v>744</v>
      </c>
      <c r="E91">
        <v>749</v>
      </c>
      <c r="F91">
        <v>796</v>
      </c>
      <c r="G91">
        <v>813</v>
      </c>
      <c r="H91">
        <v>857</v>
      </c>
      <c r="I91">
        <v>803</v>
      </c>
      <c r="J91">
        <v>738</v>
      </c>
      <c r="K91">
        <v>758</v>
      </c>
      <c r="L91">
        <v>794</v>
      </c>
      <c r="M91">
        <v>824</v>
      </c>
      <c r="N91">
        <v>782</v>
      </c>
      <c r="O91">
        <v>843</v>
      </c>
      <c r="P91">
        <v>847</v>
      </c>
      <c r="Q91">
        <v>807</v>
      </c>
      <c r="R91">
        <v>872</v>
      </c>
      <c r="S91">
        <v>849</v>
      </c>
      <c r="T91">
        <v>782</v>
      </c>
      <c r="U91">
        <v>867</v>
      </c>
      <c r="V91">
        <v>838</v>
      </c>
    </row>
    <row r="92" spans="1:22" x14ac:dyDescent="0.25">
      <c r="A92" t="s">
        <v>1</v>
      </c>
      <c r="B92" t="s">
        <v>88</v>
      </c>
      <c r="C92">
        <v>672</v>
      </c>
      <c r="D92">
        <v>656</v>
      </c>
      <c r="E92">
        <v>762</v>
      </c>
      <c r="F92">
        <v>749</v>
      </c>
      <c r="G92">
        <v>794</v>
      </c>
      <c r="H92">
        <v>821</v>
      </c>
      <c r="I92">
        <v>849</v>
      </c>
      <c r="J92">
        <v>796</v>
      </c>
      <c r="K92">
        <v>735</v>
      </c>
      <c r="L92">
        <v>770</v>
      </c>
      <c r="M92">
        <v>810</v>
      </c>
      <c r="N92">
        <v>832</v>
      </c>
      <c r="O92">
        <v>784</v>
      </c>
      <c r="P92">
        <v>859</v>
      </c>
      <c r="Q92">
        <v>849</v>
      </c>
      <c r="R92">
        <v>801</v>
      </c>
      <c r="S92">
        <v>869</v>
      </c>
      <c r="T92">
        <v>855</v>
      </c>
      <c r="U92">
        <v>783</v>
      </c>
      <c r="V92">
        <v>873</v>
      </c>
    </row>
    <row r="93" spans="1:22" x14ac:dyDescent="0.25">
      <c r="A93" t="s">
        <v>1</v>
      </c>
      <c r="B93" t="s">
        <v>89</v>
      </c>
      <c r="C93">
        <v>666</v>
      </c>
      <c r="D93">
        <v>671</v>
      </c>
      <c r="E93">
        <v>660</v>
      </c>
      <c r="F93">
        <v>761</v>
      </c>
      <c r="G93">
        <v>747</v>
      </c>
      <c r="H93">
        <v>809</v>
      </c>
      <c r="I93">
        <v>840</v>
      </c>
      <c r="J93">
        <v>856</v>
      </c>
      <c r="K93">
        <v>815</v>
      </c>
      <c r="L93">
        <v>746</v>
      </c>
      <c r="M93">
        <v>766</v>
      </c>
      <c r="N93">
        <v>832</v>
      </c>
      <c r="O93">
        <v>837</v>
      </c>
      <c r="P93">
        <v>785</v>
      </c>
      <c r="Q93">
        <v>871</v>
      </c>
      <c r="R93">
        <v>852</v>
      </c>
      <c r="S93">
        <v>810</v>
      </c>
      <c r="T93">
        <v>854</v>
      </c>
      <c r="U93">
        <v>855</v>
      </c>
      <c r="V93">
        <v>781</v>
      </c>
    </row>
    <row r="94" spans="1:22" x14ac:dyDescent="0.25">
      <c r="A94" t="s">
        <v>1</v>
      </c>
      <c r="B94" t="s">
        <v>90</v>
      </c>
      <c r="C94">
        <v>680</v>
      </c>
      <c r="D94">
        <v>667</v>
      </c>
      <c r="E94">
        <v>677</v>
      </c>
      <c r="F94">
        <v>660</v>
      </c>
      <c r="G94">
        <v>749</v>
      </c>
      <c r="H94">
        <v>755</v>
      </c>
      <c r="I94">
        <v>816</v>
      </c>
      <c r="J94">
        <v>823</v>
      </c>
      <c r="K94">
        <v>854</v>
      </c>
      <c r="L94">
        <v>839</v>
      </c>
      <c r="M94">
        <v>737</v>
      </c>
      <c r="N94">
        <v>771</v>
      </c>
      <c r="O94">
        <v>829</v>
      </c>
      <c r="P94">
        <v>837</v>
      </c>
      <c r="Q94">
        <v>793</v>
      </c>
      <c r="R94">
        <v>862</v>
      </c>
      <c r="S94">
        <v>865</v>
      </c>
      <c r="T94">
        <v>829</v>
      </c>
      <c r="U94">
        <v>860</v>
      </c>
      <c r="V94">
        <v>866</v>
      </c>
    </row>
    <row r="95" spans="1:22" x14ac:dyDescent="0.25">
      <c r="A95" t="s">
        <v>1</v>
      </c>
      <c r="B95" t="s">
        <v>91</v>
      </c>
      <c r="C95">
        <v>703</v>
      </c>
      <c r="D95">
        <v>697</v>
      </c>
      <c r="E95">
        <v>670</v>
      </c>
      <c r="F95">
        <v>673</v>
      </c>
      <c r="G95">
        <v>655</v>
      </c>
      <c r="H95">
        <v>757</v>
      </c>
      <c r="I95">
        <v>751</v>
      </c>
      <c r="J95">
        <v>818</v>
      </c>
      <c r="K95">
        <v>833</v>
      </c>
      <c r="L95">
        <v>864</v>
      </c>
      <c r="M95">
        <v>854</v>
      </c>
      <c r="N95">
        <v>752</v>
      </c>
      <c r="O95">
        <v>771</v>
      </c>
      <c r="P95">
        <v>834</v>
      </c>
      <c r="Q95">
        <v>843</v>
      </c>
      <c r="R95">
        <v>797</v>
      </c>
      <c r="S95">
        <v>870</v>
      </c>
      <c r="T95">
        <v>878</v>
      </c>
      <c r="U95">
        <v>829</v>
      </c>
      <c r="V95">
        <v>864</v>
      </c>
    </row>
    <row r="96" spans="1:22" x14ac:dyDescent="0.25">
      <c r="A96" t="s">
        <v>1</v>
      </c>
      <c r="B96" t="s">
        <v>92</v>
      </c>
      <c r="C96">
        <v>661</v>
      </c>
      <c r="D96">
        <v>701</v>
      </c>
      <c r="E96">
        <v>699</v>
      </c>
      <c r="F96">
        <v>679</v>
      </c>
      <c r="G96">
        <v>663</v>
      </c>
      <c r="H96">
        <v>674</v>
      </c>
      <c r="I96">
        <v>768</v>
      </c>
      <c r="J96">
        <v>755</v>
      </c>
      <c r="K96">
        <v>804</v>
      </c>
      <c r="L96">
        <v>848</v>
      </c>
      <c r="M96">
        <v>861</v>
      </c>
      <c r="N96">
        <v>854</v>
      </c>
      <c r="O96">
        <v>766</v>
      </c>
      <c r="P96">
        <v>774</v>
      </c>
      <c r="Q96">
        <v>843</v>
      </c>
      <c r="R96">
        <v>843</v>
      </c>
      <c r="S96">
        <v>794</v>
      </c>
      <c r="T96">
        <v>876</v>
      </c>
      <c r="U96">
        <v>879</v>
      </c>
      <c r="V96">
        <v>837</v>
      </c>
    </row>
    <row r="97" spans="1:22" x14ac:dyDescent="0.25">
      <c r="A97" t="s">
        <v>1</v>
      </c>
      <c r="B97" t="s">
        <v>93</v>
      </c>
      <c r="C97">
        <v>645</v>
      </c>
      <c r="D97">
        <v>657</v>
      </c>
      <c r="E97">
        <v>707</v>
      </c>
      <c r="F97">
        <v>698</v>
      </c>
      <c r="G97">
        <v>675</v>
      </c>
      <c r="H97">
        <v>676</v>
      </c>
      <c r="I97">
        <v>657</v>
      </c>
      <c r="J97">
        <v>757</v>
      </c>
      <c r="K97">
        <v>755</v>
      </c>
      <c r="L97">
        <v>826</v>
      </c>
      <c r="M97">
        <v>856</v>
      </c>
      <c r="N97">
        <v>868</v>
      </c>
      <c r="O97">
        <v>840</v>
      </c>
      <c r="P97">
        <v>784</v>
      </c>
      <c r="Q97">
        <v>798</v>
      </c>
      <c r="R97">
        <v>841</v>
      </c>
      <c r="S97">
        <v>837</v>
      </c>
      <c r="T97">
        <v>809</v>
      </c>
      <c r="U97">
        <v>885</v>
      </c>
      <c r="V97">
        <v>862</v>
      </c>
    </row>
    <row r="98" spans="1:22" x14ac:dyDescent="0.25">
      <c r="A98" t="s">
        <v>1</v>
      </c>
      <c r="B98" t="s">
        <v>94</v>
      </c>
      <c r="C98">
        <v>614</v>
      </c>
      <c r="D98">
        <v>652</v>
      </c>
      <c r="E98">
        <v>658</v>
      </c>
      <c r="F98">
        <v>712</v>
      </c>
      <c r="G98">
        <v>682</v>
      </c>
      <c r="H98">
        <v>670</v>
      </c>
      <c r="I98">
        <v>677</v>
      </c>
      <c r="J98">
        <v>651</v>
      </c>
      <c r="K98">
        <v>761</v>
      </c>
      <c r="L98">
        <v>753</v>
      </c>
      <c r="M98">
        <v>817</v>
      </c>
      <c r="N98">
        <v>860</v>
      </c>
      <c r="O98">
        <v>878</v>
      </c>
      <c r="P98">
        <v>857</v>
      </c>
      <c r="Q98">
        <v>775</v>
      </c>
      <c r="R98">
        <v>781</v>
      </c>
      <c r="S98">
        <v>848</v>
      </c>
      <c r="T98">
        <v>856</v>
      </c>
      <c r="U98">
        <v>803</v>
      </c>
      <c r="V98">
        <v>869</v>
      </c>
    </row>
    <row r="99" spans="1:22" x14ac:dyDescent="0.25">
      <c r="A99" t="s">
        <v>1</v>
      </c>
      <c r="B99" t="s">
        <v>95</v>
      </c>
      <c r="C99">
        <v>727</v>
      </c>
      <c r="D99">
        <v>616</v>
      </c>
      <c r="E99">
        <v>648</v>
      </c>
      <c r="F99">
        <v>662</v>
      </c>
      <c r="G99">
        <v>685</v>
      </c>
      <c r="H99">
        <v>684</v>
      </c>
      <c r="I99">
        <v>666</v>
      </c>
      <c r="J99">
        <v>675</v>
      </c>
      <c r="K99">
        <v>651</v>
      </c>
      <c r="L99">
        <v>757</v>
      </c>
      <c r="M99">
        <v>763</v>
      </c>
      <c r="N99">
        <v>816</v>
      </c>
      <c r="O99">
        <v>855</v>
      </c>
      <c r="P99">
        <v>886</v>
      </c>
      <c r="Q99">
        <v>846</v>
      </c>
      <c r="R99">
        <v>766</v>
      </c>
      <c r="S99">
        <v>788</v>
      </c>
      <c r="T99">
        <v>855</v>
      </c>
      <c r="U99">
        <v>843</v>
      </c>
      <c r="V99">
        <v>796</v>
      </c>
    </row>
    <row r="100" spans="1:22" x14ac:dyDescent="0.25">
      <c r="A100" t="s">
        <v>1</v>
      </c>
      <c r="B100" t="s">
        <v>96</v>
      </c>
      <c r="C100">
        <v>650</v>
      </c>
      <c r="D100">
        <v>737</v>
      </c>
      <c r="E100">
        <v>608</v>
      </c>
      <c r="F100">
        <v>646</v>
      </c>
      <c r="G100">
        <v>649</v>
      </c>
      <c r="H100">
        <v>679</v>
      </c>
      <c r="I100">
        <v>679</v>
      </c>
      <c r="J100">
        <v>664</v>
      </c>
      <c r="K100">
        <v>669</v>
      </c>
      <c r="L100">
        <v>659</v>
      </c>
      <c r="M100">
        <v>759</v>
      </c>
      <c r="N100">
        <v>759</v>
      </c>
      <c r="O100">
        <v>818</v>
      </c>
      <c r="P100">
        <v>849</v>
      </c>
      <c r="Q100">
        <v>880</v>
      </c>
      <c r="R100">
        <v>837</v>
      </c>
      <c r="S100">
        <v>774</v>
      </c>
      <c r="T100">
        <v>783</v>
      </c>
      <c r="U100">
        <v>853</v>
      </c>
      <c r="V100">
        <v>843</v>
      </c>
    </row>
    <row r="101" spans="1:22" x14ac:dyDescent="0.25">
      <c r="A101" t="s">
        <v>1</v>
      </c>
      <c r="B101" t="s">
        <v>97</v>
      </c>
      <c r="C101">
        <v>642</v>
      </c>
      <c r="D101">
        <v>635</v>
      </c>
      <c r="E101">
        <v>729</v>
      </c>
      <c r="F101">
        <v>601</v>
      </c>
      <c r="G101">
        <v>629</v>
      </c>
      <c r="H101">
        <v>658</v>
      </c>
      <c r="I101">
        <v>683</v>
      </c>
      <c r="J101">
        <v>671</v>
      </c>
      <c r="K101">
        <v>672</v>
      </c>
      <c r="L101">
        <v>668</v>
      </c>
      <c r="M101">
        <v>649</v>
      </c>
      <c r="N101">
        <v>755</v>
      </c>
      <c r="O101">
        <v>760</v>
      </c>
      <c r="P101">
        <v>825</v>
      </c>
      <c r="Q101">
        <v>844</v>
      </c>
      <c r="R101">
        <v>872</v>
      </c>
      <c r="S101">
        <v>840</v>
      </c>
      <c r="T101">
        <v>766</v>
      </c>
      <c r="U101">
        <v>790</v>
      </c>
      <c r="V101">
        <v>844</v>
      </c>
    </row>
    <row r="102" spans="1:22" x14ac:dyDescent="0.25">
      <c r="A102" t="s">
        <v>1</v>
      </c>
      <c r="B102" t="s">
        <v>98</v>
      </c>
      <c r="C102">
        <v>608</v>
      </c>
      <c r="D102">
        <v>632</v>
      </c>
      <c r="E102">
        <v>644</v>
      </c>
      <c r="F102">
        <v>709</v>
      </c>
      <c r="G102">
        <v>581</v>
      </c>
      <c r="H102">
        <v>629</v>
      </c>
      <c r="I102">
        <v>657</v>
      </c>
      <c r="J102">
        <v>675</v>
      </c>
      <c r="K102">
        <v>673</v>
      </c>
      <c r="L102">
        <v>673</v>
      </c>
      <c r="M102">
        <v>661</v>
      </c>
      <c r="N102">
        <v>641</v>
      </c>
      <c r="O102">
        <v>756</v>
      </c>
      <c r="P102">
        <v>746</v>
      </c>
      <c r="Q102">
        <v>828</v>
      </c>
      <c r="R102">
        <v>828</v>
      </c>
      <c r="S102">
        <v>858</v>
      </c>
      <c r="T102">
        <v>844</v>
      </c>
      <c r="U102">
        <v>773</v>
      </c>
      <c r="V102">
        <v>787</v>
      </c>
    </row>
    <row r="103" spans="1:22" x14ac:dyDescent="0.25">
      <c r="A103" t="s">
        <v>1</v>
      </c>
      <c r="B103" t="s">
        <v>99</v>
      </c>
      <c r="C103">
        <v>674</v>
      </c>
      <c r="D103">
        <v>610</v>
      </c>
      <c r="E103">
        <v>631</v>
      </c>
      <c r="F103">
        <v>625</v>
      </c>
      <c r="G103">
        <v>679</v>
      </c>
      <c r="H103">
        <v>585</v>
      </c>
      <c r="I103">
        <v>624</v>
      </c>
      <c r="J103">
        <v>657</v>
      </c>
      <c r="K103">
        <v>674</v>
      </c>
      <c r="L103">
        <v>669</v>
      </c>
      <c r="M103">
        <v>670</v>
      </c>
      <c r="N103">
        <v>663</v>
      </c>
      <c r="O103">
        <v>631</v>
      </c>
      <c r="P103">
        <v>753</v>
      </c>
      <c r="Q103">
        <v>746</v>
      </c>
      <c r="R103">
        <v>811</v>
      </c>
      <c r="S103">
        <v>830</v>
      </c>
      <c r="T103">
        <v>860</v>
      </c>
      <c r="U103">
        <v>834</v>
      </c>
      <c r="V103">
        <v>758</v>
      </c>
    </row>
    <row r="104" spans="1:22" x14ac:dyDescent="0.25">
      <c r="A104" t="s">
        <v>1</v>
      </c>
      <c r="B104" t="s">
        <v>100</v>
      </c>
      <c r="C104">
        <v>659</v>
      </c>
      <c r="D104">
        <v>682</v>
      </c>
      <c r="E104">
        <v>611</v>
      </c>
      <c r="F104">
        <v>613</v>
      </c>
      <c r="G104">
        <v>606</v>
      </c>
      <c r="H104">
        <v>687</v>
      </c>
      <c r="I104">
        <v>589</v>
      </c>
      <c r="J104">
        <v>606</v>
      </c>
      <c r="K104">
        <v>649</v>
      </c>
      <c r="L104">
        <v>666</v>
      </c>
      <c r="M104">
        <v>672</v>
      </c>
      <c r="N104">
        <v>672</v>
      </c>
      <c r="O104">
        <v>651</v>
      </c>
      <c r="P104">
        <v>625</v>
      </c>
      <c r="Q104">
        <v>768</v>
      </c>
      <c r="R104">
        <v>735</v>
      </c>
      <c r="S104">
        <v>820</v>
      </c>
      <c r="T104">
        <v>836</v>
      </c>
      <c r="U104">
        <v>858</v>
      </c>
      <c r="V104">
        <v>844</v>
      </c>
    </row>
    <row r="105" spans="1:22" x14ac:dyDescent="0.25">
      <c r="A105" t="s">
        <v>1</v>
      </c>
      <c r="B105" t="s">
        <v>101</v>
      </c>
      <c r="C105">
        <v>633</v>
      </c>
      <c r="D105">
        <v>657</v>
      </c>
      <c r="E105">
        <v>669</v>
      </c>
      <c r="F105">
        <v>608</v>
      </c>
      <c r="G105">
        <v>592</v>
      </c>
      <c r="H105">
        <v>612</v>
      </c>
      <c r="I105">
        <v>672</v>
      </c>
      <c r="J105">
        <v>579</v>
      </c>
      <c r="K105">
        <v>621</v>
      </c>
      <c r="L105">
        <v>636</v>
      </c>
      <c r="M105">
        <v>653</v>
      </c>
      <c r="N105">
        <v>672</v>
      </c>
      <c r="O105">
        <v>656</v>
      </c>
      <c r="P105">
        <v>649</v>
      </c>
      <c r="Q105">
        <v>637</v>
      </c>
      <c r="R105">
        <v>746</v>
      </c>
      <c r="S105">
        <v>730</v>
      </c>
      <c r="T105">
        <v>804</v>
      </c>
      <c r="U105">
        <v>832</v>
      </c>
      <c r="V105">
        <v>841</v>
      </c>
    </row>
    <row r="106" spans="1:22" x14ac:dyDescent="0.25">
      <c r="A106" t="s">
        <v>1</v>
      </c>
      <c r="B106" t="s">
        <v>102</v>
      </c>
      <c r="C106">
        <v>626</v>
      </c>
      <c r="D106">
        <v>629</v>
      </c>
      <c r="E106">
        <v>646</v>
      </c>
      <c r="F106">
        <v>657</v>
      </c>
      <c r="G106">
        <v>586</v>
      </c>
      <c r="H106">
        <v>593</v>
      </c>
      <c r="I106">
        <v>608</v>
      </c>
      <c r="J106">
        <v>661</v>
      </c>
      <c r="K106">
        <v>578</v>
      </c>
      <c r="L106">
        <v>598</v>
      </c>
      <c r="M106">
        <v>644</v>
      </c>
      <c r="N106">
        <v>652</v>
      </c>
      <c r="O106">
        <v>667</v>
      </c>
      <c r="P106">
        <v>648</v>
      </c>
      <c r="Q106">
        <v>644</v>
      </c>
      <c r="R106">
        <v>624</v>
      </c>
      <c r="S106">
        <v>737</v>
      </c>
      <c r="T106">
        <v>720</v>
      </c>
      <c r="U106">
        <v>808</v>
      </c>
      <c r="V106">
        <v>822</v>
      </c>
    </row>
    <row r="107" spans="1:22" x14ac:dyDescent="0.25">
      <c r="A107" t="s">
        <v>1</v>
      </c>
      <c r="B107" t="s">
        <v>103</v>
      </c>
      <c r="C107">
        <v>595</v>
      </c>
      <c r="D107">
        <v>603</v>
      </c>
      <c r="E107">
        <v>603</v>
      </c>
      <c r="F107">
        <v>613</v>
      </c>
      <c r="G107">
        <v>631</v>
      </c>
      <c r="H107">
        <v>583</v>
      </c>
      <c r="I107">
        <v>588</v>
      </c>
      <c r="J107">
        <v>603</v>
      </c>
      <c r="K107">
        <v>643</v>
      </c>
      <c r="L107">
        <v>569</v>
      </c>
      <c r="M107">
        <v>580</v>
      </c>
      <c r="N107">
        <v>630</v>
      </c>
      <c r="O107">
        <v>633</v>
      </c>
      <c r="P107">
        <v>660</v>
      </c>
      <c r="Q107">
        <v>634</v>
      </c>
      <c r="R107">
        <v>629</v>
      </c>
      <c r="S107">
        <v>614</v>
      </c>
      <c r="T107">
        <v>722</v>
      </c>
      <c r="U107">
        <v>698</v>
      </c>
      <c r="V107">
        <v>803</v>
      </c>
    </row>
    <row r="108" spans="1:22" x14ac:dyDescent="0.25">
      <c r="A108" t="s">
        <v>1</v>
      </c>
      <c r="B108" t="s">
        <v>104</v>
      </c>
      <c r="C108">
        <v>566</v>
      </c>
      <c r="D108">
        <v>557</v>
      </c>
      <c r="E108">
        <v>576</v>
      </c>
      <c r="F108">
        <v>584</v>
      </c>
      <c r="G108">
        <v>584</v>
      </c>
      <c r="H108">
        <v>617</v>
      </c>
      <c r="I108">
        <v>554</v>
      </c>
      <c r="J108">
        <v>564</v>
      </c>
      <c r="K108">
        <v>585</v>
      </c>
      <c r="L108">
        <v>614</v>
      </c>
      <c r="M108">
        <v>539</v>
      </c>
      <c r="N108">
        <v>561</v>
      </c>
      <c r="O108">
        <v>607</v>
      </c>
      <c r="P108">
        <v>630</v>
      </c>
      <c r="Q108">
        <v>630</v>
      </c>
      <c r="R108">
        <v>624</v>
      </c>
      <c r="S108">
        <v>616</v>
      </c>
      <c r="T108">
        <v>620</v>
      </c>
      <c r="U108">
        <v>700</v>
      </c>
      <c r="V108">
        <v>683</v>
      </c>
    </row>
    <row r="109" spans="1:22" x14ac:dyDescent="0.25">
      <c r="A109" t="s">
        <v>1</v>
      </c>
      <c r="B109" t="s">
        <v>105</v>
      </c>
      <c r="C109">
        <v>446</v>
      </c>
      <c r="D109">
        <v>517</v>
      </c>
      <c r="E109">
        <v>516</v>
      </c>
      <c r="F109">
        <v>526</v>
      </c>
      <c r="G109">
        <v>536</v>
      </c>
      <c r="H109">
        <v>552</v>
      </c>
      <c r="I109">
        <v>570</v>
      </c>
      <c r="J109">
        <v>526</v>
      </c>
      <c r="K109">
        <v>531</v>
      </c>
      <c r="L109">
        <v>540</v>
      </c>
      <c r="M109">
        <v>581</v>
      </c>
      <c r="N109">
        <v>522</v>
      </c>
      <c r="O109">
        <v>539</v>
      </c>
      <c r="P109">
        <v>576</v>
      </c>
      <c r="Q109">
        <v>593</v>
      </c>
      <c r="R109">
        <v>591</v>
      </c>
      <c r="S109">
        <v>585</v>
      </c>
      <c r="T109">
        <v>582</v>
      </c>
      <c r="U109">
        <v>578</v>
      </c>
      <c r="V109">
        <v>679</v>
      </c>
    </row>
    <row r="110" spans="1:22" x14ac:dyDescent="0.25">
      <c r="A110" t="s">
        <v>1</v>
      </c>
      <c r="B110" t="s">
        <v>106</v>
      </c>
      <c r="C110">
        <v>388</v>
      </c>
      <c r="D110">
        <v>389</v>
      </c>
      <c r="E110">
        <v>453</v>
      </c>
      <c r="F110">
        <v>450</v>
      </c>
      <c r="G110">
        <v>478</v>
      </c>
      <c r="H110">
        <v>496</v>
      </c>
      <c r="I110">
        <v>504</v>
      </c>
      <c r="J110">
        <v>508</v>
      </c>
      <c r="K110">
        <v>476</v>
      </c>
      <c r="L110">
        <v>487</v>
      </c>
      <c r="M110">
        <v>497</v>
      </c>
      <c r="N110">
        <v>518</v>
      </c>
      <c r="O110">
        <v>462</v>
      </c>
      <c r="P110">
        <v>482</v>
      </c>
      <c r="Q110">
        <v>513</v>
      </c>
      <c r="R110">
        <v>518</v>
      </c>
      <c r="S110">
        <v>549</v>
      </c>
      <c r="T110">
        <v>534</v>
      </c>
      <c r="U110">
        <v>523</v>
      </c>
      <c r="V110">
        <v>531</v>
      </c>
    </row>
    <row r="111" spans="1:22" x14ac:dyDescent="0.25">
      <c r="A111" t="s">
        <v>1</v>
      </c>
      <c r="B111" t="s">
        <v>107</v>
      </c>
      <c r="C111">
        <v>318</v>
      </c>
      <c r="D111">
        <v>326</v>
      </c>
      <c r="E111">
        <v>349</v>
      </c>
      <c r="F111">
        <v>373</v>
      </c>
      <c r="G111">
        <v>380</v>
      </c>
      <c r="H111">
        <v>412</v>
      </c>
      <c r="I111">
        <v>414</v>
      </c>
      <c r="J111">
        <v>428</v>
      </c>
      <c r="K111">
        <v>429</v>
      </c>
      <c r="L111">
        <v>418</v>
      </c>
      <c r="M111">
        <v>428</v>
      </c>
      <c r="N111">
        <v>440</v>
      </c>
      <c r="O111">
        <v>435</v>
      </c>
      <c r="P111">
        <v>404</v>
      </c>
      <c r="Q111">
        <v>410</v>
      </c>
      <c r="R111">
        <v>432</v>
      </c>
      <c r="S111">
        <v>446</v>
      </c>
      <c r="T111">
        <v>469</v>
      </c>
      <c r="U111">
        <v>495</v>
      </c>
      <c r="V111">
        <v>470</v>
      </c>
    </row>
    <row r="112" spans="1:22" x14ac:dyDescent="0.25">
      <c r="A112" t="s">
        <v>1</v>
      </c>
      <c r="B112" t="s">
        <v>108</v>
      </c>
      <c r="C112">
        <v>110</v>
      </c>
      <c r="D112">
        <v>118</v>
      </c>
      <c r="E112">
        <v>144</v>
      </c>
      <c r="F112">
        <v>163</v>
      </c>
      <c r="G112">
        <v>216</v>
      </c>
      <c r="H112">
        <v>222</v>
      </c>
      <c r="I112">
        <v>265</v>
      </c>
      <c r="J112">
        <v>269</v>
      </c>
      <c r="K112">
        <v>298</v>
      </c>
      <c r="L112">
        <v>294</v>
      </c>
      <c r="M112">
        <v>291</v>
      </c>
      <c r="N112">
        <v>287</v>
      </c>
      <c r="O112">
        <v>310</v>
      </c>
      <c r="P112">
        <v>317</v>
      </c>
      <c r="Q112">
        <v>286</v>
      </c>
      <c r="R112">
        <v>292</v>
      </c>
      <c r="S112">
        <v>322</v>
      </c>
      <c r="T112">
        <v>343</v>
      </c>
      <c r="U112">
        <v>385</v>
      </c>
      <c r="V112">
        <v>400</v>
      </c>
    </row>
    <row r="113" spans="1:22" x14ac:dyDescent="0.25">
      <c r="A113" t="s">
        <v>1</v>
      </c>
      <c r="B113" t="s">
        <v>109</v>
      </c>
      <c r="C113">
        <v>86</v>
      </c>
      <c r="D113">
        <v>87</v>
      </c>
      <c r="E113">
        <v>112</v>
      </c>
      <c r="F113">
        <v>108</v>
      </c>
      <c r="G113">
        <v>137</v>
      </c>
      <c r="H113">
        <v>157</v>
      </c>
      <c r="I113">
        <v>151</v>
      </c>
      <c r="J113">
        <v>123</v>
      </c>
      <c r="K113">
        <v>166</v>
      </c>
      <c r="L113">
        <v>186</v>
      </c>
      <c r="M113">
        <v>197</v>
      </c>
      <c r="N113">
        <v>178</v>
      </c>
      <c r="O113">
        <v>158</v>
      </c>
      <c r="P113">
        <v>214</v>
      </c>
      <c r="Q113">
        <v>278</v>
      </c>
      <c r="R113">
        <v>214</v>
      </c>
      <c r="S113">
        <v>245</v>
      </c>
      <c r="T113">
        <v>265</v>
      </c>
      <c r="U113">
        <v>294</v>
      </c>
      <c r="V113">
        <v>301</v>
      </c>
    </row>
    <row r="114" spans="1:22" x14ac:dyDescent="0.25">
      <c r="A114" t="s">
        <v>1</v>
      </c>
      <c r="B114" t="s">
        <v>110</v>
      </c>
      <c r="C114">
        <v>52</v>
      </c>
      <c r="D114">
        <v>62</v>
      </c>
      <c r="E114">
        <v>63</v>
      </c>
      <c r="F114">
        <v>87</v>
      </c>
      <c r="G114">
        <v>82</v>
      </c>
      <c r="H114">
        <v>94</v>
      </c>
      <c r="I114">
        <v>99</v>
      </c>
      <c r="J114">
        <v>86</v>
      </c>
      <c r="K114">
        <v>97</v>
      </c>
      <c r="L114">
        <v>114</v>
      </c>
      <c r="M114">
        <v>122</v>
      </c>
      <c r="N114">
        <v>127</v>
      </c>
      <c r="O114">
        <v>128</v>
      </c>
      <c r="P114">
        <v>128</v>
      </c>
      <c r="Q114">
        <v>218</v>
      </c>
      <c r="R114">
        <v>198</v>
      </c>
      <c r="S114">
        <v>169</v>
      </c>
      <c r="T114">
        <v>208</v>
      </c>
      <c r="U114">
        <v>236</v>
      </c>
      <c r="V114">
        <v>228</v>
      </c>
    </row>
    <row r="115" spans="1:22" x14ac:dyDescent="0.25">
      <c r="A115" t="s">
        <v>1</v>
      </c>
      <c r="B115" t="s">
        <v>111</v>
      </c>
      <c r="C115">
        <v>29</v>
      </c>
      <c r="D115">
        <v>36</v>
      </c>
      <c r="E115">
        <v>47</v>
      </c>
      <c r="F115">
        <v>44</v>
      </c>
      <c r="G115">
        <v>54</v>
      </c>
      <c r="H115">
        <v>51</v>
      </c>
      <c r="I115">
        <v>81</v>
      </c>
      <c r="J115">
        <v>102</v>
      </c>
      <c r="K115">
        <v>105</v>
      </c>
      <c r="L115">
        <v>108</v>
      </c>
      <c r="M115">
        <v>128</v>
      </c>
      <c r="N115">
        <v>121</v>
      </c>
      <c r="O115">
        <v>135</v>
      </c>
      <c r="P115">
        <v>145</v>
      </c>
      <c r="Q115">
        <v>158</v>
      </c>
      <c r="R115">
        <v>150</v>
      </c>
      <c r="S115">
        <v>161</v>
      </c>
      <c r="T115">
        <v>148</v>
      </c>
      <c r="U115">
        <v>189</v>
      </c>
      <c r="V115">
        <v>200</v>
      </c>
    </row>
    <row r="116" spans="1:22" x14ac:dyDescent="0.25">
      <c r="A116" t="s">
        <v>1</v>
      </c>
      <c r="B116" t="s">
        <v>112</v>
      </c>
      <c r="C116">
        <v>17</v>
      </c>
      <c r="D116">
        <v>26</v>
      </c>
      <c r="E116">
        <v>35</v>
      </c>
      <c r="F116">
        <v>48</v>
      </c>
      <c r="G116">
        <v>38</v>
      </c>
      <c r="H116">
        <v>42</v>
      </c>
      <c r="I116">
        <v>48</v>
      </c>
      <c r="J116">
        <v>75</v>
      </c>
      <c r="K116">
        <v>93</v>
      </c>
      <c r="L116">
        <v>94</v>
      </c>
      <c r="M116">
        <v>89</v>
      </c>
      <c r="N116">
        <v>105</v>
      </c>
      <c r="O116">
        <v>121</v>
      </c>
      <c r="P116">
        <v>126</v>
      </c>
      <c r="Q116">
        <v>140</v>
      </c>
      <c r="R116">
        <v>120</v>
      </c>
      <c r="S116">
        <v>139</v>
      </c>
      <c r="T116">
        <v>150</v>
      </c>
      <c r="U116">
        <v>132</v>
      </c>
      <c r="V116">
        <v>156</v>
      </c>
    </row>
    <row r="117" spans="1:22" x14ac:dyDescent="0.25">
      <c r="A117" t="s">
        <v>1</v>
      </c>
      <c r="B117" t="s">
        <v>113</v>
      </c>
      <c r="C117">
        <v>14</v>
      </c>
      <c r="D117">
        <v>16</v>
      </c>
      <c r="E117">
        <v>21</v>
      </c>
      <c r="F117">
        <v>31</v>
      </c>
      <c r="G117">
        <v>42</v>
      </c>
      <c r="H117">
        <v>30</v>
      </c>
      <c r="I117">
        <v>50</v>
      </c>
      <c r="J117">
        <v>59</v>
      </c>
      <c r="K117">
        <v>70</v>
      </c>
      <c r="L117">
        <v>75</v>
      </c>
      <c r="M117">
        <v>77</v>
      </c>
      <c r="N117">
        <v>74</v>
      </c>
      <c r="O117">
        <v>97</v>
      </c>
      <c r="P117">
        <v>97</v>
      </c>
      <c r="Q117">
        <v>119</v>
      </c>
      <c r="R117">
        <v>99</v>
      </c>
      <c r="S117">
        <v>105</v>
      </c>
      <c r="T117">
        <v>126</v>
      </c>
      <c r="U117">
        <v>124</v>
      </c>
      <c r="V117">
        <v>120</v>
      </c>
    </row>
    <row r="118" spans="1:22" x14ac:dyDescent="0.25">
      <c r="A118" t="s">
        <v>1</v>
      </c>
      <c r="B118" t="s">
        <v>114</v>
      </c>
      <c r="C118">
        <v>15</v>
      </c>
      <c r="D118">
        <v>9</v>
      </c>
      <c r="E118">
        <v>15</v>
      </c>
      <c r="F118">
        <v>11</v>
      </c>
      <c r="G118">
        <v>25</v>
      </c>
      <c r="H118">
        <v>27</v>
      </c>
      <c r="I118">
        <v>38</v>
      </c>
      <c r="J118">
        <v>52</v>
      </c>
      <c r="K118">
        <v>54</v>
      </c>
      <c r="L118">
        <v>61</v>
      </c>
      <c r="M118">
        <v>66</v>
      </c>
      <c r="N118">
        <v>66</v>
      </c>
      <c r="O118">
        <v>76</v>
      </c>
      <c r="P118">
        <v>82</v>
      </c>
      <c r="Q118">
        <v>105</v>
      </c>
      <c r="R118">
        <v>82</v>
      </c>
      <c r="S118">
        <v>113</v>
      </c>
      <c r="T118">
        <v>106</v>
      </c>
      <c r="U118">
        <v>123</v>
      </c>
      <c r="V118">
        <v>110</v>
      </c>
    </row>
    <row r="119" spans="1:22" x14ac:dyDescent="0.25">
      <c r="A119" t="s">
        <v>1</v>
      </c>
      <c r="B119" t="s">
        <v>115</v>
      </c>
      <c r="C119">
        <v>8</v>
      </c>
      <c r="D119">
        <v>13</v>
      </c>
      <c r="E119">
        <v>11</v>
      </c>
      <c r="F119">
        <v>8</v>
      </c>
      <c r="G119">
        <v>11</v>
      </c>
      <c r="H119">
        <v>20</v>
      </c>
      <c r="I119">
        <v>34</v>
      </c>
      <c r="J119">
        <v>36</v>
      </c>
      <c r="K119">
        <v>42</v>
      </c>
      <c r="L119">
        <v>48</v>
      </c>
      <c r="M119">
        <v>51</v>
      </c>
      <c r="N119">
        <v>60</v>
      </c>
      <c r="O119">
        <v>70</v>
      </c>
      <c r="P119">
        <v>62</v>
      </c>
      <c r="Q119">
        <v>90</v>
      </c>
      <c r="R119">
        <v>78</v>
      </c>
      <c r="S119">
        <v>93</v>
      </c>
      <c r="T119">
        <v>86</v>
      </c>
      <c r="U119">
        <v>90</v>
      </c>
      <c r="V119">
        <v>99</v>
      </c>
    </row>
    <row r="120" spans="1:22" x14ac:dyDescent="0.25">
      <c r="A120" t="s">
        <v>1</v>
      </c>
      <c r="B120" t="s">
        <v>116</v>
      </c>
      <c r="C120">
        <v>1</v>
      </c>
      <c r="D120">
        <v>5</v>
      </c>
      <c r="E120">
        <v>14</v>
      </c>
      <c r="F120">
        <v>8</v>
      </c>
      <c r="G120">
        <v>4</v>
      </c>
      <c r="H120">
        <v>8</v>
      </c>
      <c r="I120">
        <v>23</v>
      </c>
      <c r="J120">
        <v>38</v>
      </c>
      <c r="K120">
        <v>35</v>
      </c>
      <c r="L120">
        <v>41</v>
      </c>
      <c r="M120">
        <v>38</v>
      </c>
      <c r="N120">
        <v>45</v>
      </c>
      <c r="O120">
        <v>57</v>
      </c>
      <c r="P120">
        <v>62</v>
      </c>
      <c r="Q120">
        <v>80</v>
      </c>
      <c r="R120">
        <v>65</v>
      </c>
      <c r="S120">
        <v>73</v>
      </c>
      <c r="T120">
        <v>85</v>
      </c>
      <c r="U120">
        <v>79</v>
      </c>
      <c r="V120">
        <v>83</v>
      </c>
    </row>
    <row r="121" spans="1:22" x14ac:dyDescent="0.25">
      <c r="A121" t="s">
        <v>1</v>
      </c>
      <c r="B121" t="s">
        <v>117</v>
      </c>
      <c r="C121">
        <v>8</v>
      </c>
      <c r="D121">
        <v>2</v>
      </c>
      <c r="E121">
        <v>2</v>
      </c>
      <c r="F121">
        <v>8</v>
      </c>
      <c r="G121">
        <v>9</v>
      </c>
      <c r="H121">
        <v>6</v>
      </c>
      <c r="I121">
        <v>14</v>
      </c>
      <c r="J121">
        <v>23</v>
      </c>
      <c r="K121">
        <v>40</v>
      </c>
      <c r="L121">
        <v>32</v>
      </c>
      <c r="M121">
        <v>29</v>
      </c>
      <c r="N121">
        <v>33</v>
      </c>
      <c r="O121">
        <v>48</v>
      </c>
      <c r="P121">
        <v>53</v>
      </c>
      <c r="Q121">
        <v>71</v>
      </c>
      <c r="R121">
        <v>60</v>
      </c>
      <c r="S121">
        <v>66</v>
      </c>
      <c r="T121">
        <v>64</v>
      </c>
      <c r="U121">
        <v>68</v>
      </c>
      <c r="V121">
        <v>76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057A-AABA-436C-883E-75B19152EC2F}">
  <dimension ref="A1:V121"/>
  <sheetViews>
    <sheetView workbookViewId="0"/>
  </sheetViews>
  <sheetFormatPr defaultRowHeight="15" x14ac:dyDescent="0.25"/>
  <sheetData>
    <row r="1" spans="1:22" x14ac:dyDescent="0.25">
      <c r="A1" s="4" t="s">
        <v>22</v>
      </c>
      <c r="B1" s="4" t="s">
        <v>23</v>
      </c>
      <c r="C1" s="4">
        <v>2005</v>
      </c>
      <c r="D1" s="4">
        <v>2006</v>
      </c>
      <c r="E1" s="4">
        <v>2007</v>
      </c>
      <c r="F1" s="4">
        <v>2008</v>
      </c>
      <c r="G1" s="4">
        <v>2009</v>
      </c>
      <c r="H1" s="4">
        <v>2010</v>
      </c>
      <c r="I1" s="4">
        <v>2011</v>
      </c>
      <c r="J1" s="4">
        <v>2012</v>
      </c>
      <c r="K1" s="4">
        <v>2013</v>
      </c>
      <c r="L1" s="4">
        <v>2014</v>
      </c>
      <c r="M1" s="4">
        <v>2015</v>
      </c>
      <c r="N1" s="4">
        <v>2016</v>
      </c>
      <c r="O1" s="4">
        <v>2017</v>
      </c>
      <c r="P1" s="4">
        <v>2018</v>
      </c>
      <c r="Q1" s="4">
        <v>2019</v>
      </c>
      <c r="R1" s="4">
        <v>2020</v>
      </c>
      <c r="S1" s="4">
        <v>2021</v>
      </c>
      <c r="T1" s="4">
        <v>2022</v>
      </c>
      <c r="U1" s="4">
        <v>2023</v>
      </c>
      <c r="V1" s="4">
        <v>2024</v>
      </c>
    </row>
    <row r="2" spans="1:22" x14ac:dyDescent="0.25">
      <c r="A2" t="s">
        <v>0</v>
      </c>
      <c r="B2" t="s">
        <v>57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L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  <c r="T2">
        <v>57</v>
      </c>
      <c r="U2">
        <v>60</v>
      </c>
      <c r="V2">
        <v>65</v>
      </c>
    </row>
    <row r="3" spans="1:22" x14ac:dyDescent="0.25">
      <c r="A3" t="s">
        <v>0</v>
      </c>
      <c r="B3" t="s">
        <v>59</v>
      </c>
      <c r="C3">
        <v>10</v>
      </c>
      <c r="D3">
        <v>9</v>
      </c>
      <c r="E3">
        <v>4</v>
      </c>
      <c r="F3">
        <v>4</v>
      </c>
      <c r="G3">
        <v>4</v>
      </c>
      <c r="H3">
        <v>5</v>
      </c>
      <c r="I3">
        <v>12</v>
      </c>
      <c r="J3">
        <v>5</v>
      </c>
      <c r="K3">
        <v>6</v>
      </c>
      <c r="L3">
        <v>9</v>
      </c>
      <c r="M3">
        <v>10</v>
      </c>
      <c r="N3">
        <v>11</v>
      </c>
      <c r="O3">
        <v>12</v>
      </c>
      <c r="P3">
        <v>13</v>
      </c>
      <c r="Q3">
        <v>74</v>
      </c>
      <c r="R3">
        <v>49</v>
      </c>
      <c r="S3">
        <v>69</v>
      </c>
      <c r="T3">
        <v>72</v>
      </c>
      <c r="U3">
        <v>105</v>
      </c>
      <c r="V3">
        <v>83</v>
      </c>
    </row>
    <row r="4" spans="1:22" x14ac:dyDescent="0.25">
      <c r="A4" t="s">
        <v>0</v>
      </c>
      <c r="B4" t="s">
        <v>60</v>
      </c>
      <c r="C4">
        <v>33</v>
      </c>
      <c r="D4">
        <v>26</v>
      </c>
      <c r="E4">
        <v>20</v>
      </c>
      <c r="F4">
        <v>30</v>
      </c>
      <c r="G4">
        <v>20</v>
      </c>
      <c r="H4">
        <v>29</v>
      </c>
      <c r="I4">
        <v>35</v>
      </c>
      <c r="J4">
        <v>29</v>
      </c>
      <c r="K4">
        <v>42</v>
      </c>
      <c r="L4">
        <v>20</v>
      </c>
      <c r="M4">
        <v>24</v>
      </c>
      <c r="N4">
        <v>31</v>
      </c>
      <c r="O4">
        <v>46</v>
      </c>
      <c r="P4">
        <v>48</v>
      </c>
      <c r="Q4">
        <v>126</v>
      </c>
      <c r="R4">
        <v>109</v>
      </c>
      <c r="S4">
        <v>118</v>
      </c>
      <c r="T4">
        <v>153</v>
      </c>
      <c r="U4">
        <v>163</v>
      </c>
      <c r="V4">
        <v>138</v>
      </c>
    </row>
    <row r="5" spans="1:22" x14ac:dyDescent="0.25">
      <c r="A5" t="s">
        <v>0</v>
      </c>
      <c r="B5" t="s">
        <v>61</v>
      </c>
      <c r="C5">
        <v>101</v>
      </c>
      <c r="D5">
        <v>105</v>
      </c>
      <c r="E5">
        <v>77</v>
      </c>
      <c r="F5">
        <v>103</v>
      </c>
      <c r="G5">
        <v>58</v>
      </c>
      <c r="H5">
        <v>92</v>
      </c>
      <c r="I5">
        <v>108</v>
      </c>
      <c r="J5">
        <v>122</v>
      </c>
      <c r="K5">
        <v>89</v>
      </c>
      <c r="L5">
        <v>94</v>
      </c>
      <c r="M5">
        <v>88</v>
      </c>
      <c r="N5">
        <v>131</v>
      </c>
      <c r="O5">
        <v>146</v>
      </c>
      <c r="P5">
        <v>190</v>
      </c>
      <c r="Q5">
        <v>232</v>
      </c>
      <c r="R5">
        <v>231</v>
      </c>
      <c r="S5">
        <v>278</v>
      </c>
      <c r="T5">
        <v>341</v>
      </c>
      <c r="U5">
        <v>254</v>
      </c>
      <c r="V5">
        <v>286</v>
      </c>
    </row>
    <row r="6" spans="1:22" x14ac:dyDescent="0.25">
      <c r="A6" t="s">
        <v>0</v>
      </c>
      <c r="B6" t="s">
        <v>62</v>
      </c>
      <c r="C6">
        <v>302</v>
      </c>
      <c r="D6">
        <v>314</v>
      </c>
      <c r="E6">
        <v>385</v>
      </c>
      <c r="F6">
        <v>366</v>
      </c>
      <c r="G6">
        <v>316</v>
      </c>
      <c r="H6">
        <v>378</v>
      </c>
      <c r="I6">
        <v>405</v>
      </c>
      <c r="J6">
        <v>406</v>
      </c>
      <c r="K6">
        <v>395</v>
      </c>
      <c r="L6">
        <v>369</v>
      </c>
      <c r="M6">
        <v>369</v>
      </c>
      <c r="N6">
        <v>431</v>
      </c>
      <c r="O6">
        <v>464</v>
      </c>
      <c r="P6">
        <v>471</v>
      </c>
      <c r="Q6">
        <v>528</v>
      </c>
      <c r="R6">
        <v>432</v>
      </c>
      <c r="S6">
        <v>501</v>
      </c>
      <c r="T6">
        <v>556</v>
      </c>
      <c r="U6">
        <v>545</v>
      </c>
      <c r="V6">
        <v>492</v>
      </c>
    </row>
    <row r="7" spans="1:22" x14ac:dyDescent="0.25">
      <c r="A7" t="s">
        <v>0</v>
      </c>
      <c r="B7" t="s">
        <v>63</v>
      </c>
      <c r="C7">
        <v>300</v>
      </c>
      <c r="D7">
        <v>375</v>
      </c>
      <c r="E7">
        <v>394</v>
      </c>
      <c r="F7">
        <v>444</v>
      </c>
      <c r="G7">
        <v>316</v>
      </c>
      <c r="H7">
        <v>428</v>
      </c>
      <c r="I7">
        <v>518</v>
      </c>
      <c r="J7">
        <v>479</v>
      </c>
      <c r="K7">
        <v>480</v>
      </c>
      <c r="L7">
        <v>476</v>
      </c>
      <c r="M7">
        <v>478</v>
      </c>
      <c r="N7">
        <v>485</v>
      </c>
      <c r="O7">
        <v>500</v>
      </c>
      <c r="P7">
        <v>529</v>
      </c>
      <c r="Q7">
        <v>582</v>
      </c>
      <c r="R7">
        <v>586</v>
      </c>
      <c r="S7">
        <v>605</v>
      </c>
      <c r="T7">
        <v>634</v>
      </c>
      <c r="U7">
        <v>673</v>
      </c>
      <c r="V7">
        <v>632</v>
      </c>
    </row>
    <row r="8" spans="1:22" x14ac:dyDescent="0.25">
      <c r="A8" t="s">
        <v>0</v>
      </c>
      <c r="B8" t="s">
        <v>64</v>
      </c>
      <c r="C8">
        <v>363</v>
      </c>
      <c r="D8">
        <v>415</v>
      </c>
      <c r="E8">
        <v>481</v>
      </c>
      <c r="F8">
        <v>515</v>
      </c>
      <c r="G8">
        <v>464</v>
      </c>
      <c r="H8">
        <v>477</v>
      </c>
      <c r="I8">
        <v>559</v>
      </c>
      <c r="J8">
        <v>583</v>
      </c>
      <c r="K8">
        <v>574</v>
      </c>
      <c r="L8">
        <v>604</v>
      </c>
      <c r="M8">
        <v>599</v>
      </c>
      <c r="N8">
        <v>571</v>
      </c>
      <c r="O8">
        <v>598</v>
      </c>
      <c r="P8">
        <v>543</v>
      </c>
      <c r="Q8">
        <v>632</v>
      </c>
      <c r="R8">
        <v>664</v>
      </c>
      <c r="S8">
        <v>670</v>
      </c>
      <c r="T8">
        <v>681</v>
      </c>
      <c r="U8">
        <v>699</v>
      </c>
      <c r="V8">
        <v>665</v>
      </c>
    </row>
    <row r="9" spans="1:22" x14ac:dyDescent="0.25">
      <c r="A9" t="s">
        <v>0</v>
      </c>
      <c r="B9" t="s">
        <v>65</v>
      </c>
      <c r="C9">
        <v>445</v>
      </c>
      <c r="D9">
        <v>450</v>
      </c>
      <c r="E9">
        <v>528</v>
      </c>
      <c r="F9">
        <v>537</v>
      </c>
      <c r="G9">
        <v>476</v>
      </c>
      <c r="H9">
        <v>590</v>
      </c>
      <c r="I9">
        <v>569</v>
      </c>
      <c r="J9">
        <v>645</v>
      </c>
      <c r="K9">
        <v>677</v>
      </c>
      <c r="L9">
        <v>679</v>
      </c>
      <c r="M9">
        <v>673</v>
      </c>
      <c r="N9">
        <v>720</v>
      </c>
      <c r="O9">
        <v>700</v>
      </c>
      <c r="P9">
        <v>687</v>
      </c>
      <c r="Q9">
        <v>664</v>
      </c>
      <c r="R9">
        <v>706</v>
      </c>
      <c r="S9">
        <v>755</v>
      </c>
      <c r="T9">
        <v>796</v>
      </c>
      <c r="U9">
        <v>716</v>
      </c>
      <c r="V9">
        <v>745</v>
      </c>
    </row>
    <row r="10" spans="1:22" x14ac:dyDescent="0.25">
      <c r="A10" t="s">
        <v>0</v>
      </c>
      <c r="B10" t="s">
        <v>66</v>
      </c>
      <c r="C10">
        <v>490</v>
      </c>
      <c r="D10">
        <v>541</v>
      </c>
      <c r="E10">
        <v>553</v>
      </c>
      <c r="F10">
        <v>626</v>
      </c>
      <c r="G10">
        <v>529</v>
      </c>
      <c r="H10">
        <v>593</v>
      </c>
      <c r="I10">
        <v>713</v>
      </c>
      <c r="J10">
        <v>653</v>
      </c>
      <c r="K10">
        <v>746</v>
      </c>
      <c r="L10">
        <v>837</v>
      </c>
      <c r="M10">
        <v>797</v>
      </c>
      <c r="N10">
        <v>854</v>
      </c>
      <c r="O10">
        <v>866</v>
      </c>
      <c r="P10">
        <v>795</v>
      </c>
      <c r="Q10">
        <v>839</v>
      </c>
      <c r="R10">
        <v>770</v>
      </c>
      <c r="S10">
        <v>837</v>
      </c>
      <c r="T10">
        <v>919</v>
      </c>
      <c r="U10">
        <v>928</v>
      </c>
      <c r="V10">
        <v>766</v>
      </c>
    </row>
    <row r="11" spans="1:22" x14ac:dyDescent="0.25">
      <c r="A11" t="s">
        <v>0</v>
      </c>
      <c r="B11" t="s">
        <v>67</v>
      </c>
      <c r="C11">
        <v>547</v>
      </c>
      <c r="D11">
        <v>579</v>
      </c>
      <c r="E11">
        <v>634</v>
      </c>
      <c r="F11">
        <v>636</v>
      </c>
      <c r="G11">
        <v>630</v>
      </c>
      <c r="H11">
        <v>648</v>
      </c>
      <c r="I11">
        <v>708</v>
      </c>
      <c r="J11">
        <v>817</v>
      </c>
      <c r="K11">
        <v>799</v>
      </c>
      <c r="L11">
        <v>876</v>
      </c>
      <c r="M11">
        <v>952</v>
      </c>
      <c r="N11">
        <v>913</v>
      </c>
      <c r="O11">
        <v>1009</v>
      </c>
      <c r="P11">
        <v>1005</v>
      </c>
      <c r="Q11">
        <v>957</v>
      </c>
      <c r="R11">
        <v>909</v>
      </c>
      <c r="S11">
        <v>928</v>
      </c>
      <c r="T11">
        <v>969</v>
      </c>
      <c r="U11">
        <v>1045</v>
      </c>
      <c r="V11">
        <v>1008</v>
      </c>
    </row>
    <row r="12" spans="1:22" x14ac:dyDescent="0.25">
      <c r="A12" t="s">
        <v>0</v>
      </c>
      <c r="B12" t="s">
        <v>68</v>
      </c>
      <c r="C12">
        <v>611</v>
      </c>
      <c r="D12">
        <v>632</v>
      </c>
      <c r="E12">
        <v>664</v>
      </c>
      <c r="F12">
        <v>694</v>
      </c>
      <c r="G12">
        <v>601</v>
      </c>
      <c r="H12">
        <v>696</v>
      </c>
      <c r="I12">
        <v>701</v>
      </c>
      <c r="J12">
        <v>798</v>
      </c>
      <c r="K12">
        <v>900</v>
      </c>
      <c r="L12">
        <v>832</v>
      </c>
      <c r="M12">
        <v>937</v>
      </c>
      <c r="N12">
        <v>1034</v>
      </c>
      <c r="O12">
        <v>985</v>
      </c>
      <c r="P12">
        <v>1049</v>
      </c>
      <c r="Q12">
        <v>1145</v>
      </c>
      <c r="R12">
        <v>1020</v>
      </c>
      <c r="S12">
        <v>976</v>
      </c>
      <c r="T12">
        <v>990</v>
      </c>
      <c r="U12">
        <v>1069</v>
      </c>
      <c r="V12">
        <v>1098</v>
      </c>
    </row>
    <row r="13" spans="1:22" x14ac:dyDescent="0.25">
      <c r="A13" t="s">
        <v>0</v>
      </c>
      <c r="B13" t="s">
        <v>69</v>
      </c>
      <c r="C13">
        <v>690</v>
      </c>
      <c r="D13">
        <v>708</v>
      </c>
      <c r="E13">
        <v>764</v>
      </c>
      <c r="F13">
        <v>741</v>
      </c>
      <c r="G13">
        <v>716</v>
      </c>
      <c r="H13">
        <v>731</v>
      </c>
      <c r="I13">
        <v>775</v>
      </c>
      <c r="J13">
        <v>798</v>
      </c>
      <c r="K13">
        <v>853</v>
      </c>
      <c r="L13">
        <v>1003</v>
      </c>
      <c r="M13">
        <v>919</v>
      </c>
      <c r="N13">
        <v>1073</v>
      </c>
      <c r="O13">
        <v>1156</v>
      </c>
      <c r="P13">
        <v>1102</v>
      </c>
      <c r="Q13">
        <v>1249</v>
      </c>
      <c r="R13">
        <v>1143</v>
      </c>
      <c r="S13">
        <v>1098</v>
      </c>
      <c r="T13">
        <v>1096</v>
      </c>
      <c r="U13">
        <v>1086</v>
      </c>
      <c r="V13">
        <v>1062</v>
      </c>
    </row>
    <row r="14" spans="1:22" x14ac:dyDescent="0.25">
      <c r="A14" t="s">
        <v>0</v>
      </c>
      <c r="B14" t="s">
        <v>70</v>
      </c>
      <c r="C14">
        <v>689</v>
      </c>
      <c r="D14">
        <v>754</v>
      </c>
      <c r="E14">
        <v>808</v>
      </c>
      <c r="F14">
        <v>765</v>
      </c>
      <c r="G14">
        <v>745</v>
      </c>
      <c r="H14">
        <v>824</v>
      </c>
      <c r="I14">
        <v>812</v>
      </c>
      <c r="J14">
        <v>851</v>
      </c>
      <c r="K14">
        <v>858</v>
      </c>
      <c r="L14">
        <v>932</v>
      </c>
      <c r="M14">
        <v>1095</v>
      </c>
      <c r="N14">
        <v>1026</v>
      </c>
      <c r="O14">
        <v>1151</v>
      </c>
      <c r="P14">
        <v>1256</v>
      </c>
      <c r="Q14">
        <v>1229</v>
      </c>
      <c r="R14">
        <v>1248</v>
      </c>
      <c r="S14">
        <v>1170</v>
      </c>
      <c r="T14">
        <v>1172</v>
      </c>
      <c r="U14">
        <v>1148</v>
      </c>
      <c r="V14">
        <v>1067</v>
      </c>
    </row>
    <row r="15" spans="1:22" x14ac:dyDescent="0.25">
      <c r="A15" t="s">
        <v>0</v>
      </c>
      <c r="B15" t="s">
        <v>71</v>
      </c>
      <c r="C15">
        <v>764</v>
      </c>
      <c r="D15">
        <v>718</v>
      </c>
      <c r="E15">
        <v>809</v>
      </c>
      <c r="F15">
        <v>843</v>
      </c>
      <c r="G15">
        <v>782</v>
      </c>
      <c r="H15">
        <v>778</v>
      </c>
      <c r="I15">
        <v>849</v>
      </c>
      <c r="J15">
        <v>853</v>
      </c>
      <c r="K15">
        <v>919</v>
      </c>
      <c r="L15">
        <v>924</v>
      </c>
      <c r="M15">
        <v>968</v>
      </c>
      <c r="N15">
        <v>1136</v>
      </c>
      <c r="O15">
        <v>1089</v>
      </c>
      <c r="P15">
        <v>1226</v>
      </c>
      <c r="Q15">
        <v>1311</v>
      </c>
      <c r="R15">
        <v>1263</v>
      </c>
      <c r="S15">
        <v>1271</v>
      </c>
      <c r="T15">
        <v>1186</v>
      </c>
      <c r="U15">
        <v>1164</v>
      </c>
      <c r="V15">
        <v>1141</v>
      </c>
    </row>
    <row r="16" spans="1:22" x14ac:dyDescent="0.25">
      <c r="A16" t="s">
        <v>0</v>
      </c>
      <c r="B16" t="s">
        <v>72</v>
      </c>
      <c r="C16">
        <v>868</v>
      </c>
      <c r="D16">
        <v>842</v>
      </c>
      <c r="E16">
        <v>784</v>
      </c>
      <c r="F16">
        <v>861</v>
      </c>
      <c r="G16">
        <v>839</v>
      </c>
      <c r="H16">
        <v>834</v>
      </c>
      <c r="I16">
        <v>850</v>
      </c>
      <c r="J16">
        <v>899</v>
      </c>
      <c r="K16">
        <v>861</v>
      </c>
      <c r="L16">
        <v>965</v>
      </c>
      <c r="M16">
        <v>953</v>
      </c>
      <c r="N16">
        <v>1008</v>
      </c>
      <c r="O16">
        <v>1147</v>
      </c>
      <c r="P16">
        <v>1125</v>
      </c>
      <c r="Q16">
        <v>1246</v>
      </c>
      <c r="R16">
        <v>1341</v>
      </c>
      <c r="S16">
        <v>1270</v>
      </c>
      <c r="T16">
        <v>1284</v>
      </c>
      <c r="U16">
        <v>1232</v>
      </c>
      <c r="V16">
        <v>1156</v>
      </c>
    </row>
    <row r="17" spans="1:22" x14ac:dyDescent="0.25">
      <c r="A17" t="s">
        <v>0</v>
      </c>
      <c r="B17" t="s">
        <v>73</v>
      </c>
      <c r="C17">
        <v>868</v>
      </c>
      <c r="D17">
        <v>878</v>
      </c>
      <c r="E17">
        <v>898</v>
      </c>
      <c r="F17">
        <v>805</v>
      </c>
      <c r="G17">
        <v>862</v>
      </c>
      <c r="H17">
        <v>874</v>
      </c>
      <c r="I17">
        <v>845</v>
      </c>
      <c r="J17">
        <v>881</v>
      </c>
      <c r="K17">
        <v>948</v>
      </c>
      <c r="L17">
        <v>899</v>
      </c>
      <c r="M17">
        <v>1004</v>
      </c>
      <c r="N17">
        <v>1011</v>
      </c>
      <c r="O17">
        <v>1029</v>
      </c>
      <c r="P17">
        <v>1147</v>
      </c>
      <c r="Q17">
        <v>1172</v>
      </c>
      <c r="R17">
        <v>1247</v>
      </c>
      <c r="S17">
        <v>1359</v>
      </c>
      <c r="T17">
        <v>1290</v>
      </c>
      <c r="U17">
        <v>1323</v>
      </c>
      <c r="V17">
        <v>1248</v>
      </c>
    </row>
    <row r="18" spans="1:22" x14ac:dyDescent="0.25">
      <c r="A18" t="s">
        <v>0</v>
      </c>
      <c r="B18" t="s">
        <v>74</v>
      </c>
      <c r="C18">
        <v>915</v>
      </c>
      <c r="D18">
        <v>867</v>
      </c>
      <c r="E18">
        <v>922</v>
      </c>
      <c r="F18">
        <v>900</v>
      </c>
      <c r="G18">
        <v>807</v>
      </c>
      <c r="H18">
        <v>884</v>
      </c>
      <c r="I18">
        <v>913</v>
      </c>
      <c r="J18">
        <v>867</v>
      </c>
      <c r="K18">
        <v>915</v>
      </c>
      <c r="L18">
        <v>961</v>
      </c>
      <c r="M18">
        <v>921</v>
      </c>
      <c r="N18">
        <v>1030</v>
      </c>
      <c r="O18">
        <v>1022</v>
      </c>
      <c r="P18">
        <v>1084</v>
      </c>
      <c r="Q18">
        <v>1195</v>
      </c>
      <c r="R18">
        <v>1185</v>
      </c>
      <c r="S18">
        <v>1255</v>
      </c>
      <c r="T18">
        <v>1378</v>
      </c>
      <c r="U18">
        <v>1320</v>
      </c>
      <c r="V18">
        <v>1268</v>
      </c>
    </row>
    <row r="19" spans="1:22" x14ac:dyDescent="0.25">
      <c r="A19" t="s">
        <v>0</v>
      </c>
      <c r="B19" t="s">
        <v>75</v>
      </c>
      <c r="C19">
        <v>959</v>
      </c>
      <c r="D19">
        <v>942</v>
      </c>
      <c r="E19">
        <v>896</v>
      </c>
      <c r="F19">
        <v>946</v>
      </c>
      <c r="G19">
        <v>872</v>
      </c>
      <c r="H19">
        <v>831</v>
      </c>
      <c r="I19">
        <v>904</v>
      </c>
      <c r="J19">
        <v>875</v>
      </c>
      <c r="K19">
        <v>876</v>
      </c>
      <c r="L19">
        <v>931</v>
      </c>
      <c r="M19">
        <v>989</v>
      </c>
      <c r="N19">
        <v>952</v>
      </c>
      <c r="O19">
        <v>1075</v>
      </c>
      <c r="P19">
        <v>1085</v>
      </c>
      <c r="Q19">
        <v>1100</v>
      </c>
      <c r="R19">
        <v>1204</v>
      </c>
      <c r="S19">
        <v>1185</v>
      </c>
      <c r="T19">
        <v>1282</v>
      </c>
      <c r="U19">
        <v>1359</v>
      </c>
      <c r="V19">
        <v>1320</v>
      </c>
    </row>
    <row r="20" spans="1:22" x14ac:dyDescent="0.25">
      <c r="A20" t="s">
        <v>0</v>
      </c>
      <c r="B20" t="s">
        <v>76</v>
      </c>
      <c r="C20">
        <v>928</v>
      </c>
      <c r="D20">
        <v>990</v>
      </c>
      <c r="E20">
        <v>954</v>
      </c>
      <c r="F20">
        <v>878</v>
      </c>
      <c r="G20">
        <v>920</v>
      </c>
      <c r="H20">
        <v>921</v>
      </c>
      <c r="I20">
        <v>870</v>
      </c>
      <c r="J20">
        <v>889</v>
      </c>
      <c r="K20">
        <v>893</v>
      </c>
      <c r="L20">
        <v>911</v>
      </c>
      <c r="M20">
        <v>915</v>
      </c>
      <c r="N20">
        <v>1012</v>
      </c>
      <c r="O20">
        <v>947</v>
      </c>
      <c r="P20">
        <v>1097</v>
      </c>
      <c r="Q20">
        <v>1099</v>
      </c>
      <c r="R20">
        <v>1112</v>
      </c>
      <c r="S20">
        <v>1253</v>
      </c>
      <c r="T20">
        <v>1241</v>
      </c>
      <c r="U20">
        <v>1331</v>
      </c>
      <c r="V20">
        <v>1364</v>
      </c>
    </row>
    <row r="21" spans="1:22" x14ac:dyDescent="0.25">
      <c r="A21" t="s">
        <v>0</v>
      </c>
      <c r="B21" t="s">
        <v>77</v>
      </c>
      <c r="C21">
        <v>928</v>
      </c>
      <c r="D21">
        <v>928</v>
      </c>
      <c r="E21">
        <v>983</v>
      </c>
      <c r="F21">
        <v>975</v>
      </c>
      <c r="G21">
        <v>893</v>
      </c>
      <c r="H21">
        <v>935</v>
      </c>
      <c r="I21">
        <v>919</v>
      </c>
      <c r="J21">
        <v>900</v>
      </c>
      <c r="K21">
        <v>928</v>
      </c>
      <c r="L21">
        <v>918</v>
      </c>
      <c r="M21">
        <v>901</v>
      </c>
      <c r="N21">
        <v>935</v>
      </c>
      <c r="O21">
        <v>1023</v>
      </c>
      <c r="P21">
        <v>968</v>
      </c>
      <c r="Q21">
        <v>1118</v>
      </c>
      <c r="R21">
        <v>1125</v>
      </c>
      <c r="S21">
        <v>1127</v>
      </c>
      <c r="T21">
        <v>1226</v>
      </c>
      <c r="U21">
        <v>1251</v>
      </c>
      <c r="V21">
        <v>1299</v>
      </c>
    </row>
    <row r="22" spans="1:22" x14ac:dyDescent="0.25">
      <c r="A22" t="s">
        <v>0</v>
      </c>
      <c r="B22" t="s">
        <v>78</v>
      </c>
      <c r="C22">
        <v>897</v>
      </c>
      <c r="D22">
        <v>939</v>
      </c>
      <c r="E22">
        <v>956</v>
      </c>
      <c r="F22">
        <v>1005</v>
      </c>
      <c r="G22">
        <v>970</v>
      </c>
      <c r="H22">
        <v>915</v>
      </c>
      <c r="I22">
        <v>960</v>
      </c>
      <c r="J22">
        <v>911</v>
      </c>
      <c r="K22">
        <v>890</v>
      </c>
      <c r="L22">
        <v>938</v>
      </c>
      <c r="M22">
        <v>941</v>
      </c>
      <c r="N22">
        <v>936</v>
      </c>
      <c r="O22">
        <v>951</v>
      </c>
      <c r="P22">
        <v>1036</v>
      </c>
      <c r="Q22">
        <v>997</v>
      </c>
      <c r="R22">
        <v>1125</v>
      </c>
      <c r="S22">
        <v>1122</v>
      </c>
      <c r="T22">
        <v>1124</v>
      </c>
      <c r="U22">
        <v>1244</v>
      </c>
      <c r="V22">
        <v>1214</v>
      </c>
    </row>
    <row r="23" spans="1:22" x14ac:dyDescent="0.25">
      <c r="A23" t="s">
        <v>0</v>
      </c>
      <c r="B23" t="s">
        <v>79</v>
      </c>
      <c r="C23">
        <v>925</v>
      </c>
      <c r="D23">
        <v>922</v>
      </c>
      <c r="E23">
        <v>947</v>
      </c>
      <c r="F23">
        <v>947</v>
      </c>
      <c r="G23">
        <v>983</v>
      </c>
      <c r="H23">
        <v>980</v>
      </c>
      <c r="I23">
        <v>941</v>
      </c>
      <c r="J23">
        <v>984</v>
      </c>
      <c r="K23">
        <v>958</v>
      </c>
      <c r="L23">
        <v>912</v>
      </c>
      <c r="M23">
        <v>960</v>
      </c>
      <c r="N23">
        <v>975</v>
      </c>
      <c r="O23">
        <v>965</v>
      </c>
      <c r="P23">
        <v>969</v>
      </c>
      <c r="Q23">
        <v>1055</v>
      </c>
      <c r="R23">
        <v>994</v>
      </c>
      <c r="S23">
        <v>1145</v>
      </c>
      <c r="T23">
        <v>1113</v>
      </c>
      <c r="U23">
        <v>1115</v>
      </c>
      <c r="V23">
        <v>1222</v>
      </c>
    </row>
    <row r="24" spans="1:22" x14ac:dyDescent="0.25">
      <c r="A24" t="s">
        <v>0</v>
      </c>
      <c r="B24" t="s">
        <v>80</v>
      </c>
      <c r="C24">
        <v>939</v>
      </c>
      <c r="D24">
        <v>956</v>
      </c>
      <c r="E24">
        <v>920</v>
      </c>
      <c r="F24">
        <v>989</v>
      </c>
      <c r="G24">
        <v>967</v>
      </c>
      <c r="H24">
        <v>999</v>
      </c>
      <c r="I24">
        <v>1017</v>
      </c>
      <c r="J24">
        <v>945</v>
      </c>
      <c r="K24">
        <v>974</v>
      </c>
      <c r="L24">
        <v>978</v>
      </c>
      <c r="M24">
        <v>933</v>
      </c>
      <c r="N24">
        <v>973</v>
      </c>
      <c r="O24">
        <v>983</v>
      </c>
      <c r="P24">
        <v>976</v>
      </c>
      <c r="Q24">
        <v>994</v>
      </c>
      <c r="R24">
        <v>1026</v>
      </c>
      <c r="S24">
        <v>1004</v>
      </c>
      <c r="T24">
        <v>1168</v>
      </c>
      <c r="U24">
        <v>1119</v>
      </c>
      <c r="V24">
        <v>1110</v>
      </c>
    </row>
    <row r="25" spans="1:22" x14ac:dyDescent="0.25">
      <c r="A25" t="s">
        <v>0</v>
      </c>
      <c r="B25" t="s">
        <v>81</v>
      </c>
      <c r="C25">
        <v>1045</v>
      </c>
      <c r="D25">
        <v>949</v>
      </c>
      <c r="E25">
        <v>976</v>
      </c>
      <c r="F25">
        <v>941</v>
      </c>
      <c r="G25">
        <v>964</v>
      </c>
      <c r="H25">
        <v>978</v>
      </c>
      <c r="I25">
        <v>1013</v>
      </c>
      <c r="J25">
        <v>1037</v>
      </c>
      <c r="K25">
        <v>965</v>
      </c>
      <c r="L25">
        <v>999</v>
      </c>
      <c r="M25">
        <v>969</v>
      </c>
      <c r="N25">
        <v>958</v>
      </c>
      <c r="O25">
        <v>1002</v>
      </c>
      <c r="P25">
        <v>1009</v>
      </c>
      <c r="Q25">
        <v>980</v>
      </c>
      <c r="R25">
        <v>971</v>
      </c>
      <c r="S25">
        <v>1041</v>
      </c>
      <c r="T25">
        <v>1020</v>
      </c>
      <c r="U25">
        <v>1159</v>
      </c>
      <c r="V25">
        <v>1071</v>
      </c>
    </row>
    <row r="26" spans="1:22" x14ac:dyDescent="0.25">
      <c r="A26" t="s">
        <v>0</v>
      </c>
      <c r="B26" t="s">
        <v>82</v>
      </c>
      <c r="C26">
        <v>967</v>
      </c>
      <c r="D26">
        <v>1062</v>
      </c>
      <c r="E26">
        <v>951</v>
      </c>
      <c r="F26">
        <v>955</v>
      </c>
      <c r="G26">
        <v>933</v>
      </c>
      <c r="H26">
        <v>976</v>
      </c>
      <c r="I26">
        <v>998</v>
      </c>
      <c r="J26">
        <v>1016</v>
      </c>
      <c r="K26">
        <v>1030</v>
      </c>
      <c r="L26">
        <v>979</v>
      </c>
      <c r="M26">
        <v>1005</v>
      </c>
      <c r="N26">
        <v>962</v>
      </c>
      <c r="O26">
        <v>953</v>
      </c>
      <c r="P26">
        <v>996</v>
      </c>
      <c r="Q26">
        <v>1010</v>
      </c>
      <c r="R26">
        <v>965</v>
      </c>
      <c r="S26">
        <v>998</v>
      </c>
      <c r="T26">
        <v>1039</v>
      </c>
      <c r="U26">
        <v>1035</v>
      </c>
      <c r="V26">
        <v>1118</v>
      </c>
    </row>
    <row r="27" spans="1:22" x14ac:dyDescent="0.25">
      <c r="A27" t="s">
        <v>0</v>
      </c>
      <c r="B27" t="s">
        <v>83</v>
      </c>
      <c r="C27">
        <v>1054</v>
      </c>
      <c r="D27">
        <v>964</v>
      </c>
      <c r="E27">
        <v>1063</v>
      </c>
      <c r="F27">
        <v>965</v>
      </c>
      <c r="G27">
        <v>964</v>
      </c>
      <c r="H27">
        <v>969</v>
      </c>
      <c r="I27">
        <v>1004</v>
      </c>
      <c r="J27">
        <v>1015</v>
      </c>
      <c r="K27">
        <v>1035</v>
      </c>
      <c r="L27">
        <v>1047</v>
      </c>
      <c r="M27">
        <v>977</v>
      </c>
      <c r="N27">
        <v>1037</v>
      </c>
      <c r="O27">
        <v>949</v>
      </c>
      <c r="P27">
        <v>965</v>
      </c>
      <c r="Q27">
        <v>1034</v>
      </c>
      <c r="R27">
        <v>1002</v>
      </c>
      <c r="S27">
        <v>967</v>
      </c>
      <c r="T27">
        <v>1001</v>
      </c>
      <c r="U27">
        <v>1068</v>
      </c>
      <c r="V27">
        <v>1032</v>
      </c>
    </row>
    <row r="28" spans="1:22" x14ac:dyDescent="0.25">
      <c r="A28" t="s">
        <v>0</v>
      </c>
      <c r="B28" t="s">
        <v>84</v>
      </c>
      <c r="C28">
        <v>974</v>
      </c>
      <c r="D28">
        <v>1048</v>
      </c>
      <c r="E28">
        <v>992</v>
      </c>
      <c r="F28">
        <v>1056</v>
      </c>
      <c r="G28">
        <v>955</v>
      </c>
      <c r="H28">
        <v>971</v>
      </c>
      <c r="I28">
        <v>970</v>
      </c>
      <c r="J28">
        <v>1008</v>
      </c>
      <c r="K28">
        <v>1028</v>
      </c>
      <c r="L28">
        <v>1047</v>
      </c>
      <c r="M28">
        <v>1067</v>
      </c>
      <c r="N28">
        <v>988</v>
      </c>
      <c r="O28">
        <v>1032</v>
      </c>
      <c r="P28">
        <v>976</v>
      </c>
      <c r="Q28">
        <v>1002</v>
      </c>
      <c r="R28">
        <v>1010</v>
      </c>
      <c r="S28">
        <v>1012</v>
      </c>
      <c r="T28">
        <v>982</v>
      </c>
      <c r="U28">
        <v>1020</v>
      </c>
      <c r="V28">
        <v>1059</v>
      </c>
    </row>
    <row r="29" spans="1:22" x14ac:dyDescent="0.25">
      <c r="A29" t="s">
        <v>0</v>
      </c>
      <c r="B29" t="s">
        <v>85</v>
      </c>
      <c r="C29">
        <v>925</v>
      </c>
      <c r="D29">
        <v>985</v>
      </c>
      <c r="E29">
        <v>1064</v>
      </c>
      <c r="F29">
        <v>1007</v>
      </c>
      <c r="G29">
        <v>1045</v>
      </c>
      <c r="H29">
        <v>960</v>
      </c>
      <c r="I29">
        <v>976</v>
      </c>
      <c r="J29">
        <v>959</v>
      </c>
      <c r="K29">
        <v>1011</v>
      </c>
      <c r="L29">
        <v>1039</v>
      </c>
      <c r="M29">
        <v>1061</v>
      </c>
      <c r="N29">
        <v>1086</v>
      </c>
      <c r="O29">
        <v>970</v>
      </c>
      <c r="P29">
        <v>1056</v>
      </c>
      <c r="Q29">
        <v>989</v>
      </c>
      <c r="R29">
        <v>963</v>
      </c>
      <c r="S29">
        <v>1027</v>
      </c>
      <c r="T29">
        <v>1032</v>
      </c>
      <c r="U29">
        <v>980</v>
      </c>
      <c r="V29">
        <v>1004</v>
      </c>
    </row>
    <row r="30" spans="1:22" x14ac:dyDescent="0.25">
      <c r="A30" t="s">
        <v>0</v>
      </c>
      <c r="B30" t="s">
        <v>86</v>
      </c>
      <c r="C30">
        <v>873</v>
      </c>
      <c r="D30">
        <v>929</v>
      </c>
      <c r="E30">
        <v>1011</v>
      </c>
      <c r="F30">
        <v>1076</v>
      </c>
      <c r="G30">
        <v>986</v>
      </c>
      <c r="H30">
        <v>1041</v>
      </c>
      <c r="I30">
        <v>975</v>
      </c>
      <c r="J30">
        <v>967</v>
      </c>
      <c r="K30">
        <v>964</v>
      </c>
      <c r="L30">
        <v>1034</v>
      </c>
      <c r="M30">
        <v>1035</v>
      </c>
      <c r="N30">
        <v>1081</v>
      </c>
      <c r="O30">
        <v>1082</v>
      </c>
      <c r="P30">
        <v>1008</v>
      </c>
      <c r="Q30">
        <v>1047</v>
      </c>
      <c r="R30">
        <v>990</v>
      </c>
      <c r="S30">
        <v>972</v>
      </c>
      <c r="T30">
        <v>1029</v>
      </c>
      <c r="U30">
        <v>1028</v>
      </c>
      <c r="V30">
        <v>952</v>
      </c>
    </row>
    <row r="31" spans="1:22" x14ac:dyDescent="0.25">
      <c r="A31" t="s">
        <v>0</v>
      </c>
      <c r="B31" t="s">
        <v>87</v>
      </c>
      <c r="C31">
        <v>858</v>
      </c>
      <c r="D31">
        <v>882</v>
      </c>
      <c r="E31">
        <v>952</v>
      </c>
      <c r="F31">
        <v>1006</v>
      </c>
      <c r="G31">
        <v>1067</v>
      </c>
      <c r="H31">
        <v>979</v>
      </c>
      <c r="I31">
        <v>1076</v>
      </c>
      <c r="J31">
        <v>972</v>
      </c>
      <c r="K31">
        <v>974</v>
      </c>
      <c r="L31">
        <v>968</v>
      </c>
      <c r="M31">
        <v>1051</v>
      </c>
      <c r="N31">
        <v>1051</v>
      </c>
      <c r="O31">
        <v>1080</v>
      </c>
      <c r="P31">
        <v>1107</v>
      </c>
      <c r="Q31">
        <v>1027</v>
      </c>
      <c r="R31">
        <v>1041</v>
      </c>
      <c r="S31">
        <v>1003</v>
      </c>
      <c r="T31">
        <v>985</v>
      </c>
      <c r="U31">
        <v>1033</v>
      </c>
      <c r="V31">
        <v>1038</v>
      </c>
    </row>
    <row r="32" spans="1:22" x14ac:dyDescent="0.25">
      <c r="A32" t="s">
        <v>0</v>
      </c>
      <c r="B32" t="s">
        <v>88</v>
      </c>
      <c r="C32">
        <v>846</v>
      </c>
      <c r="D32">
        <v>853</v>
      </c>
      <c r="E32">
        <v>869</v>
      </c>
      <c r="F32">
        <v>958</v>
      </c>
      <c r="G32">
        <v>995</v>
      </c>
      <c r="H32">
        <v>1058</v>
      </c>
      <c r="I32">
        <v>999</v>
      </c>
      <c r="J32">
        <v>1076</v>
      </c>
      <c r="K32">
        <v>999</v>
      </c>
      <c r="L32">
        <v>986</v>
      </c>
      <c r="M32">
        <v>1001</v>
      </c>
      <c r="N32">
        <v>1057</v>
      </c>
      <c r="O32">
        <v>1059</v>
      </c>
      <c r="P32">
        <v>1083</v>
      </c>
      <c r="Q32">
        <v>1127</v>
      </c>
      <c r="R32">
        <v>1031</v>
      </c>
      <c r="S32">
        <v>1030</v>
      </c>
      <c r="T32">
        <v>1025</v>
      </c>
      <c r="U32">
        <v>1001</v>
      </c>
      <c r="V32">
        <v>1019</v>
      </c>
    </row>
    <row r="33" spans="1:22" x14ac:dyDescent="0.25">
      <c r="A33" t="s">
        <v>0</v>
      </c>
      <c r="B33" t="s">
        <v>89</v>
      </c>
      <c r="C33">
        <v>822</v>
      </c>
      <c r="D33">
        <v>864</v>
      </c>
      <c r="E33">
        <v>855</v>
      </c>
      <c r="F33">
        <v>846</v>
      </c>
      <c r="G33">
        <v>944</v>
      </c>
      <c r="H33">
        <v>985</v>
      </c>
      <c r="I33">
        <v>1061</v>
      </c>
      <c r="J33">
        <v>1006</v>
      </c>
      <c r="K33">
        <v>1110</v>
      </c>
      <c r="L33">
        <v>998</v>
      </c>
      <c r="M33">
        <v>994</v>
      </c>
      <c r="N33">
        <v>1006</v>
      </c>
      <c r="O33">
        <v>1059</v>
      </c>
      <c r="P33">
        <v>1077</v>
      </c>
      <c r="Q33">
        <v>1095</v>
      </c>
      <c r="R33">
        <v>1112</v>
      </c>
      <c r="S33">
        <v>1046</v>
      </c>
      <c r="T33">
        <v>1072</v>
      </c>
      <c r="U33">
        <v>1020</v>
      </c>
      <c r="V33">
        <v>978</v>
      </c>
    </row>
    <row r="34" spans="1:22" x14ac:dyDescent="0.25">
      <c r="A34" t="s">
        <v>0</v>
      </c>
      <c r="B34" t="s">
        <v>90</v>
      </c>
      <c r="C34">
        <v>837</v>
      </c>
      <c r="D34">
        <v>833</v>
      </c>
      <c r="E34">
        <v>851</v>
      </c>
      <c r="F34">
        <v>859</v>
      </c>
      <c r="G34">
        <v>835</v>
      </c>
      <c r="H34">
        <v>958</v>
      </c>
      <c r="I34">
        <v>999</v>
      </c>
      <c r="J34">
        <v>1077</v>
      </c>
      <c r="K34">
        <v>992</v>
      </c>
      <c r="L34">
        <v>1144</v>
      </c>
      <c r="M34">
        <v>995</v>
      </c>
      <c r="N34">
        <v>1010</v>
      </c>
      <c r="O34">
        <v>1010</v>
      </c>
      <c r="P34">
        <v>1065</v>
      </c>
      <c r="Q34">
        <v>1066</v>
      </c>
      <c r="R34">
        <v>1080</v>
      </c>
      <c r="S34">
        <v>1129</v>
      </c>
      <c r="T34">
        <v>1053</v>
      </c>
      <c r="U34">
        <v>1067</v>
      </c>
      <c r="V34">
        <v>997</v>
      </c>
    </row>
    <row r="35" spans="1:22" x14ac:dyDescent="0.25">
      <c r="A35" t="s">
        <v>0</v>
      </c>
      <c r="B35" t="s">
        <v>91</v>
      </c>
      <c r="C35">
        <v>825</v>
      </c>
      <c r="D35">
        <v>818</v>
      </c>
      <c r="E35">
        <v>834</v>
      </c>
      <c r="F35">
        <v>865</v>
      </c>
      <c r="G35">
        <v>854</v>
      </c>
      <c r="H35">
        <v>844</v>
      </c>
      <c r="I35">
        <v>970</v>
      </c>
      <c r="J35">
        <v>1006</v>
      </c>
      <c r="K35">
        <v>1062</v>
      </c>
      <c r="L35">
        <v>1019</v>
      </c>
      <c r="M35">
        <v>1149</v>
      </c>
      <c r="N35">
        <v>977</v>
      </c>
      <c r="O35">
        <v>1014</v>
      </c>
      <c r="P35">
        <v>1030</v>
      </c>
      <c r="Q35">
        <v>1064</v>
      </c>
      <c r="R35">
        <v>1054</v>
      </c>
      <c r="S35">
        <v>1076</v>
      </c>
      <c r="T35">
        <v>1121</v>
      </c>
      <c r="U35">
        <v>1067</v>
      </c>
      <c r="V35">
        <v>1054</v>
      </c>
    </row>
    <row r="36" spans="1:22" x14ac:dyDescent="0.25">
      <c r="A36" t="s">
        <v>0</v>
      </c>
      <c r="B36" t="s">
        <v>92</v>
      </c>
      <c r="C36">
        <v>831</v>
      </c>
      <c r="D36">
        <v>808</v>
      </c>
      <c r="E36">
        <v>826</v>
      </c>
      <c r="F36">
        <v>825</v>
      </c>
      <c r="G36">
        <v>861</v>
      </c>
      <c r="H36">
        <v>838</v>
      </c>
      <c r="I36">
        <v>861</v>
      </c>
      <c r="J36">
        <v>970</v>
      </c>
      <c r="K36">
        <v>1021</v>
      </c>
      <c r="L36">
        <v>1095</v>
      </c>
      <c r="M36">
        <v>1004</v>
      </c>
      <c r="N36">
        <v>1105</v>
      </c>
      <c r="O36">
        <v>1008</v>
      </c>
      <c r="P36">
        <v>1006</v>
      </c>
      <c r="Q36">
        <v>1041</v>
      </c>
      <c r="R36">
        <v>1054</v>
      </c>
      <c r="S36">
        <v>1053</v>
      </c>
      <c r="T36">
        <v>1092</v>
      </c>
      <c r="U36">
        <v>1103</v>
      </c>
      <c r="V36">
        <v>1046</v>
      </c>
    </row>
    <row r="37" spans="1:22" x14ac:dyDescent="0.25">
      <c r="A37" t="s">
        <v>0</v>
      </c>
      <c r="B37" t="s">
        <v>93</v>
      </c>
      <c r="C37">
        <v>826</v>
      </c>
      <c r="D37">
        <v>809</v>
      </c>
      <c r="E37">
        <v>791</v>
      </c>
      <c r="F37">
        <v>828</v>
      </c>
      <c r="G37">
        <v>814</v>
      </c>
      <c r="H37">
        <v>852</v>
      </c>
      <c r="I37">
        <v>860</v>
      </c>
      <c r="J37">
        <v>851</v>
      </c>
      <c r="K37">
        <v>968</v>
      </c>
      <c r="L37">
        <v>1035</v>
      </c>
      <c r="M37">
        <v>1106</v>
      </c>
      <c r="N37">
        <v>1017</v>
      </c>
      <c r="O37">
        <v>1122</v>
      </c>
      <c r="P37">
        <v>1001</v>
      </c>
      <c r="Q37">
        <v>1014</v>
      </c>
      <c r="R37">
        <v>1024</v>
      </c>
      <c r="S37">
        <v>1067</v>
      </c>
      <c r="T37">
        <v>1052</v>
      </c>
      <c r="U37">
        <v>1097</v>
      </c>
      <c r="V37">
        <v>1098</v>
      </c>
    </row>
    <row r="38" spans="1:22" x14ac:dyDescent="0.25">
      <c r="A38" t="s">
        <v>0</v>
      </c>
      <c r="B38" t="s">
        <v>94</v>
      </c>
      <c r="C38">
        <v>740</v>
      </c>
      <c r="D38">
        <v>815</v>
      </c>
      <c r="E38">
        <v>818</v>
      </c>
      <c r="F38">
        <v>817</v>
      </c>
      <c r="G38">
        <v>839</v>
      </c>
      <c r="H38">
        <v>815</v>
      </c>
      <c r="I38">
        <v>853</v>
      </c>
      <c r="J38">
        <v>855</v>
      </c>
      <c r="K38">
        <v>846</v>
      </c>
      <c r="L38">
        <v>980</v>
      </c>
      <c r="M38">
        <v>1046</v>
      </c>
      <c r="N38">
        <v>1084</v>
      </c>
      <c r="O38">
        <v>1017</v>
      </c>
      <c r="P38">
        <v>1108</v>
      </c>
      <c r="Q38">
        <v>1010</v>
      </c>
      <c r="R38">
        <v>1005</v>
      </c>
      <c r="S38">
        <v>1037</v>
      </c>
      <c r="T38">
        <v>1086</v>
      </c>
      <c r="U38">
        <v>1056</v>
      </c>
      <c r="V38">
        <v>1084</v>
      </c>
    </row>
    <row r="39" spans="1:22" x14ac:dyDescent="0.25">
      <c r="A39" t="s">
        <v>0</v>
      </c>
      <c r="B39" t="s">
        <v>95</v>
      </c>
      <c r="C39">
        <v>782</v>
      </c>
      <c r="D39">
        <v>728</v>
      </c>
      <c r="E39">
        <v>800</v>
      </c>
      <c r="F39">
        <v>825</v>
      </c>
      <c r="G39">
        <v>815</v>
      </c>
      <c r="H39">
        <v>828</v>
      </c>
      <c r="I39">
        <v>830</v>
      </c>
      <c r="J39">
        <v>859</v>
      </c>
      <c r="K39">
        <v>867</v>
      </c>
      <c r="L39">
        <v>844</v>
      </c>
      <c r="M39">
        <v>973</v>
      </c>
      <c r="N39">
        <v>1040</v>
      </c>
      <c r="O39">
        <v>1092</v>
      </c>
      <c r="P39">
        <v>1025</v>
      </c>
      <c r="Q39">
        <v>1114</v>
      </c>
      <c r="R39">
        <v>999</v>
      </c>
      <c r="S39">
        <v>1007</v>
      </c>
      <c r="T39">
        <v>1024</v>
      </c>
      <c r="U39">
        <v>1060</v>
      </c>
      <c r="V39">
        <v>1048</v>
      </c>
    </row>
    <row r="40" spans="1:22" x14ac:dyDescent="0.25">
      <c r="A40" t="s">
        <v>0</v>
      </c>
      <c r="B40" t="s">
        <v>96</v>
      </c>
      <c r="C40">
        <v>787</v>
      </c>
      <c r="D40">
        <v>783</v>
      </c>
      <c r="E40">
        <v>741</v>
      </c>
      <c r="F40">
        <v>813</v>
      </c>
      <c r="G40">
        <v>814</v>
      </c>
      <c r="H40">
        <v>807</v>
      </c>
      <c r="I40">
        <v>838</v>
      </c>
      <c r="J40">
        <v>828</v>
      </c>
      <c r="K40">
        <v>851</v>
      </c>
      <c r="L40">
        <v>853</v>
      </c>
      <c r="M40">
        <v>824</v>
      </c>
      <c r="N40">
        <v>970</v>
      </c>
      <c r="O40">
        <v>1040</v>
      </c>
      <c r="P40">
        <v>1094</v>
      </c>
      <c r="Q40">
        <v>1036</v>
      </c>
      <c r="R40">
        <v>1103</v>
      </c>
      <c r="S40">
        <v>994</v>
      </c>
      <c r="T40">
        <v>1005</v>
      </c>
      <c r="U40">
        <v>1009</v>
      </c>
      <c r="V40">
        <v>1076</v>
      </c>
    </row>
    <row r="41" spans="1:22" x14ac:dyDescent="0.25">
      <c r="A41" t="s">
        <v>0</v>
      </c>
      <c r="B41" t="s">
        <v>97</v>
      </c>
      <c r="C41">
        <v>763</v>
      </c>
      <c r="D41">
        <v>800</v>
      </c>
      <c r="E41">
        <v>779</v>
      </c>
      <c r="F41">
        <v>733</v>
      </c>
      <c r="G41">
        <v>795</v>
      </c>
      <c r="H41">
        <v>812</v>
      </c>
      <c r="I41">
        <v>802</v>
      </c>
      <c r="J41">
        <v>827</v>
      </c>
      <c r="K41">
        <v>821</v>
      </c>
      <c r="L41">
        <v>853</v>
      </c>
      <c r="M41">
        <v>857</v>
      </c>
      <c r="N41">
        <v>826</v>
      </c>
      <c r="O41">
        <v>970</v>
      </c>
      <c r="P41">
        <v>1052</v>
      </c>
      <c r="Q41">
        <v>1098</v>
      </c>
      <c r="R41">
        <v>1015</v>
      </c>
      <c r="S41">
        <v>1099</v>
      </c>
      <c r="T41">
        <v>1023</v>
      </c>
      <c r="U41">
        <v>1013</v>
      </c>
      <c r="V41">
        <v>1018</v>
      </c>
    </row>
    <row r="42" spans="1:22" x14ac:dyDescent="0.25">
      <c r="A42" t="s">
        <v>0</v>
      </c>
      <c r="B42" t="s">
        <v>98</v>
      </c>
      <c r="C42">
        <v>749</v>
      </c>
      <c r="D42">
        <v>761</v>
      </c>
      <c r="E42">
        <v>788</v>
      </c>
      <c r="F42">
        <v>762</v>
      </c>
      <c r="G42">
        <v>721</v>
      </c>
      <c r="H42">
        <v>773</v>
      </c>
      <c r="I42">
        <v>810</v>
      </c>
      <c r="J42">
        <v>789</v>
      </c>
      <c r="K42">
        <v>807</v>
      </c>
      <c r="L42">
        <v>817</v>
      </c>
      <c r="M42">
        <v>861</v>
      </c>
      <c r="N42">
        <v>850</v>
      </c>
      <c r="O42">
        <v>828</v>
      </c>
      <c r="P42">
        <v>948</v>
      </c>
      <c r="Q42">
        <v>1028</v>
      </c>
      <c r="R42">
        <v>1078</v>
      </c>
      <c r="S42">
        <v>1014</v>
      </c>
      <c r="T42">
        <v>1097</v>
      </c>
      <c r="U42">
        <v>1022</v>
      </c>
      <c r="V42">
        <v>996</v>
      </c>
    </row>
    <row r="43" spans="1:22" x14ac:dyDescent="0.25">
      <c r="A43" t="s">
        <v>0</v>
      </c>
      <c r="B43" t="s">
        <v>99</v>
      </c>
      <c r="C43">
        <v>772</v>
      </c>
      <c r="D43">
        <v>744</v>
      </c>
      <c r="E43">
        <v>757</v>
      </c>
      <c r="F43">
        <v>781</v>
      </c>
      <c r="G43">
        <v>759</v>
      </c>
      <c r="H43">
        <v>702</v>
      </c>
      <c r="I43">
        <v>770</v>
      </c>
      <c r="J43">
        <v>799</v>
      </c>
      <c r="K43">
        <v>780</v>
      </c>
      <c r="L43">
        <v>815</v>
      </c>
      <c r="M43">
        <v>807</v>
      </c>
      <c r="N43">
        <v>855</v>
      </c>
      <c r="O43">
        <v>834</v>
      </c>
      <c r="P43">
        <v>838</v>
      </c>
      <c r="Q43">
        <v>941</v>
      </c>
      <c r="R43">
        <v>1028</v>
      </c>
      <c r="S43">
        <v>1083</v>
      </c>
      <c r="T43">
        <v>1016</v>
      </c>
      <c r="U43">
        <v>1100</v>
      </c>
      <c r="V43">
        <v>997</v>
      </c>
    </row>
    <row r="44" spans="1:22" x14ac:dyDescent="0.25">
      <c r="A44" t="s">
        <v>0</v>
      </c>
      <c r="B44" t="s">
        <v>100</v>
      </c>
      <c r="C44">
        <v>743</v>
      </c>
      <c r="D44">
        <v>777</v>
      </c>
      <c r="E44">
        <v>744</v>
      </c>
      <c r="F44">
        <v>729</v>
      </c>
      <c r="G44">
        <v>759</v>
      </c>
      <c r="H44">
        <v>758</v>
      </c>
      <c r="I44">
        <v>696</v>
      </c>
      <c r="J44">
        <v>769</v>
      </c>
      <c r="K44">
        <v>794</v>
      </c>
      <c r="L44">
        <v>778</v>
      </c>
      <c r="M44">
        <v>806</v>
      </c>
      <c r="N44">
        <v>815</v>
      </c>
      <c r="O44">
        <v>849</v>
      </c>
      <c r="P44">
        <v>826</v>
      </c>
      <c r="Q44">
        <v>822</v>
      </c>
      <c r="R44">
        <v>931</v>
      </c>
      <c r="S44">
        <v>1024</v>
      </c>
      <c r="T44">
        <v>1087</v>
      </c>
      <c r="U44">
        <v>1005</v>
      </c>
      <c r="V44">
        <v>1087</v>
      </c>
    </row>
    <row r="45" spans="1:22" x14ac:dyDescent="0.25">
      <c r="A45" t="s">
        <v>0</v>
      </c>
      <c r="B45" t="s">
        <v>101</v>
      </c>
      <c r="C45">
        <v>775</v>
      </c>
      <c r="D45">
        <v>745</v>
      </c>
      <c r="E45">
        <v>771</v>
      </c>
      <c r="F45">
        <v>746</v>
      </c>
      <c r="G45">
        <v>722</v>
      </c>
      <c r="H45">
        <v>745</v>
      </c>
      <c r="I45">
        <v>736</v>
      </c>
      <c r="J45">
        <v>676</v>
      </c>
      <c r="K45">
        <v>767</v>
      </c>
      <c r="L45">
        <v>799</v>
      </c>
      <c r="M45">
        <v>782</v>
      </c>
      <c r="N45">
        <v>793</v>
      </c>
      <c r="O45">
        <v>814</v>
      </c>
      <c r="P45">
        <v>841</v>
      </c>
      <c r="Q45">
        <v>832</v>
      </c>
      <c r="R45">
        <v>796</v>
      </c>
      <c r="S45">
        <v>945</v>
      </c>
      <c r="T45">
        <v>1025</v>
      </c>
      <c r="U45">
        <v>1083</v>
      </c>
      <c r="V45">
        <v>991</v>
      </c>
    </row>
    <row r="46" spans="1:22" x14ac:dyDescent="0.25">
      <c r="A46" t="s">
        <v>0</v>
      </c>
      <c r="B46" t="s">
        <v>102</v>
      </c>
      <c r="C46">
        <v>807</v>
      </c>
      <c r="D46">
        <v>782</v>
      </c>
      <c r="E46">
        <v>749</v>
      </c>
      <c r="F46">
        <v>777</v>
      </c>
      <c r="G46">
        <v>724</v>
      </c>
      <c r="H46">
        <v>706</v>
      </c>
      <c r="I46">
        <v>733</v>
      </c>
      <c r="J46">
        <v>741</v>
      </c>
      <c r="K46">
        <v>678</v>
      </c>
      <c r="L46">
        <v>767</v>
      </c>
      <c r="M46">
        <v>794</v>
      </c>
      <c r="N46">
        <v>774</v>
      </c>
      <c r="O46">
        <v>798</v>
      </c>
      <c r="P46">
        <v>796</v>
      </c>
      <c r="Q46">
        <v>827</v>
      </c>
      <c r="R46">
        <v>799</v>
      </c>
      <c r="S46">
        <v>799</v>
      </c>
      <c r="T46">
        <v>956</v>
      </c>
      <c r="U46">
        <v>1020</v>
      </c>
      <c r="V46">
        <v>1070</v>
      </c>
    </row>
    <row r="47" spans="1:22" x14ac:dyDescent="0.25">
      <c r="A47" t="s">
        <v>0</v>
      </c>
      <c r="B47" t="s">
        <v>103</v>
      </c>
      <c r="C47">
        <v>707</v>
      </c>
      <c r="D47">
        <v>792</v>
      </c>
      <c r="E47">
        <v>740</v>
      </c>
      <c r="F47">
        <v>740</v>
      </c>
      <c r="G47">
        <v>731</v>
      </c>
      <c r="H47">
        <v>705</v>
      </c>
      <c r="I47">
        <v>696</v>
      </c>
      <c r="J47">
        <v>732</v>
      </c>
      <c r="K47">
        <v>714</v>
      </c>
      <c r="L47">
        <v>655</v>
      </c>
      <c r="M47">
        <v>752</v>
      </c>
      <c r="N47">
        <v>787</v>
      </c>
      <c r="O47">
        <v>755</v>
      </c>
      <c r="P47">
        <v>793</v>
      </c>
      <c r="Q47">
        <v>795</v>
      </c>
      <c r="R47">
        <v>787</v>
      </c>
      <c r="S47">
        <v>794</v>
      </c>
      <c r="T47">
        <v>807</v>
      </c>
      <c r="U47">
        <v>951</v>
      </c>
      <c r="V47">
        <v>1002</v>
      </c>
    </row>
    <row r="48" spans="1:22" x14ac:dyDescent="0.25">
      <c r="A48" t="s">
        <v>0</v>
      </c>
      <c r="B48" t="s">
        <v>104</v>
      </c>
      <c r="C48">
        <v>666</v>
      </c>
      <c r="D48">
        <v>678</v>
      </c>
      <c r="E48">
        <v>784</v>
      </c>
      <c r="F48">
        <v>698</v>
      </c>
      <c r="G48">
        <v>696</v>
      </c>
      <c r="H48">
        <v>709</v>
      </c>
      <c r="I48">
        <v>676</v>
      </c>
      <c r="J48">
        <v>684</v>
      </c>
      <c r="K48">
        <v>705</v>
      </c>
      <c r="L48">
        <v>688</v>
      </c>
      <c r="M48">
        <v>633</v>
      </c>
      <c r="N48">
        <v>737</v>
      </c>
      <c r="O48">
        <v>773</v>
      </c>
      <c r="P48">
        <v>737</v>
      </c>
      <c r="Q48">
        <v>757</v>
      </c>
      <c r="R48">
        <v>756</v>
      </c>
      <c r="S48">
        <v>762</v>
      </c>
      <c r="T48">
        <v>789</v>
      </c>
      <c r="U48">
        <v>790</v>
      </c>
      <c r="V48">
        <v>933</v>
      </c>
    </row>
    <row r="49" spans="1:22" x14ac:dyDescent="0.25">
      <c r="A49" t="s">
        <v>0</v>
      </c>
      <c r="B49" t="s">
        <v>105</v>
      </c>
      <c r="C49">
        <v>613</v>
      </c>
      <c r="D49">
        <v>637</v>
      </c>
      <c r="E49">
        <v>667</v>
      </c>
      <c r="F49">
        <v>746</v>
      </c>
      <c r="G49">
        <v>643</v>
      </c>
      <c r="H49">
        <v>669</v>
      </c>
      <c r="I49">
        <v>670</v>
      </c>
      <c r="J49">
        <v>647</v>
      </c>
      <c r="K49">
        <v>653</v>
      </c>
      <c r="L49">
        <v>681</v>
      </c>
      <c r="M49">
        <v>676</v>
      </c>
      <c r="N49">
        <v>610</v>
      </c>
      <c r="O49">
        <v>685</v>
      </c>
      <c r="P49">
        <v>728</v>
      </c>
      <c r="Q49">
        <v>681</v>
      </c>
      <c r="R49">
        <v>713</v>
      </c>
      <c r="S49">
        <v>728</v>
      </c>
      <c r="T49">
        <v>741</v>
      </c>
      <c r="U49">
        <v>756</v>
      </c>
      <c r="V49">
        <v>775</v>
      </c>
    </row>
    <row r="50" spans="1:22" x14ac:dyDescent="0.25">
      <c r="A50" t="s">
        <v>0</v>
      </c>
      <c r="B50" t="s">
        <v>106</v>
      </c>
      <c r="C50">
        <v>481</v>
      </c>
      <c r="D50">
        <v>561</v>
      </c>
      <c r="E50">
        <v>593</v>
      </c>
      <c r="F50">
        <v>602</v>
      </c>
      <c r="G50">
        <v>686</v>
      </c>
      <c r="H50">
        <v>594</v>
      </c>
      <c r="I50">
        <v>613</v>
      </c>
      <c r="J50">
        <v>627</v>
      </c>
      <c r="K50">
        <v>605</v>
      </c>
      <c r="L50">
        <v>595</v>
      </c>
      <c r="M50">
        <v>635</v>
      </c>
      <c r="N50">
        <v>624</v>
      </c>
      <c r="O50">
        <v>564</v>
      </c>
      <c r="P50">
        <v>646</v>
      </c>
      <c r="Q50">
        <v>663</v>
      </c>
      <c r="R50">
        <v>610</v>
      </c>
      <c r="S50">
        <v>672</v>
      </c>
      <c r="T50">
        <v>674</v>
      </c>
      <c r="U50">
        <v>700</v>
      </c>
      <c r="V50">
        <v>701</v>
      </c>
    </row>
    <row r="51" spans="1:22" x14ac:dyDescent="0.25">
      <c r="A51" t="s">
        <v>0</v>
      </c>
      <c r="B51" t="s">
        <v>107</v>
      </c>
      <c r="C51">
        <v>329</v>
      </c>
      <c r="D51">
        <v>418</v>
      </c>
      <c r="E51">
        <v>498</v>
      </c>
      <c r="F51">
        <v>517</v>
      </c>
      <c r="G51">
        <v>515</v>
      </c>
      <c r="H51">
        <v>607</v>
      </c>
      <c r="I51">
        <v>533</v>
      </c>
      <c r="J51">
        <v>558</v>
      </c>
      <c r="K51">
        <v>540</v>
      </c>
      <c r="L51">
        <v>533</v>
      </c>
      <c r="M51">
        <v>534</v>
      </c>
      <c r="N51">
        <v>584</v>
      </c>
      <c r="O51">
        <v>548</v>
      </c>
      <c r="P51">
        <v>504</v>
      </c>
      <c r="Q51">
        <v>573</v>
      </c>
      <c r="R51">
        <v>560</v>
      </c>
      <c r="S51">
        <v>527</v>
      </c>
      <c r="T51">
        <v>577</v>
      </c>
      <c r="U51">
        <v>621</v>
      </c>
      <c r="V51">
        <v>635</v>
      </c>
    </row>
    <row r="52" spans="1:22" x14ac:dyDescent="0.25">
      <c r="A52" t="s">
        <v>0</v>
      </c>
      <c r="B52" t="s">
        <v>108</v>
      </c>
      <c r="C52">
        <v>176</v>
      </c>
      <c r="D52">
        <v>185</v>
      </c>
      <c r="E52">
        <v>264</v>
      </c>
      <c r="F52">
        <v>294</v>
      </c>
      <c r="G52">
        <v>331</v>
      </c>
      <c r="H52">
        <v>325</v>
      </c>
      <c r="I52">
        <v>495</v>
      </c>
      <c r="J52">
        <v>406</v>
      </c>
      <c r="K52">
        <v>445</v>
      </c>
      <c r="L52">
        <v>411</v>
      </c>
      <c r="M52">
        <v>416</v>
      </c>
      <c r="N52">
        <v>407</v>
      </c>
      <c r="O52">
        <v>437</v>
      </c>
      <c r="P52">
        <v>453</v>
      </c>
      <c r="Q52">
        <v>371</v>
      </c>
      <c r="R52">
        <v>426</v>
      </c>
      <c r="S52">
        <v>420</v>
      </c>
      <c r="T52">
        <v>442</v>
      </c>
      <c r="U52">
        <v>455</v>
      </c>
      <c r="V52">
        <v>525</v>
      </c>
    </row>
    <row r="53" spans="1:22" x14ac:dyDescent="0.25">
      <c r="A53" t="s">
        <v>0</v>
      </c>
      <c r="B53" t="s">
        <v>109</v>
      </c>
      <c r="C53">
        <v>139</v>
      </c>
      <c r="D53">
        <v>135</v>
      </c>
      <c r="E53">
        <v>160</v>
      </c>
      <c r="F53">
        <v>210</v>
      </c>
      <c r="G53">
        <v>255</v>
      </c>
      <c r="H53">
        <v>232</v>
      </c>
      <c r="I53">
        <v>263</v>
      </c>
      <c r="J53">
        <v>281</v>
      </c>
      <c r="K53">
        <v>279</v>
      </c>
      <c r="L53">
        <v>291</v>
      </c>
      <c r="M53">
        <v>288</v>
      </c>
      <c r="N53">
        <v>267</v>
      </c>
      <c r="O53">
        <v>276</v>
      </c>
      <c r="P53">
        <v>296</v>
      </c>
      <c r="Q53">
        <v>334</v>
      </c>
      <c r="R53">
        <v>290</v>
      </c>
      <c r="S53">
        <v>334</v>
      </c>
      <c r="T53">
        <v>360</v>
      </c>
      <c r="U53">
        <v>383</v>
      </c>
      <c r="V53">
        <v>391</v>
      </c>
    </row>
    <row r="54" spans="1:22" x14ac:dyDescent="0.25">
      <c r="A54" t="s">
        <v>0</v>
      </c>
      <c r="B54" t="s">
        <v>110</v>
      </c>
      <c r="C54">
        <v>105</v>
      </c>
      <c r="D54">
        <v>106</v>
      </c>
      <c r="E54">
        <v>111</v>
      </c>
      <c r="F54">
        <v>146</v>
      </c>
      <c r="G54">
        <v>174</v>
      </c>
      <c r="H54">
        <v>184</v>
      </c>
      <c r="I54">
        <v>188</v>
      </c>
      <c r="J54">
        <v>201</v>
      </c>
      <c r="K54">
        <v>223</v>
      </c>
      <c r="L54">
        <v>206</v>
      </c>
      <c r="M54">
        <v>238</v>
      </c>
      <c r="N54">
        <v>216</v>
      </c>
      <c r="O54">
        <v>216</v>
      </c>
      <c r="P54">
        <v>234</v>
      </c>
      <c r="Q54">
        <v>238</v>
      </c>
      <c r="R54">
        <v>266</v>
      </c>
      <c r="S54">
        <v>249</v>
      </c>
      <c r="T54">
        <v>281</v>
      </c>
      <c r="U54">
        <v>315</v>
      </c>
      <c r="V54">
        <v>317</v>
      </c>
    </row>
    <row r="55" spans="1:22" x14ac:dyDescent="0.25">
      <c r="A55" t="s">
        <v>0</v>
      </c>
      <c r="B55" t="s">
        <v>111</v>
      </c>
      <c r="C55">
        <v>64</v>
      </c>
      <c r="D55">
        <v>81</v>
      </c>
      <c r="E55">
        <v>86</v>
      </c>
      <c r="F55">
        <v>99</v>
      </c>
      <c r="G55">
        <v>105</v>
      </c>
      <c r="H55">
        <v>116</v>
      </c>
      <c r="I55">
        <v>181</v>
      </c>
      <c r="J55">
        <v>185</v>
      </c>
      <c r="K55">
        <v>213</v>
      </c>
      <c r="L55">
        <v>222</v>
      </c>
      <c r="M55">
        <v>176</v>
      </c>
      <c r="N55">
        <v>218</v>
      </c>
      <c r="O55">
        <v>218</v>
      </c>
      <c r="P55">
        <v>222</v>
      </c>
      <c r="Q55">
        <v>225</v>
      </c>
      <c r="R55">
        <v>182</v>
      </c>
      <c r="S55">
        <v>232</v>
      </c>
      <c r="T55">
        <v>229</v>
      </c>
      <c r="U55">
        <v>249</v>
      </c>
      <c r="V55">
        <v>283</v>
      </c>
    </row>
    <row r="56" spans="1:22" x14ac:dyDescent="0.25">
      <c r="A56" t="s">
        <v>0</v>
      </c>
      <c r="B56" t="s">
        <v>112</v>
      </c>
      <c r="C56">
        <v>44</v>
      </c>
      <c r="D56">
        <v>53</v>
      </c>
      <c r="E56">
        <v>79</v>
      </c>
      <c r="F56">
        <v>78</v>
      </c>
      <c r="G56">
        <v>86</v>
      </c>
      <c r="H56">
        <v>90</v>
      </c>
      <c r="I56">
        <v>123</v>
      </c>
      <c r="J56">
        <v>169</v>
      </c>
      <c r="K56">
        <v>163</v>
      </c>
      <c r="L56">
        <v>177</v>
      </c>
      <c r="M56">
        <v>185</v>
      </c>
      <c r="N56">
        <v>163</v>
      </c>
      <c r="O56">
        <v>205</v>
      </c>
      <c r="P56">
        <v>181</v>
      </c>
      <c r="Q56">
        <v>199</v>
      </c>
      <c r="R56">
        <v>193</v>
      </c>
      <c r="S56">
        <v>166</v>
      </c>
      <c r="T56">
        <v>196</v>
      </c>
      <c r="U56">
        <v>203</v>
      </c>
      <c r="V56">
        <v>236</v>
      </c>
    </row>
    <row r="57" spans="1:22" x14ac:dyDescent="0.25">
      <c r="A57" t="s">
        <v>0</v>
      </c>
      <c r="B57" t="s">
        <v>113</v>
      </c>
      <c r="C57">
        <v>34</v>
      </c>
      <c r="D57">
        <v>35</v>
      </c>
      <c r="E57">
        <v>51</v>
      </c>
      <c r="F57">
        <v>69</v>
      </c>
      <c r="G57">
        <v>69</v>
      </c>
      <c r="H57">
        <v>56</v>
      </c>
      <c r="I57">
        <v>98</v>
      </c>
      <c r="J57">
        <v>125</v>
      </c>
      <c r="K57">
        <v>157</v>
      </c>
      <c r="L57">
        <v>153</v>
      </c>
      <c r="M57">
        <v>139</v>
      </c>
      <c r="N57">
        <v>166</v>
      </c>
      <c r="O57">
        <v>157</v>
      </c>
      <c r="P57">
        <v>193</v>
      </c>
      <c r="Q57">
        <v>174</v>
      </c>
      <c r="R57">
        <v>162</v>
      </c>
      <c r="S57">
        <v>164</v>
      </c>
      <c r="T57">
        <v>162</v>
      </c>
      <c r="U57">
        <v>181</v>
      </c>
      <c r="V57">
        <v>209</v>
      </c>
    </row>
    <row r="58" spans="1:22" x14ac:dyDescent="0.25">
      <c r="A58" t="s">
        <v>0</v>
      </c>
      <c r="B58" t="s">
        <v>114</v>
      </c>
      <c r="C58">
        <v>20</v>
      </c>
      <c r="D58">
        <v>33</v>
      </c>
      <c r="E58">
        <v>38</v>
      </c>
      <c r="F58">
        <v>29</v>
      </c>
      <c r="G58">
        <v>67</v>
      </c>
      <c r="H58">
        <v>56</v>
      </c>
      <c r="I58">
        <v>85</v>
      </c>
      <c r="J58">
        <v>95</v>
      </c>
      <c r="K58">
        <v>119</v>
      </c>
      <c r="L58">
        <v>146</v>
      </c>
      <c r="M58">
        <v>138</v>
      </c>
      <c r="N58">
        <v>122</v>
      </c>
      <c r="O58">
        <v>159</v>
      </c>
      <c r="P58">
        <v>149</v>
      </c>
      <c r="Q58">
        <v>187</v>
      </c>
      <c r="R58">
        <v>139</v>
      </c>
      <c r="S58">
        <v>154</v>
      </c>
      <c r="T58">
        <v>145</v>
      </c>
      <c r="U58">
        <v>148</v>
      </c>
      <c r="V58">
        <v>172</v>
      </c>
    </row>
    <row r="59" spans="1:22" x14ac:dyDescent="0.25">
      <c r="A59" t="s">
        <v>0</v>
      </c>
      <c r="B59" t="s">
        <v>115</v>
      </c>
      <c r="C59">
        <v>25</v>
      </c>
      <c r="D59">
        <v>20</v>
      </c>
      <c r="E59">
        <v>35</v>
      </c>
      <c r="F59">
        <v>16</v>
      </c>
      <c r="G59">
        <v>23</v>
      </c>
      <c r="H59">
        <v>53</v>
      </c>
      <c r="I59">
        <v>64</v>
      </c>
      <c r="J59">
        <v>80</v>
      </c>
      <c r="K59">
        <v>89</v>
      </c>
      <c r="L59">
        <v>109</v>
      </c>
      <c r="M59">
        <v>123</v>
      </c>
      <c r="N59">
        <v>122</v>
      </c>
      <c r="O59">
        <v>118</v>
      </c>
      <c r="P59">
        <v>137</v>
      </c>
      <c r="Q59">
        <v>158</v>
      </c>
      <c r="R59">
        <v>156</v>
      </c>
      <c r="S59">
        <v>145</v>
      </c>
      <c r="T59">
        <v>154</v>
      </c>
      <c r="U59">
        <v>140</v>
      </c>
      <c r="V59">
        <v>152</v>
      </c>
    </row>
    <row r="60" spans="1:22" x14ac:dyDescent="0.25">
      <c r="A60" t="s">
        <v>0</v>
      </c>
      <c r="B60" t="s">
        <v>116</v>
      </c>
      <c r="C60">
        <v>13</v>
      </c>
      <c r="D60">
        <v>19</v>
      </c>
      <c r="E60">
        <v>15</v>
      </c>
      <c r="F60">
        <v>19</v>
      </c>
      <c r="G60">
        <v>21</v>
      </c>
      <c r="H60">
        <v>24</v>
      </c>
      <c r="I60">
        <v>52</v>
      </c>
      <c r="J60">
        <v>72</v>
      </c>
      <c r="K60">
        <v>64</v>
      </c>
      <c r="L60">
        <v>83</v>
      </c>
      <c r="M60">
        <v>96</v>
      </c>
      <c r="N60">
        <v>112</v>
      </c>
      <c r="O60">
        <v>117</v>
      </c>
      <c r="P60">
        <v>110</v>
      </c>
      <c r="Q60">
        <v>153</v>
      </c>
      <c r="R60">
        <v>127</v>
      </c>
      <c r="S60">
        <v>140</v>
      </c>
      <c r="T60">
        <v>140</v>
      </c>
      <c r="U60">
        <v>148</v>
      </c>
      <c r="V60">
        <v>137</v>
      </c>
    </row>
    <row r="61" spans="1:22" x14ac:dyDescent="0.25">
      <c r="A61" t="s">
        <v>0</v>
      </c>
      <c r="B61" t="s">
        <v>117</v>
      </c>
      <c r="C61">
        <v>20</v>
      </c>
      <c r="D61">
        <v>12</v>
      </c>
      <c r="E61">
        <v>20</v>
      </c>
      <c r="F61">
        <v>8</v>
      </c>
      <c r="G61">
        <v>21</v>
      </c>
      <c r="H61">
        <v>21</v>
      </c>
      <c r="I61">
        <v>43</v>
      </c>
      <c r="J61">
        <v>59</v>
      </c>
      <c r="K61">
        <v>67</v>
      </c>
      <c r="L61">
        <v>53</v>
      </c>
      <c r="M61">
        <v>74</v>
      </c>
      <c r="N61">
        <v>87</v>
      </c>
      <c r="O61">
        <v>104</v>
      </c>
      <c r="P61">
        <v>106</v>
      </c>
      <c r="Q61">
        <v>104</v>
      </c>
      <c r="R61">
        <v>120</v>
      </c>
      <c r="S61">
        <v>123</v>
      </c>
      <c r="T61">
        <v>130</v>
      </c>
      <c r="U61">
        <v>134</v>
      </c>
      <c r="V61">
        <v>130</v>
      </c>
    </row>
    <row r="62" spans="1:22" x14ac:dyDescent="0.25">
      <c r="A62" t="s">
        <v>1</v>
      </c>
      <c r="B62" t="s">
        <v>57</v>
      </c>
      <c r="C62" t="s">
        <v>58</v>
      </c>
      <c r="D62" t="s">
        <v>58</v>
      </c>
      <c r="E62" t="s">
        <v>58</v>
      </c>
      <c r="F62" t="s">
        <v>58</v>
      </c>
      <c r="G62" t="s">
        <v>58</v>
      </c>
      <c r="H62" t="s">
        <v>58</v>
      </c>
      <c r="I62" t="s">
        <v>58</v>
      </c>
      <c r="J62" t="s">
        <v>58</v>
      </c>
      <c r="K62" t="s">
        <v>58</v>
      </c>
      <c r="L62" t="s">
        <v>58</v>
      </c>
      <c r="M62" t="s">
        <v>58</v>
      </c>
      <c r="N62" t="s">
        <v>58</v>
      </c>
      <c r="O62" t="s">
        <v>58</v>
      </c>
      <c r="P62" t="s">
        <v>58</v>
      </c>
      <c r="Q62" t="s">
        <v>58</v>
      </c>
      <c r="R62" t="s">
        <v>58</v>
      </c>
      <c r="S62" t="s">
        <v>58</v>
      </c>
      <c r="T62">
        <v>63</v>
      </c>
      <c r="U62">
        <v>63</v>
      </c>
      <c r="V62">
        <v>72</v>
      </c>
    </row>
    <row r="63" spans="1:22" x14ac:dyDescent="0.25">
      <c r="A63" t="s">
        <v>1</v>
      </c>
      <c r="B63" t="s">
        <v>59</v>
      </c>
      <c r="C63">
        <v>8</v>
      </c>
      <c r="D63">
        <v>5</v>
      </c>
      <c r="E63">
        <v>6</v>
      </c>
      <c r="F63">
        <v>5</v>
      </c>
      <c r="G63">
        <v>13</v>
      </c>
      <c r="H63">
        <v>5</v>
      </c>
      <c r="I63">
        <v>8</v>
      </c>
      <c r="J63">
        <v>11</v>
      </c>
      <c r="K63">
        <v>6</v>
      </c>
      <c r="L63">
        <v>9</v>
      </c>
      <c r="M63">
        <v>6</v>
      </c>
      <c r="N63">
        <v>19</v>
      </c>
      <c r="O63">
        <v>16</v>
      </c>
      <c r="P63">
        <v>7</v>
      </c>
      <c r="Q63">
        <v>78</v>
      </c>
      <c r="R63">
        <v>69</v>
      </c>
      <c r="S63">
        <v>101</v>
      </c>
      <c r="T63">
        <v>109</v>
      </c>
      <c r="U63">
        <v>128</v>
      </c>
      <c r="V63">
        <v>106</v>
      </c>
    </row>
    <row r="64" spans="1:22" x14ac:dyDescent="0.25">
      <c r="A64" t="s">
        <v>1</v>
      </c>
      <c r="B64" t="s">
        <v>60</v>
      </c>
      <c r="C64">
        <v>53</v>
      </c>
      <c r="D64">
        <v>31</v>
      </c>
      <c r="E64">
        <v>20</v>
      </c>
      <c r="F64">
        <v>41</v>
      </c>
      <c r="G64">
        <v>33</v>
      </c>
      <c r="H64">
        <v>46</v>
      </c>
      <c r="I64">
        <v>24</v>
      </c>
      <c r="J64">
        <v>38</v>
      </c>
      <c r="K64">
        <v>46</v>
      </c>
      <c r="L64">
        <v>33</v>
      </c>
      <c r="M64">
        <v>35</v>
      </c>
      <c r="N64">
        <v>51</v>
      </c>
      <c r="O64">
        <v>63</v>
      </c>
      <c r="P64">
        <v>73</v>
      </c>
      <c r="Q64">
        <v>216</v>
      </c>
      <c r="R64">
        <v>164</v>
      </c>
      <c r="S64">
        <v>207</v>
      </c>
      <c r="T64">
        <v>241</v>
      </c>
      <c r="U64">
        <v>264</v>
      </c>
      <c r="V64">
        <v>248</v>
      </c>
    </row>
    <row r="65" spans="1:22" x14ac:dyDescent="0.25">
      <c r="A65" t="s">
        <v>1</v>
      </c>
      <c r="B65" t="s">
        <v>61</v>
      </c>
      <c r="C65">
        <v>123</v>
      </c>
      <c r="D65">
        <v>131</v>
      </c>
      <c r="E65">
        <v>125</v>
      </c>
      <c r="F65">
        <v>127</v>
      </c>
      <c r="G65">
        <v>113</v>
      </c>
      <c r="H65">
        <v>120</v>
      </c>
      <c r="I65">
        <v>121</v>
      </c>
      <c r="J65">
        <v>141</v>
      </c>
      <c r="K65">
        <v>127</v>
      </c>
      <c r="L65">
        <v>126</v>
      </c>
      <c r="M65">
        <v>125</v>
      </c>
      <c r="N65">
        <v>182</v>
      </c>
      <c r="O65">
        <v>187</v>
      </c>
      <c r="P65">
        <v>211</v>
      </c>
      <c r="Q65">
        <v>375</v>
      </c>
      <c r="R65">
        <v>312</v>
      </c>
      <c r="S65">
        <v>355</v>
      </c>
      <c r="T65">
        <v>377</v>
      </c>
      <c r="U65">
        <v>426</v>
      </c>
      <c r="V65">
        <v>433</v>
      </c>
    </row>
    <row r="66" spans="1:22" x14ac:dyDescent="0.25">
      <c r="A66" t="s">
        <v>1</v>
      </c>
      <c r="B66" t="s">
        <v>62</v>
      </c>
      <c r="C66">
        <v>369</v>
      </c>
      <c r="D66">
        <v>407</v>
      </c>
      <c r="E66">
        <v>409</v>
      </c>
      <c r="F66">
        <v>372</v>
      </c>
      <c r="G66">
        <v>374</v>
      </c>
      <c r="H66">
        <v>417</v>
      </c>
      <c r="I66">
        <v>417</v>
      </c>
      <c r="J66">
        <v>433</v>
      </c>
      <c r="K66">
        <v>448</v>
      </c>
      <c r="L66">
        <v>385</v>
      </c>
      <c r="M66">
        <v>468</v>
      </c>
      <c r="N66">
        <v>473</v>
      </c>
      <c r="O66">
        <v>505</v>
      </c>
      <c r="P66">
        <v>499</v>
      </c>
      <c r="Q66">
        <v>549</v>
      </c>
      <c r="R66">
        <v>557</v>
      </c>
      <c r="S66">
        <v>547</v>
      </c>
      <c r="T66">
        <v>605</v>
      </c>
      <c r="U66">
        <v>566</v>
      </c>
      <c r="V66">
        <v>581</v>
      </c>
    </row>
    <row r="67" spans="1:22" x14ac:dyDescent="0.25">
      <c r="A67" t="s">
        <v>1</v>
      </c>
      <c r="B67" t="s">
        <v>63</v>
      </c>
      <c r="C67">
        <v>376</v>
      </c>
      <c r="D67">
        <v>464</v>
      </c>
      <c r="E67">
        <v>476</v>
      </c>
      <c r="F67">
        <v>462</v>
      </c>
      <c r="G67">
        <v>367</v>
      </c>
      <c r="H67">
        <v>438</v>
      </c>
      <c r="I67">
        <v>460</v>
      </c>
      <c r="J67">
        <v>474</v>
      </c>
      <c r="K67">
        <v>517</v>
      </c>
      <c r="L67">
        <v>470</v>
      </c>
      <c r="M67">
        <v>505</v>
      </c>
      <c r="N67">
        <v>524</v>
      </c>
      <c r="O67">
        <v>526</v>
      </c>
      <c r="P67">
        <v>499</v>
      </c>
      <c r="Q67">
        <v>560</v>
      </c>
      <c r="R67">
        <v>552</v>
      </c>
      <c r="S67">
        <v>602</v>
      </c>
      <c r="T67">
        <v>620</v>
      </c>
      <c r="U67">
        <v>672</v>
      </c>
      <c r="V67">
        <v>607</v>
      </c>
    </row>
    <row r="68" spans="1:22" x14ac:dyDescent="0.25">
      <c r="A68" t="s">
        <v>1</v>
      </c>
      <c r="B68" t="s">
        <v>64</v>
      </c>
      <c r="C68">
        <v>394</v>
      </c>
      <c r="D68">
        <v>473</v>
      </c>
      <c r="E68">
        <v>519</v>
      </c>
      <c r="F68">
        <v>484</v>
      </c>
      <c r="G68">
        <v>448</v>
      </c>
      <c r="H68">
        <v>449</v>
      </c>
      <c r="I68">
        <v>481</v>
      </c>
      <c r="J68">
        <v>558</v>
      </c>
      <c r="K68">
        <v>535</v>
      </c>
      <c r="L68">
        <v>575</v>
      </c>
      <c r="M68">
        <v>571</v>
      </c>
      <c r="N68">
        <v>570</v>
      </c>
      <c r="O68">
        <v>591</v>
      </c>
      <c r="P68">
        <v>493</v>
      </c>
      <c r="Q68">
        <v>591</v>
      </c>
      <c r="R68">
        <v>553</v>
      </c>
      <c r="S68">
        <v>611</v>
      </c>
      <c r="T68">
        <v>653</v>
      </c>
      <c r="U68">
        <v>661</v>
      </c>
      <c r="V68">
        <v>631</v>
      </c>
    </row>
    <row r="69" spans="1:22" x14ac:dyDescent="0.25">
      <c r="A69" t="s">
        <v>1</v>
      </c>
      <c r="B69" t="s">
        <v>65</v>
      </c>
      <c r="C69">
        <v>445</v>
      </c>
      <c r="D69">
        <v>467</v>
      </c>
      <c r="E69">
        <v>536</v>
      </c>
      <c r="F69">
        <v>499</v>
      </c>
      <c r="G69">
        <v>492</v>
      </c>
      <c r="H69">
        <v>543</v>
      </c>
      <c r="I69">
        <v>513</v>
      </c>
      <c r="J69">
        <v>556</v>
      </c>
      <c r="K69">
        <v>664</v>
      </c>
      <c r="L69">
        <v>645</v>
      </c>
      <c r="M69">
        <v>680</v>
      </c>
      <c r="N69">
        <v>689</v>
      </c>
      <c r="O69">
        <v>667</v>
      </c>
      <c r="P69">
        <v>624</v>
      </c>
      <c r="Q69">
        <v>637</v>
      </c>
      <c r="R69">
        <v>643</v>
      </c>
      <c r="S69">
        <v>618</v>
      </c>
      <c r="T69">
        <v>711</v>
      </c>
      <c r="U69">
        <v>738</v>
      </c>
      <c r="V69">
        <v>681</v>
      </c>
    </row>
    <row r="70" spans="1:22" x14ac:dyDescent="0.25">
      <c r="A70" t="s">
        <v>1</v>
      </c>
      <c r="B70" t="s">
        <v>66</v>
      </c>
      <c r="C70">
        <v>461</v>
      </c>
      <c r="D70">
        <v>550</v>
      </c>
      <c r="E70">
        <v>507</v>
      </c>
      <c r="F70">
        <v>551</v>
      </c>
      <c r="G70">
        <v>535</v>
      </c>
      <c r="H70">
        <v>588</v>
      </c>
      <c r="I70">
        <v>574</v>
      </c>
      <c r="J70">
        <v>616</v>
      </c>
      <c r="K70">
        <v>678</v>
      </c>
      <c r="L70">
        <v>722</v>
      </c>
      <c r="M70">
        <v>765</v>
      </c>
      <c r="N70">
        <v>815</v>
      </c>
      <c r="O70">
        <v>761</v>
      </c>
      <c r="P70">
        <v>724</v>
      </c>
      <c r="Q70">
        <v>805</v>
      </c>
      <c r="R70">
        <v>711</v>
      </c>
      <c r="S70">
        <v>729</v>
      </c>
      <c r="T70">
        <v>760</v>
      </c>
      <c r="U70">
        <v>807</v>
      </c>
      <c r="V70">
        <v>757</v>
      </c>
    </row>
    <row r="71" spans="1:22" x14ac:dyDescent="0.25">
      <c r="A71" t="s">
        <v>1</v>
      </c>
      <c r="B71" t="s">
        <v>67</v>
      </c>
      <c r="C71">
        <v>569</v>
      </c>
      <c r="D71">
        <v>568</v>
      </c>
      <c r="E71">
        <v>644</v>
      </c>
      <c r="F71">
        <v>554</v>
      </c>
      <c r="G71">
        <v>600</v>
      </c>
      <c r="H71">
        <v>640</v>
      </c>
      <c r="I71">
        <v>631</v>
      </c>
      <c r="J71">
        <v>681</v>
      </c>
      <c r="K71">
        <v>750</v>
      </c>
      <c r="L71">
        <v>763</v>
      </c>
      <c r="M71">
        <v>862</v>
      </c>
      <c r="N71">
        <v>940</v>
      </c>
      <c r="O71">
        <v>918</v>
      </c>
      <c r="P71">
        <v>843</v>
      </c>
      <c r="Q71">
        <v>896</v>
      </c>
      <c r="R71">
        <v>828</v>
      </c>
      <c r="S71">
        <v>835</v>
      </c>
      <c r="T71">
        <v>817</v>
      </c>
      <c r="U71">
        <v>841</v>
      </c>
      <c r="V71">
        <v>793</v>
      </c>
    </row>
    <row r="72" spans="1:22" x14ac:dyDescent="0.25">
      <c r="A72" t="s">
        <v>1</v>
      </c>
      <c r="B72" t="s">
        <v>68</v>
      </c>
      <c r="C72">
        <v>569</v>
      </c>
      <c r="D72">
        <v>623</v>
      </c>
      <c r="E72">
        <v>585</v>
      </c>
      <c r="F72">
        <v>584</v>
      </c>
      <c r="G72">
        <v>541</v>
      </c>
      <c r="H72">
        <v>649</v>
      </c>
      <c r="I72">
        <v>641</v>
      </c>
      <c r="J72">
        <v>682</v>
      </c>
      <c r="K72">
        <v>676</v>
      </c>
      <c r="L72">
        <v>730</v>
      </c>
      <c r="M72">
        <v>887</v>
      </c>
      <c r="N72">
        <v>924</v>
      </c>
      <c r="O72">
        <v>902</v>
      </c>
      <c r="P72">
        <v>893</v>
      </c>
      <c r="Q72">
        <v>991</v>
      </c>
      <c r="R72">
        <v>963</v>
      </c>
      <c r="S72">
        <v>869</v>
      </c>
      <c r="T72">
        <v>897</v>
      </c>
      <c r="U72">
        <v>830</v>
      </c>
      <c r="V72">
        <v>788</v>
      </c>
    </row>
    <row r="73" spans="1:22" x14ac:dyDescent="0.25">
      <c r="A73" t="s">
        <v>1</v>
      </c>
      <c r="B73" t="s">
        <v>69</v>
      </c>
      <c r="C73">
        <v>620</v>
      </c>
      <c r="D73">
        <v>680</v>
      </c>
      <c r="E73">
        <v>685</v>
      </c>
      <c r="F73">
        <v>607</v>
      </c>
      <c r="G73">
        <v>625</v>
      </c>
      <c r="H73">
        <v>653</v>
      </c>
      <c r="I73">
        <v>720</v>
      </c>
      <c r="J73">
        <v>706</v>
      </c>
      <c r="K73">
        <v>706</v>
      </c>
      <c r="L73">
        <v>789</v>
      </c>
      <c r="M73">
        <v>817</v>
      </c>
      <c r="N73">
        <v>968</v>
      </c>
      <c r="O73">
        <v>939</v>
      </c>
      <c r="P73">
        <v>1000</v>
      </c>
      <c r="Q73">
        <v>1014</v>
      </c>
      <c r="R73">
        <v>1006</v>
      </c>
      <c r="S73">
        <v>977</v>
      </c>
      <c r="T73">
        <v>940</v>
      </c>
      <c r="U73">
        <v>909</v>
      </c>
      <c r="V73">
        <v>819</v>
      </c>
    </row>
    <row r="74" spans="1:22" x14ac:dyDescent="0.25">
      <c r="A74" t="s">
        <v>1</v>
      </c>
      <c r="B74" t="s">
        <v>70</v>
      </c>
      <c r="C74">
        <v>607</v>
      </c>
      <c r="D74">
        <v>680</v>
      </c>
      <c r="E74">
        <v>710</v>
      </c>
      <c r="F74">
        <v>735</v>
      </c>
      <c r="G74">
        <v>616</v>
      </c>
      <c r="H74">
        <v>711</v>
      </c>
      <c r="I74">
        <v>670</v>
      </c>
      <c r="J74">
        <v>765</v>
      </c>
      <c r="K74">
        <v>741</v>
      </c>
      <c r="L74">
        <v>767</v>
      </c>
      <c r="M74">
        <v>856</v>
      </c>
      <c r="N74">
        <v>882</v>
      </c>
      <c r="O74">
        <v>1003</v>
      </c>
      <c r="P74">
        <v>1014</v>
      </c>
      <c r="Q74">
        <v>1076</v>
      </c>
      <c r="R74">
        <v>1029</v>
      </c>
      <c r="S74">
        <v>1029</v>
      </c>
      <c r="T74">
        <v>999</v>
      </c>
      <c r="U74">
        <v>979</v>
      </c>
      <c r="V74">
        <v>880</v>
      </c>
    </row>
    <row r="75" spans="1:22" x14ac:dyDescent="0.25">
      <c r="A75" t="s">
        <v>1</v>
      </c>
      <c r="B75" t="s">
        <v>71</v>
      </c>
      <c r="C75">
        <v>706</v>
      </c>
      <c r="D75">
        <v>677</v>
      </c>
      <c r="E75">
        <v>681</v>
      </c>
      <c r="F75">
        <v>729</v>
      </c>
      <c r="G75">
        <v>731</v>
      </c>
      <c r="H75">
        <v>648</v>
      </c>
      <c r="I75">
        <v>732</v>
      </c>
      <c r="J75">
        <v>720</v>
      </c>
      <c r="K75">
        <v>788</v>
      </c>
      <c r="L75">
        <v>781</v>
      </c>
      <c r="M75">
        <v>802</v>
      </c>
      <c r="N75">
        <v>887</v>
      </c>
      <c r="O75">
        <v>911</v>
      </c>
      <c r="P75">
        <v>1059</v>
      </c>
      <c r="Q75">
        <v>1103</v>
      </c>
      <c r="R75">
        <v>1067</v>
      </c>
      <c r="S75">
        <v>1071</v>
      </c>
      <c r="T75">
        <v>1027</v>
      </c>
      <c r="U75">
        <v>1017</v>
      </c>
      <c r="V75">
        <v>980</v>
      </c>
    </row>
    <row r="76" spans="1:22" x14ac:dyDescent="0.25">
      <c r="A76" t="s">
        <v>1</v>
      </c>
      <c r="B76" t="s">
        <v>72</v>
      </c>
      <c r="C76">
        <v>776</v>
      </c>
      <c r="D76">
        <v>720</v>
      </c>
      <c r="E76">
        <v>682</v>
      </c>
      <c r="F76">
        <v>703</v>
      </c>
      <c r="G76">
        <v>742</v>
      </c>
      <c r="H76">
        <v>738</v>
      </c>
      <c r="I76">
        <v>718</v>
      </c>
      <c r="J76">
        <v>758</v>
      </c>
      <c r="K76">
        <v>725</v>
      </c>
      <c r="L76">
        <v>858</v>
      </c>
      <c r="M76">
        <v>819</v>
      </c>
      <c r="N76">
        <v>843</v>
      </c>
      <c r="O76">
        <v>901</v>
      </c>
      <c r="P76">
        <v>963</v>
      </c>
      <c r="Q76">
        <v>1098</v>
      </c>
      <c r="R76">
        <v>1140</v>
      </c>
      <c r="S76">
        <v>1062</v>
      </c>
      <c r="T76">
        <v>1088</v>
      </c>
      <c r="U76">
        <v>1055</v>
      </c>
      <c r="V76">
        <v>1036</v>
      </c>
    </row>
    <row r="77" spans="1:22" x14ac:dyDescent="0.25">
      <c r="A77" t="s">
        <v>1</v>
      </c>
      <c r="B77" t="s">
        <v>73</v>
      </c>
      <c r="C77">
        <v>751</v>
      </c>
      <c r="D77">
        <v>806</v>
      </c>
      <c r="E77">
        <v>743</v>
      </c>
      <c r="F77">
        <v>718</v>
      </c>
      <c r="G77">
        <v>707</v>
      </c>
      <c r="H77">
        <v>758</v>
      </c>
      <c r="I77">
        <v>766</v>
      </c>
      <c r="J77">
        <v>705</v>
      </c>
      <c r="K77">
        <v>774</v>
      </c>
      <c r="L77">
        <v>757</v>
      </c>
      <c r="M77">
        <v>881</v>
      </c>
      <c r="N77">
        <v>859</v>
      </c>
      <c r="O77">
        <v>848</v>
      </c>
      <c r="P77">
        <v>948</v>
      </c>
      <c r="Q77">
        <v>986</v>
      </c>
      <c r="R77">
        <v>1094</v>
      </c>
      <c r="S77">
        <v>1160</v>
      </c>
      <c r="T77">
        <v>1101</v>
      </c>
      <c r="U77">
        <v>1094</v>
      </c>
      <c r="V77">
        <v>1029</v>
      </c>
    </row>
    <row r="78" spans="1:22" x14ac:dyDescent="0.25">
      <c r="A78" t="s">
        <v>1</v>
      </c>
      <c r="B78" t="s">
        <v>74</v>
      </c>
      <c r="C78">
        <v>791</v>
      </c>
      <c r="D78">
        <v>758</v>
      </c>
      <c r="E78">
        <v>818</v>
      </c>
      <c r="F78">
        <v>760</v>
      </c>
      <c r="G78">
        <v>724</v>
      </c>
      <c r="H78">
        <v>752</v>
      </c>
      <c r="I78">
        <v>754</v>
      </c>
      <c r="J78">
        <v>771</v>
      </c>
      <c r="K78">
        <v>715</v>
      </c>
      <c r="L78">
        <v>789</v>
      </c>
      <c r="M78">
        <v>782</v>
      </c>
      <c r="N78">
        <v>890</v>
      </c>
      <c r="O78">
        <v>891</v>
      </c>
      <c r="P78">
        <v>918</v>
      </c>
      <c r="Q78">
        <v>975</v>
      </c>
      <c r="R78">
        <v>1036</v>
      </c>
      <c r="S78">
        <v>1153</v>
      </c>
      <c r="T78">
        <v>1220</v>
      </c>
      <c r="U78">
        <v>1128</v>
      </c>
      <c r="V78">
        <v>1104</v>
      </c>
    </row>
    <row r="79" spans="1:22" x14ac:dyDescent="0.25">
      <c r="A79" t="s">
        <v>1</v>
      </c>
      <c r="B79" t="s">
        <v>75</v>
      </c>
      <c r="C79">
        <v>800</v>
      </c>
      <c r="D79">
        <v>814</v>
      </c>
      <c r="E79">
        <v>761</v>
      </c>
      <c r="F79">
        <v>823</v>
      </c>
      <c r="G79">
        <v>752</v>
      </c>
      <c r="H79">
        <v>728</v>
      </c>
      <c r="I79">
        <v>749</v>
      </c>
      <c r="J79">
        <v>770</v>
      </c>
      <c r="K79">
        <v>786</v>
      </c>
      <c r="L79">
        <v>729</v>
      </c>
      <c r="M79">
        <v>810</v>
      </c>
      <c r="N79">
        <v>829</v>
      </c>
      <c r="O79">
        <v>902</v>
      </c>
      <c r="P79">
        <v>935</v>
      </c>
      <c r="Q79">
        <v>945</v>
      </c>
      <c r="R79">
        <v>985</v>
      </c>
      <c r="S79">
        <v>1010</v>
      </c>
      <c r="T79">
        <v>1193</v>
      </c>
      <c r="U79">
        <v>1211</v>
      </c>
      <c r="V79">
        <v>1109</v>
      </c>
    </row>
    <row r="80" spans="1:22" x14ac:dyDescent="0.25">
      <c r="A80" t="s">
        <v>1</v>
      </c>
      <c r="B80" t="s">
        <v>76</v>
      </c>
      <c r="C80">
        <v>726</v>
      </c>
      <c r="D80">
        <v>822</v>
      </c>
      <c r="E80">
        <v>823</v>
      </c>
      <c r="F80">
        <v>822</v>
      </c>
      <c r="G80">
        <v>806</v>
      </c>
      <c r="H80">
        <v>768</v>
      </c>
      <c r="I80">
        <v>736</v>
      </c>
      <c r="J80">
        <v>776</v>
      </c>
      <c r="K80">
        <v>770</v>
      </c>
      <c r="L80">
        <v>812</v>
      </c>
      <c r="M80">
        <v>738</v>
      </c>
      <c r="N80">
        <v>845</v>
      </c>
      <c r="O80">
        <v>847</v>
      </c>
      <c r="P80">
        <v>889</v>
      </c>
      <c r="Q80">
        <v>959</v>
      </c>
      <c r="R80">
        <v>980</v>
      </c>
      <c r="S80">
        <v>980</v>
      </c>
      <c r="T80">
        <v>1075</v>
      </c>
      <c r="U80">
        <v>1210</v>
      </c>
      <c r="V80">
        <v>1203</v>
      </c>
    </row>
    <row r="81" spans="1:22" x14ac:dyDescent="0.25">
      <c r="A81" t="s">
        <v>1</v>
      </c>
      <c r="B81" t="s">
        <v>77</v>
      </c>
      <c r="C81">
        <v>776</v>
      </c>
      <c r="D81">
        <v>752</v>
      </c>
      <c r="E81">
        <v>827</v>
      </c>
      <c r="F81">
        <v>826</v>
      </c>
      <c r="G81">
        <v>798</v>
      </c>
      <c r="H81">
        <v>816</v>
      </c>
      <c r="I81">
        <v>792</v>
      </c>
      <c r="J81">
        <v>770</v>
      </c>
      <c r="K81">
        <v>824</v>
      </c>
      <c r="L81">
        <v>791</v>
      </c>
      <c r="M81">
        <v>844</v>
      </c>
      <c r="N81">
        <v>763</v>
      </c>
      <c r="O81">
        <v>842</v>
      </c>
      <c r="P81">
        <v>875</v>
      </c>
      <c r="Q81">
        <v>914</v>
      </c>
      <c r="R81">
        <v>966</v>
      </c>
      <c r="S81">
        <v>991</v>
      </c>
      <c r="T81">
        <v>1019</v>
      </c>
      <c r="U81">
        <v>1082</v>
      </c>
      <c r="V81">
        <v>1186</v>
      </c>
    </row>
    <row r="82" spans="1:22" x14ac:dyDescent="0.25">
      <c r="A82" t="s">
        <v>1</v>
      </c>
      <c r="B82" t="s">
        <v>78</v>
      </c>
      <c r="C82">
        <v>826</v>
      </c>
      <c r="D82">
        <v>794</v>
      </c>
      <c r="E82">
        <v>767</v>
      </c>
      <c r="F82">
        <v>858</v>
      </c>
      <c r="G82">
        <v>811</v>
      </c>
      <c r="H82">
        <v>800</v>
      </c>
      <c r="I82">
        <v>839</v>
      </c>
      <c r="J82">
        <v>804</v>
      </c>
      <c r="K82">
        <v>792</v>
      </c>
      <c r="L82">
        <v>822</v>
      </c>
      <c r="M82">
        <v>824</v>
      </c>
      <c r="N82">
        <v>878</v>
      </c>
      <c r="O82">
        <v>807</v>
      </c>
      <c r="P82">
        <v>872</v>
      </c>
      <c r="Q82">
        <v>867</v>
      </c>
      <c r="R82">
        <v>933</v>
      </c>
      <c r="S82">
        <v>994</v>
      </c>
      <c r="T82">
        <v>991</v>
      </c>
      <c r="U82">
        <v>1039</v>
      </c>
      <c r="V82">
        <v>1056</v>
      </c>
    </row>
    <row r="83" spans="1:22" x14ac:dyDescent="0.25">
      <c r="A83" t="s">
        <v>1</v>
      </c>
      <c r="B83" t="s">
        <v>79</v>
      </c>
      <c r="C83">
        <v>768</v>
      </c>
      <c r="D83">
        <v>840</v>
      </c>
      <c r="E83">
        <v>848</v>
      </c>
      <c r="F83">
        <v>770</v>
      </c>
      <c r="G83">
        <v>856</v>
      </c>
      <c r="H83">
        <v>852</v>
      </c>
      <c r="I83">
        <v>830</v>
      </c>
      <c r="J83">
        <v>852</v>
      </c>
      <c r="K83">
        <v>817</v>
      </c>
      <c r="L83">
        <v>810</v>
      </c>
      <c r="M83">
        <v>860</v>
      </c>
      <c r="N83">
        <v>837</v>
      </c>
      <c r="O83">
        <v>884</v>
      </c>
      <c r="P83">
        <v>818</v>
      </c>
      <c r="Q83">
        <v>873</v>
      </c>
      <c r="R83">
        <v>880</v>
      </c>
      <c r="S83">
        <v>955</v>
      </c>
      <c r="T83">
        <v>1013</v>
      </c>
      <c r="U83">
        <v>1026</v>
      </c>
      <c r="V83">
        <v>1034</v>
      </c>
    </row>
    <row r="84" spans="1:22" x14ac:dyDescent="0.25">
      <c r="A84" t="s">
        <v>1</v>
      </c>
      <c r="B84" t="s">
        <v>80</v>
      </c>
      <c r="C84">
        <v>753</v>
      </c>
      <c r="D84">
        <v>790</v>
      </c>
      <c r="E84">
        <v>852</v>
      </c>
      <c r="F84">
        <v>871</v>
      </c>
      <c r="G84">
        <v>770</v>
      </c>
      <c r="H84">
        <v>882</v>
      </c>
      <c r="I84">
        <v>869</v>
      </c>
      <c r="J84">
        <v>845</v>
      </c>
      <c r="K84">
        <v>886</v>
      </c>
      <c r="L84">
        <v>873</v>
      </c>
      <c r="M84">
        <v>824</v>
      </c>
      <c r="N84">
        <v>874</v>
      </c>
      <c r="O84">
        <v>845</v>
      </c>
      <c r="P84">
        <v>912</v>
      </c>
      <c r="Q84">
        <v>852</v>
      </c>
      <c r="R84">
        <v>903</v>
      </c>
      <c r="S84">
        <v>899</v>
      </c>
      <c r="T84">
        <v>994</v>
      </c>
      <c r="U84">
        <v>1031</v>
      </c>
      <c r="V84">
        <v>1036</v>
      </c>
    </row>
    <row r="85" spans="1:22" x14ac:dyDescent="0.25">
      <c r="A85" t="s">
        <v>1</v>
      </c>
      <c r="B85" t="s">
        <v>81</v>
      </c>
      <c r="C85">
        <v>865</v>
      </c>
      <c r="D85">
        <v>783</v>
      </c>
      <c r="E85">
        <v>814</v>
      </c>
      <c r="F85">
        <v>867</v>
      </c>
      <c r="G85">
        <v>894</v>
      </c>
      <c r="H85">
        <v>802</v>
      </c>
      <c r="I85">
        <v>890</v>
      </c>
      <c r="J85">
        <v>881</v>
      </c>
      <c r="K85">
        <v>854</v>
      </c>
      <c r="L85">
        <v>913</v>
      </c>
      <c r="M85">
        <v>897</v>
      </c>
      <c r="N85">
        <v>855</v>
      </c>
      <c r="O85">
        <v>901</v>
      </c>
      <c r="P85">
        <v>875</v>
      </c>
      <c r="Q85">
        <v>932</v>
      </c>
      <c r="R85">
        <v>843</v>
      </c>
      <c r="S85">
        <v>907</v>
      </c>
      <c r="T85">
        <v>935</v>
      </c>
      <c r="U85">
        <v>1030</v>
      </c>
      <c r="V85">
        <v>1031</v>
      </c>
    </row>
    <row r="86" spans="1:22" x14ac:dyDescent="0.25">
      <c r="A86" t="s">
        <v>1</v>
      </c>
      <c r="B86" t="s">
        <v>82</v>
      </c>
      <c r="C86">
        <v>947</v>
      </c>
      <c r="D86">
        <v>877</v>
      </c>
      <c r="E86">
        <v>826</v>
      </c>
      <c r="F86">
        <v>831</v>
      </c>
      <c r="G86">
        <v>852</v>
      </c>
      <c r="H86">
        <v>888</v>
      </c>
      <c r="I86">
        <v>805</v>
      </c>
      <c r="J86">
        <v>899</v>
      </c>
      <c r="K86">
        <v>890</v>
      </c>
      <c r="L86">
        <v>886</v>
      </c>
      <c r="M86">
        <v>913</v>
      </c>
      <c r="N86">
        <v>890</v>
      </c>
      <c r="O86">
        <v>867</v>
      </c>
      <c r="P86">
        <v>916</v>
      </c>
      <c r="Q86">
        <v>913</v>
      </c>
      <c r="R86">
        <v>959</v>
      </c>
      <c r="S86">
        <v>872</v>
      </c>
      <c r="T86">
        <v>937</v>
      </c>
      <c r="U86">
        <v>958</v>
      </c>
      <c r="V86">
        <v>1026</v>
      </c>
    </row>
    <row r="87" spans="1:22" x14ac:dyDescent="0.25">
      <c r="A87" t="s">
        <v>1</v>
      </c>
      <c r="B87" t="s">
        <v>83</v>
      </c>
      <c r="C87">
        <v>877</v>
      </c>
      <c r="D87">
        <v>947</v>
      </c>
      <c r="E87">
        <v>899</v>
      </c>
      <c r="F87">
        <v>842</v>
      </c>
      <c r="G87">
        <v>845</v>
      </c>
      <c r="H87">
        <v>865</v>
      </c>
      <c r="I87">
        <v>903</v>
      </c>
      <c r="J87">
        <v>819</v>
      </c>
      <c r="K87">
        <v>915</v>
      </c>
      <c r="L87">
        <v>934</v>
      </c>
      <c r="M87">
        <v>905</v>
      </c>
      <c r="N87">
        <v>921</v>
      </c>
      <c r="O87">
        <v>928</v>
      </c>
      <c r="P87">
        <v>884</v>
      </c>
      <c r="Q87">
        <v>926</v>
      </c>
      <c r="R87">
        <v>920</v>
      </c>
      <c r="S87">
        <v>976</v>
      </c>
      <c r="T87">
        <v>902</v>
      </c>
      <c r="U87">
        <v>935</v>
      </c>
      <c r="V87">
        <v>959</v>
      </c>
    </row>
    <row r="88" spans="1:22" x14ac:dyDescent="0.25">
      <c r="A88" t="s">
        <v>1</v>
      </c>
      <c r="B88" t="s">
        <v>84</v>
      </c>
      <c r="C88">
        <v>881</v>
      </c>
      <c r="D88">
        <v>895</v>
      </c>
      <c r="E88">
        <v>945</v>
      </c>
      <c r="F88">
        <v>919</v>
      </c>
      <c r="G88">
        <v>846</v>
      </c>
      <c r="H88">
        <v>854</v>
      </c>
      <c r="I88">
        <v>876</v>
      </c>
      <c r="J88">
        <v>930</v>
      </c>
      <c r="K88">
        <v>818</v>
      </c>
      <c r="L88">
        <v>931</v>
      </c>
      <c r="M88">
        <v>945</v>
      </c>
      <c r="N88">
        <v>912</v>
      </c>
      <c r="O88">
        <v>922</v>
      </c>
      <c r="P88">
        <v>939</v>
      </c>
      <c r="Q88">
        <v>894</v>
      </c>
      <c r="R88">
        <v>935</v>
      </c>
      <c r="S88">
        <v>919</v>
      </c>
      <c r="T88">
        <v>991</v>
      </c>
      <c r="U88">
        <v>931</v>
      </c>
      <c r="V88">
        <v>946</v>
      </c>
    </row>
    <row r="89" spans="1:22" x14ac:dyDescent="0.25">
      <c r="A89" t="s">
        <v>1</v>
      </c>
      <c r="B89" t="s">
        <v>85</v>
      </c>
      <c r="C89">
        <v>796</v>
      </c>
      <c r="D89">
        <v>888</v>
      </c>
      <c r="E89">
        <v>925</v>
      </c>
      <c r="F89">
        <v>952</v>
      </c>
      <c r="G89">
        <v>924</v>
      </c>
      <c r="H89">
        <v>837</v>
      </c>
      <c r="I89">
        <v>857</v>
      </c>
      <c r="J89">
        <v>876</v>
      </c>
      <c r="K89">
        <v>927</v>
      </c>
      <c r="L89">
        <v>864</v>
      </c>
      <c r="M89">
        <v>945</v>
      </c>
      <c r="N89">
        <v>946</v>
      </c>
      <c r="O89">
        <v>930</v>
      </c>
      <c r="P89">
        <v>949</v>
      </c>
      <c r="Q89">
        <v>967</v>
      </c>
      <c r="R89">
        <v>883</v>
      </c>
      <c r="S89">
        <v>947</v>
      </c>
      <c r="T89">
        <v>928</v>
      </c>
      <c r="U89">
        <v>980</v>
      </c>
      <c r="V89">
        <v>948</v>
      </c>
    </row>
    <row r="90" spans="1:22" x14ac:dyDescent="0.25">
      <c r="A90" t="s">
        <v>1</v>
      </c>
      <c r="B90" t="s">
        <v>86</v>
      </c>
      <c r="C90">
        <v>849</v>
      </c>
      <c r="D90">
        <v>812</v>
      </c>
      <c r="E90">
        <v>876</v>
      </c>
      <c r="F90">
        <v>933</v>
      </c>
      <c r="G90">
        <v>967</v>
      </c>
      <c r="H90">
        <v>921</v>
      </c>
      <c r="I90">
        <v>835</v>
      </c>
      <c r="J90">
        <v>870</v>
      </c>
      <c r="K90">
        <v>884</v>
      </c>
      <c r="L90">
        <v>942</v>
      </c>
      <c r="M90">
        <v>873</v>
      </c>
      <c r="N90">
        <v>954</v>
      </c>
      <c r="O90">
        <v>955</v>
      </c>
      <c r="P90">
        <v>947</v>
      </c>
      <c r="Q90">
        <v>963</v>
      </c>
      <c r="R90">
        <v>950</v>
      </c>
      <c r="S90">
        <v>898</v>
      </c>
      <c r="T90">
        <v>986</v>
      </c>
      <c r="U90">
        <v>971</v>
      </c>
      <c r="V90">
        <v>991</v>
      </c>
    </row>
    <row r="91" spans="1:22" x14ac:dyDescent="0.25">
      <c r="A91" t="s">
        <v>1</v>
      </c>
      <c r="B91" t="s">
        <v>87</v>
      </c>
      <c r="C91">
        <v>731</v>
      </c>
      <c r="D91">
        <v>864</v>
      </c>
      <c r="E91">
        <v>820</v>
      </c>
      <c r="F91">
        <v>907</v>
      </c>
      <c r="G91">
        <v>927</v>
      </c>
      <c r="H91">
        <v>967</v>
      </c>
      <c r="I91">
        <v>919</v>
      </c>
      <c r="J91">
        <v>858</v>
      </c>
      <c r="K91">
        <v>874</v>
      </c>
      <c r="L91">
        <v>912</v>
      </c>
      <c r="M91">
        <v>957</v>
      </c>
      <c r="N91">
        <v>892</v>
      </c>
      <c r="O91">
        <v>963</v>
      </c>
      <c r="P91">
        <v>988</v>
      </c>
      <c r="Q91">
        <v>997</v>
      </c>
      <c r="R91">
        <v>991</v>
      </c>
      <c r="S91">
        <v>969</v>
      </c>
      <c r="T91">
        <v>906</v>
      </c>
      <c r="U91">
        <v>996</v>
      </c>
      <c r="V91">
        <v>948</v>
      </c>
    </row>
    <row r="92" spans="1:22" x14ac:dyDescent="0.25">
      <c r="A92" t="s">
        <v>1</v>
      </c>
      <c r="B92" t="s">
        <v>88</v>
      </c>
      <c r="C92">
        <v>753</v>
      </c>
      <c r="D92">
        <v>732</v>
      </c>
      <c r="E92">
        <v>882</v>
      </c>
      <c r="F92">
        <v>827</v>
      </c>
      <c r="G92">
        <v>898</v>
      </c>
      <c r="H92">
        <v>938</v>
      </c>
      <c r="I92">
        <v>951</v>
      </c>
      <c r="J92">
        <v>920</v>
      </c>
      <c r="K92">
        <v>847</v>
      </c>
      <c r="L92">
        <v>887</v>
      </c>
      <c r="M92">
        <v>911</v>
      </c>
      <c r="N92">
        <v>965</v>
      </c>
      <c r="O92">
        <v>915</v>
      </c>
      <c r="P92">
        <v>972</v>
      </c>
      <c r="Q92">
        <v>976</v>
      </c>
      <c r="R92">
        <v>973</v>
      </c>
      <c r="S92">
        <v>997</v>
      </c>
      <c r="T92">
        <v>978</v>
      </c>
      <c r="U92">
        <v>909</v>
      </c>
      <c r="V92">
        <v>988</v>
      </c>
    </row>
    <row r="93" spans="1:22" x14ac:dyDescent="0.25">
      <c r="A93" t="s">
        <v>1</v>
      </c>
      <c r="B93" t="s">
        <v>89</v>
      </c>
      <c r="C93">
        <v>751</v>
      </c>
      <c r="D93">
        <v>767</v>
      </c>
      <c r="E93">
        <v>749</v>
      </c>
      <c r="F93">
        <v>872</v>
      </c>
      <c r="G93">
        <v>829</v>
      </c>
      <c r="H93">
        <v>905</v>
      </c>
      <c r="I93">
        <v>949</v>
      </c>
      <c r="J93">
        <v>979</v>
      </c>
      <c r="K93">
        <v>928</v>
      </c>
      <c r="L93">
        <v>868</v>
      </c>
      <c r="M93">
        <v>903</v>
      </c>
      <c r="N93">
        <v>933</v>
      </c>
      <c r="O93">
        <v>957</v>
      </c>
      <c r="P93">
        <v>915</v>
      </c>
      <c r="Q93">
        <v>991</v>
      </c>
      <c r="R93">
        <v>966</v>
      </c>
      <c r="S93">
        <v>998</v>
      </c>
      <c r="T93">
        <v>971</v>
      </c>
      <c r="U93">
        <v>972</v>
      </c>
      <c r="V93">
        <v>903</v>
      </c>
    </row>
    <row r="94" spans="1:22" x14ac:dyDescent="0.25">
      <c r="A94" t="s">
        <v>1</v>
      </c>
      <c r="B94" t="s">
        <v>90</v>
      </c>
      <c r="C94">
        <v>763</v>
      </c>
      <c r="D94">
        <v>740</v>
      </c>
      <c r="E94">
        <v>774</v>
      </c>
      <c r="F94">
        <v>743</v>
      </c>
      <c r="G94">
        <v>871</v>
      </c>
      <c r="H94">
        <v>852</v>
      </c>
      <c r="I94">
        <v>903</v>
      </c>
      <c r="J94">
        <v>943</v>
      </c>
      <c r="K94">
        <v>971</v>
      </c>
      <c r="L94">
        <v>960</v>
      </c>
      <c r="M94">
        <v>858</v>
      </c>
      <c r="N94">
        <v>894</v>
      </c>
      <c r="O94">
        <v>934</v>
      </c>
      <c r="P94">
        <v>962</v>
      </c>
      <c r="Q94">
        <v>929</v>
      </c>
      <c r="R94">
        <v>956</v>
      </c>
      <c r="S94">
        <v>981</v>
      </c>
      <c r="T94">
        <v>1012</v>
      </c>
      <c r="U94">
        <v>992</v>
      </c>
      <c r="V94">
        <v>983</v>
      </c>
    </row>
    <row r="95" spans="1:22" x14ac:dyDescent="0.25">
      <c r="A95" t="s">
        <v>1</v>
      </c>
      <c r="B95" t="s">
        <v>91</v>
      </c>
      <c r="C95">
        <v>771</v>
      </c>
      <c r="D95">
        <v>768</v>
      </c>
      <c r="E95">
        <v>749</v>
      </c>
      <c r="F95">
        <v>775</v>
      </c>
      <c r="G95">
        <v>738</v>
      </c>
      <c r="H95">
        <v>883</v>
      </c>
      <c r="I95">
        <v>841</v>
      </c>
      <c r="J95">
        <v>921</v>
      </c>
      <c r="K95">
        <v>958</v>
      </c>
      <c r="L95">
        <v>981</v>
      </c>
      <c r="M95">
        <v>965</v>
      </c>
      <c r="N95">
        <v>872</v>
      </c>
      <c r="O95">
        <v>899</v>
      </c>
      <c r="P95">
        <v>953</v>
      </c>
      <c r="Q95">
        <v>1001</v>
      </c>
      <c r="R95">
        <v>932</v>
      </c>
      <c r="S95">
        <v>971</v>
      </c>
      <c r="T95">
        <v>1016</v>
      </c>
      <c r="U95">
        <v>1008</v>
      </c>
      <c r="V95">
        <v>983</v>
      </c>
    </row>
    <row r="96" spans="1:22" x14ac:dyDescent="0.25">
      <c r="A96" t="s">
        <v>1</v>
      </c>
      <c r="B96" t="s">
        <v>92</v>
      </c>
      <c r="C96">
        <v>749</v>
      </c>
      <c r="D96">
        <v>767</v>
      </c>
      <c r="E96">
        <v>772</v>
      </c>
      <c r="F96">
        <v>761</v>
      </c>
      <c r="G96">
        <v>754</v>
      </c>
      <c r="H96">
        <v>751</v>
      </c>
      <c r="I96">
        <v>890</v>
      </c>
      <c r="J96">
        <v>838</v>
      </c>
      <c r="K96">
        <v>916</v>
      </c>
      <c r="L96">
        <v>975</v>
      </c>
      <c r="M96">
        <v>985</v>
      </c>
      <c r="N96">
        <v>980</v>
      </c>
      <c r="O96">
        <v>885</v>
      </c>
      <c r="P96">
        <v>899</v>
      </c>
      <c r="Q96">
        <v>971</v>
      </c>
      <c r="R96">
        <v>995</v>
      </c>
      <c r="S96">
        <v>932</v>
      </c>
      <c r="T96">
        <v>985</v>
      </c>
      <c r="U96">
        <v>1027</v>
      </c>
      <c r="V96">
        <v>999</v>
      </c>
    </row>
    <row r="97" spans="1:22" x14ac:dyDescent="0.25">
      <c r="A97" t="s">
        <v>1</v>
      </c>
      <c r="B97" t="s">
        <v>93</v>
      </c>
      <c r="C97">
        <v>742</v>
      </c>
      <c r="D97">
        <v>742</v>
      </c>
      <c r="E97">
        <v>768</v>
      </c>
      <c r="F97">
        <v>771</v>
      </c>
      <c r="G97">
        <v>766</v>
      </c>
      <c r="H97">
        <v>755</v>
      </c>
      <c r="I97">
        <v>747</v>
      </c>
      <c r="J97">
        <v>871</v>
      </c>
      <c r="K97">
        <v>840</v>
      </c>
      <c r="L97">
        <v>945</v>
      </c>
      <c r="M97">
        <v>985</v>
      </c>
      <c r="N97">
        <v>1003</v>
      </c>
      <c r="O97">
        <v>965</v>
      </c>
      <c r="P97">
        <v>900</v>
      </c>
      <c r="Q97">
        <v>922</v>
      </c>
      <c r="R97">
        <v>969</v>
      </c>
      <c r="S97">
        <v>996</v>
      </c>
      <c r="T97">
        <v>944</v>
      </c>
      <c r="U97">
        <v>1007</v>
      </c>
      <c r="V97">
        <v>1002</v>
      </c>
    </row>
    <row r="98" spans="1:22" x14ac:dyDescent="0.25">
      <c r="A98" t="s">
        <v>1</v>
      </c>
      <c r="B98" t="s">
        <v>94</v>
      </c>
      <c r="C98">
        <v>706</v>
      </c>
      <c r="D98">
        <v>752</v>
      </c>
      <c r="E98">
        <v>736</v>
      </c>
      <c r="F98">
        <v>772</v>
      </c>
      <c r="G98">
        <v>777</v>
      </c>
      <c r="H98">
        <v>753</v>
      </c>
      <c r="I98">
        <v>753</v>
      </c>
      <c r="J98">
        <v>746</v>
      </c>
      <c r="K98">
        <v>878</v>
      </c>
      <c r="L98">
        <v>860</v>
      </c>
      <c r="M98">
        <v>951</v>
      </c>
      <c r="N98">
        <v>982</v>
      </c>
      <c r="O98">
        <v>1006</v>
      </c>
      <c r="P98">
        <v>980</v>
      </c>
      <c r="Q98">
        <v>903</v>
      </c>
      <c r="R98">
        <v>897</v>
      </c>
      <c r="S98">
        <v>980</v>
      </c>
      <c r="T98">
        <v>1004</v>
      </c>
      <c r="U98">
        <v>938</v>
      </c>
      <c r="V98">
        <v>990</v>
      </c>
    </row>
    <row r="99" spans="1:22" x14ac:dyDescent="0.25">
      <c r="A99" t="s">
        <v>1</v>
      </c>
      <c r="B99" t="s">
        <v>95</v>
      </c>
      <c r="C99">
        <v>813</v>
      </c>
      <c r="D99">
        <v>698</v>
      </c>
      <c r="E99">
        <v>749</v>
      </c>
      <c r="F99">
        <v>741</v>
      </c>
      <c r="G99">
        <v>747</v>
      </c>
      <c r="H99">
        <v>771</v>
      </c>
      <c r="I99">
        <v>755</v>
      </c>
      <c r="J99">
        <v>760</v>
      </c>
      <c r="K99">
        <v>731</v>
      </c>
      <c r="L99">
        <v>874</v>
      </c>
      <c r="M99">
        <v>874</v>
      </c>
      <c r="N99">
        <v>933</v>
      </c>
      <c r="O99">
        <v>982</v>
      </c>
      <c r="P99">
        <v>1015</v>
      </c>
      <c r="Q99">
        <v>974</v>
      </c>
      <c r="R99">
        <v>894</v>
      </c>
      <c r="S99">
        <v>914</v>
      </c>
      <c r="T99">
        <v>981</v>
      </c>
      <c r="U99">
        <v>972</v>
      </c>
      <c r="V99">
        <v>933</v>
      </c>
    </row>
    <row r="100" spans="1:22" x14ac:dyDescent="0.25">
      <c r="A100" t="s">
        <v>1</v>
      </c>
      <c r="B100" t="s">
        <v>96</v>
      </c>
      <c r="C100">
        <v>746</v>
      </c>
      <c r="D100">
        <v>815</v>
      </c>
      <c r="E100">
        <v>684</v>
      </c>
      <c r="F100">
        <v>737</v>
      </c>
      <c r="G100">
        <v>729</v>
      </c>
      <c r="H100">
        <v>741</v>
      </c>
      <c r="I100">
        <v>774</v>
      </c>
      <c r="J100">
        <v>765</v>
      </c>
      <c r="K100">
        <v>757</v>
      </c>
      <c r="L100">
        <v>754</v>
      </c>
      <c r="M100">
        <v>887</v>
      </c>
      <c r="N100">
        <v>876</v>
      </c>
      <c r="O100">
        <v>929</v>
      </c>
      <c r="P100">
        <v>982</v>
      </c>
      <c r="Q100">
        <v>1015</v>
      </c>
      <c r="R100">
        <v>958</v>
      </c>
      <c r="S100">
        <v>910</v>
      </c>
      <c r="T100">
        <v>911</v>
      </c>
      <c r="U100">
        <v>983</v>
      </c>
      <c r="V100">
        <v>976</v>
      </c>
    </row>
    <row r="101" spans="1:22" x14ac:dyDescent="0.25">
      <c r="A101" t="s">
        <v>1</v>
      </c>
      <c r="B101" t="s">
        <v>97</v>
      </c>
      <c r="C101">
        <v>716</v>
      </c>
      <c r="D101">
        <v>727</v>
      </c>
      <c r="E101">
        <v>808</v>
      </c>
      <c r="F101">
        <v>683</v>
      </c>
      <c r="G101">
        <v>733</v>
      </c>
      <c r="H101">
        <v>735</v>
      </c>
      <c r="I101">
        <v>754</v>
      </c>
      <c r="J101">
        <v>761</v>
      </c>
      <c r="K101">
        <v>759</v>
      </c>
      <c r="L101">
        <v>760</v>
      </c>
      <c r="M101">
        <v>766</v>
      </c>
      <c r="N101">
        <v>879</v>
      </c>
      <c r="O101">
        <v>867</v>
      </c>
      <c r="P101">
        <v>947</v>
      </c>
      <c r="Q101">
        <v>981</v>
      </c>
      <c r="R101">
        <v>1014</v>
      </c>
      <c r="S101">
        <v>983</v>
      </c>
      <c r="T101">
        <v>896</v>
      </c>
      <c r="U101">
        <v>894</v>
      </c>
      <c r="V101">
        <v>960</v>
      </c>
    </row>
    <row r="102" spans="1:22" x14ac:dyDescent="0.25">
      <c r="A102" t="s">
        <v>1</v>
      </c>
      <c r="B102" t="s">
        <v>98</v>
      </c>
      <c r="C102">
        <v>676</v>
      </c>
      <c r="D102">
        <v>715</v>
      </c>
      <c r="E102">
        <v>721</v>
      </c>
      <c r="F102">
        <v>784</v>
      </c>
      <c r="G102">
        <v>666</v>
      </c>
      <c r="H102">
        <v>716</v>
      </c>
      <c r="I102">
        <v>714</v>
      </c>
      <c r="J102">
        <v>744</v>
      </c>
      <c r="K102">
        <v>755</v>
      </c>
      <c r="L102">
        <v>762</v>
      </c>
      <c r="M102">
        <v>758</v>
      </c>
      <c r="N102">
        <v>754</v>
      </c>
      <c r="O102">
        <v>892</v>
      </c>
      <c r="P102">
        <v>864</v>
      </c>
      <c r="Q102">
        <v>949</v>
      </c>
      <c r="R102">
        <v>964</v>
      </c>
      <c r="S102">
        <v>1014</v>
      </c>
      <c r="T102">
        <v>978</v>
      </c>
      <c r="U102">
        <v>890</v>
      </c>
      <c r="V102">
        <v>898</v>
      </c>
    </row>
    <row r="103" spans="1:22" x14ac:dyDescent="0.25">
      <c r="A103" t="s">
        <v>1</v>
      </c>
      <c r="B103" t="s">
        <v>99</v>
      </c>
      <c r="C103">
        <v>761</v>
      </c>
      <c r="D103">
        <v>678</v>
      </c>
      <c r="E103">
        <v>718</v>
      </c>
      <c r="F103">
        <v>710</v>
      </c>
      <c r="G103">
        <v>754</v>
      </c>
      <c r="H103">
        <v>665</v>
      </c>
      <c r="I103">
        <v>712</v>
      </c>
      <c r="J103">
        <v>716</v>
      </c>
      <c r="K103">
        <v>748</v>
      </c>
      <c r="L103">
        <v>757</v>
      </c>
      <c r="M103">
        <v>752</v>
      </c>
      <c r="N103">
        <v>760</v>
      </c>
      <c r="O103">
        <v>732</v>
      </c>
      <c r="P103">
        <v>893</v>
      </c>
      <c r="Q103">
        <v>880</v>
      </c>
      <c r="R103">
        <v>935</v>
      </c>
      <c r="S103">
        <v>973</v>
      </c>
      <c r="T103">
        <v>1007</v>
      </c>
      <c r="U103">
        <v>970</v>
      </c>
      <c r="V103">
        <v>871</v>
      </c>
    </row>
    <row r="104" spans="1:22" x14ac:dyDescent="0.25">
      <c r="A104" t="s">
        <v>1</v>
      </c>
      <c r="B104" t="s">
        <v>100</v>
      </c>
      <c r="C104">
        <v>741</v>
      </c>
      <c r="D104">
        <v>769</v>
      </c>
      <c r="E104">
        <v>682</v>
      </c>
      <c r="F104">
        <v>694</v>
      </c>
      <c r="G104">
        <v>689</v>
      </c>
      <c r="H104">
        <v>745</v>
      </c>
      <c r="I104">
        <v>660</v>
      </c>
      <c r="J104">
        <v>710</v>
      </c>
      <c r="K104">
        <v>722</v>
      </c>
      <c r="L104">
        <v>738</v>
      </c>
      <c r="M104">
        <v>769</v>
      </c>
      <c r="N104">
        <v>753</v>
      </c>
      <c r="O104">
        <v>757</v>
      </c>
      <c r="P104">
        <v>705</v>
      </c>
      <c r="Q104">
        <v>916</v>
      </c>
      <c r="R104">
        <v>873</v>
      </c>
      <c r="S104">
        <v>957</v>
      </c>
      <c r="T104">
        <v>980</v>
      </c>
      <c r="U104">
        <v>1014</v>
      </c>
      <c r="V104">
        <v>975</v>
      </c>
    </row>
    <row r="105" spans="1:22" x14ac:dyDescent="0.25">
      <c r="A105" t="s">
        <v>1</v>
      </c>
      <c r="B105" t="s">
        <v>101</v>
      </c>
      <c r="C105">
        <v>716</v>
      </c>
      <c r="D105">
        <v>742</v>
      </c>
      <c r="E105">
        <v>766</v>
      </c>
      <c r="F105">
        <v>673</v>
      </c>
      <c r="G105">
        <v>672</v>
      </c>
      <c r="H105">
        <v>689</v>
      </c>
      <c r="I105">
        <v>736</v>
      </c>
      <c r="J105">
        <v>662</v>
      </c>
      <c r="K105">
        <v>717</v>
      </c>
      <c r="L105">
        <v>720</v>
      </c>
      <c r="M105">
        <v>732</v>
      </c>
      <c r="N105">
        <v>763</v>
      </c>
      <c r="O105">
        <v>725</v>
      </c>
      <c r="P105">
        <v>759</v>
      </c>
      <c r="Q105">
        <v>730</v>
      </c>
      <c r="R105">
        <v>879</v>
      </c>
      <c r="S105">
        <v>868</v>
      </c>
      <c r="T105">
        <v>932</v>
      </c>
      <c r="U105">
        <v>974</v>
      </c>
      <c r="V105">
        <v>990</v>
      </c>
    </row>
    <row r="106" spans="1:22" x14ac:dyDescent="0.25">
      <c r="A106" t="s">
        <v>1</v>
      </c>
      <c r="B106" t="s">
        <v>102</v>
      </c>
      <c r="C106">
        <v>715</v>
      </c>
      <c r="D106">
        <v>718</v>
      </c>
      <c r="E106">
        <v>727</v>
      </c>
      <c r="F106">
        <v>753</v>
      </c>
      <c r="G106">
        <v>655</v>
      </c>
      <c r="H106">
        <v>670</v>
      </c>
      <c r="I106">
        <v>674</v>
      </c>
      <c r="J106">
        <v>722</v>
      </c>
      <c r="K106">
        <v>650</v>
      </c>
      <c r="L106">
        <v>693</v>
      </c>
      <c r="M106">
        <v>721</v>
      </c>
      <c r="N106">
        <v>743</v>
      </c>
      <c r="O106">
        <v>766</v>
      </c>
      <c r="P106">
        <v>711</v>
      </c>
      <c r="Q106">
        <v>757</v>
      </c>
      <c r="R106">
        <v>712</v>
      </c>
      <c r="S106">
        <v>859</v>
      </c>
      <c r="T106">
        <v>858</v>
      </c>
      <c r="U106">
        <v>931</v>
      </c>
      <c r="V106">
        <v>954</v>
      </c>
    </row>
    <row r="107" spans="1:22" x14ac:dyDescent="0.25">
      <c r="A107" t="s">
        <v>1</v>
      </c>
      <c r="B107" t="s">
        <v>103</v>
      </c>
      <c r="C107">
        <v>658</v>
      </c>
      <c r="D107">
        <v>687</v>
      </c>
      <c r="E107">
        <v>690</v>
      </c>
      <c r="F107">
        <v>700</v>
      </c>
      <c r="G107">
        <v>745</v>
      </c>
      <c r="H107">
        <v>666</v>
      </c>
      <c r="I107">
        <v>665</v>
      </c>
      <c r="J107">
        <v>674</v>
      </c>
      <c r="K107">
        <v>713</v>
      </c>
      <c r="L107">
        <v>652</v>
      </c>
      <c r="M107">
        <v>675</v>
      </c>
      <c r="N107">
        <v>713</v>
      </c>
      <c r="O107">
        <v>724</v>
      </c>
      <c r="P107">
        <v>763</v>
      </c>
      <c r="Q107">
        <v>709</v>
      </c>
      <c r="R107">
        <v>734</v>
      </c>
      <c r="S107">
        <v>691</v>
      </c>
      <c r="T107">
        <v>854</v>
      </c>
      <c r="U107">
        <v>820</v>
      </c>
      <c r="V107">
        <v>909</v>
      </c>
    </row>
    <row r="108" spans="1:22" x14ac:dyDescent="0.25">
      <c r="A108" t="s">
        <v>1</v>
      </c>
      <c r="B108" t="s">
        <v>104</v>
      </c>
      <c r="C108">
        <v>611</v>
      </c>
      <c r="D108">
        <v>610</v>
      </c>
      <c r="E108">
        <v>672</v>
      </c>
      <c r="F108">
        <v>657</v>
      </c>
      <c r="G108">
        <v>669</v>
      </c>
      <c r="H108">
        <v>703</v>
      </c>
      <c r="I108">
        <v>629</v>
      </c>
      <c r="J108">
        <v>637</v>
      </c>
      <c r="K108">
        <v>649</v>
      </c>
      <c r="L108">
        <v>697</v>
      </c>
      <c r="M108">
        <v>620</v>
      </c>
      <c r="N108">
        <v>647</v>
      </c>
      <c r="O108">
        <v>681</v>
      </c>
      <c r="P108">
        <v>718</v>
      </c>
      <c r="Q108">
        <v>737</v>
      </c>
      <c r="R108">
        <v>703</v>
      </c>
      <c r="S108">
        <v>734</v>
      </c>
      <c r="T108">
        <v>706</v>
      </c>
      <c r="U108">
        <v>830</v>
      </c>
      <c r="V108">
        <v>809</v>
      </c>
    </row>
    <row r="109" spans="1:22" x14ac:dyDescent="0.25">
      <c r="A109" t="s">
        <v>1</v>
      </c>
      <c r="B109" t="s">
        <v>105</v>
      </c>
      <c r="C109">
        <v>477</v>
      </c>
      <c r="D109">
        <v>567</v>
      </c>
      <c r="E109">
        <v>560</v>
      </c>
      <c r="F109">
        <v>623</v>
      </c>
      <c r="G109">
        <v>599</v>
      </c>
      <c r="H109">
        <v>625</v>
      </c>
      <c r="I109">
        <v>644</v>
      </c>
      <c r="J109">
        <v>596</v>
      </c>
      <c r="K109">
        <v>595</v>
      </c>
      <c r="L109">
        <v>605</v>
      </c>
      <c r="M109">
        <v>662</v>
      </c>
      <c r="N109">
        <v>584</v>
      </c>
      <c r="O109">
        <v>625</v>
      </c>
      <c r="P109">
        <v>661</v>
      </c>
      <c r="Q109">
        <v>679</v>
      </c>
      <c r="R109">
        <v>689</v>
      </c>
      <c r="S109">
        <v>659</v>
      </c>
      <c r="T109">
        <v>684</v>
      </c>
      <c r="U109">
        <v>670</v>
      </c>
      <c r="V109">
        <v>797</v>
      </c>
    </row>
    <row r="110" spans="1:22" x14ac:dyDescent="0.25">
      <c r="A110" t="s">
        <v>1</v>
      </c>
      <c r="B110" t="s">
        <v>106</v>
      </c>
      <c r="C110">
        <v>421</v>
      </c>
      <c r="D110">
        <v>406</v>
      </c>
      <c r="E110">
        <v>504</v>
      </c>
      <c r="F110">
        <v>498</v>
      </c>
      <c r="G110">
        <v>556</v>
      </c>
      <c r="H110">
        <v>549</v>
      </c>
      <c r="I110">
        <v>553</v>
      </c>
      <c r="J110">
        <v>583</v>
      </c>
      <c r="K110">
        <v>538</v>
      </c>
      <c r="L110">
        <v>540</v>
      </c>
      <c r="M110">
        <v>548</v>
      </c>
      <c r="N110">
        <v>597</v>
      </c>
      <c r="O110">
        <v>528</v>
      </c>
      <c r="P110">
        <v>569</v>
      </c>
      <c r="Q110">
        <v>593</v>
      </c>
      <c r="R110">
        <v>604</v>
      </c>
      <c r="S110">
        <v>643</v>
      </c>
      <c r="T110">
        <v>594</v>
      </c>
      <c r="U110">
        <v>623</v>
      </c>
      <c r="V110">
        <v>611</v>
      </c>
    </row>
    <row r="111" spans="1:22" x14ac:dyDescent="0.25">
      <c r="A111" t="s">
        <v>1</v>
      </c>
      <c r="B111" t="s">
        <v>107</v>
      </c>
      <c r="C111">
        <v>346</v>
      </c>
      <c r="D111">
        <v>353</v>
      </c>
      <c r="E111">
        <v>359</v>
      </c>
      <c r="F111">
        <v>417</v>
      </c>
      <c r="G111">
        <v>430</v>
      </c>
      <c r="H111">
        <v>472</v>
      </c>
      <c r="I111">
        <v>457</v>
      </c>
      <c r="J111">
        <v>470</v>
      </c>
      <c r="K111">
        <v>500</v>
      </c>
      <c r="L111">
        <v>470</v>
      </c>
      <c r="M111">
        <v>467</v>
      </c>
      <c r="N111">
        <v>475</v>
      </c>
      <c r="O111">
        <v>493</v>
      </c>
      <c r="P111">
        <v>460</v>
      </c>
      <c r="Q111">
        <v>496</v>
      </c>
      <c r="R111">
        <v>480</v>
      </c>
      <c r="S111">
        <v>526</v>
      </c>
      <c r="T111">
        <v>550</v>
      </c>
      <c r="U111">
        <v>543</v>
      </c>
      <c r="V111">
        <v>551</v>
      </c>
    </row>
    <row r="112" spans="1:22" x14ac:dyDescent="0.25">
      <c r="A112" t="s">
        <v>1</v>
      </c>
      <c r="B112" t="s">
        <v>108</v>
      </c>
      <c r="C112">
        <v>110</v>
      </c>
      <c r="D112">
        <v>131</v>
      </c>
      <c r="E112">
        <v>155</v>
      </c>
      <c r="F112">
        <v>169</v>
      </c>
      <c r="G112">
        <v>238</v>
      </c>
      <c r="H112">
        <v>245</v>
      </c>
      <c r="I112">
        <v>293</v>
      </c>
      <c r="J112">
        <v>307</v>
      </c>
      <c r="K112">
        <v>325</v>
      </c>
      <c r="L112">
        <v>344</v>
      </c>
      <c r="M112">
        <v>330</v>
      </c>
      <c r="N112">
        <v>320</v>
      </c>
      <c r="O112">
        <v>337</v>
      </c>
      <c r="P112">
        <v>352</v>
      </c>
      <c r="Q112">
        <v>338</v>
      </c>
      <c r="R112">
        <v>337</v>
      </c>
      <c r="S112">
        <v>365</v>
      </c>
      <c r="T112">
        <v>388</v>
      </c>
      <c r="U112">
        <v>439</v>
      </c>
      <c r="V112">
        <v>439</v>
      </c>
    </row>
    <row r="113" spans="1:22" x14ac:dyDescent="0.25">
      <c r="A113" t="s">
        <v>1</v>
      </c>
      <c r="B113" t="s">
        <v>109</v>
      </c>
      <c r="C113">
        <v>99</v>
      </c>
      <c r="D113">
        <v>92</v>
      </c>
      <c r="E113">
        <v>120</v>
      </c>
      <c r="F113">
        <v>130</v>
      </c>
      <c r="G113">
        <v>145</v>
      </c>
      <c r="H113">
        <v>168</v>
      </c>
      <c r="I113">
        <v>164</v>
      </c>
      <c r="J113">
        <v>139</v>
      </c>
      <c r="K113">
        <v>183</v>
      </c>
      <c r="L113">
        <v>203</v>
      </c>
      <c r="M113">
        <v>219</v>
      </c>
      <c r="N113">
        <v>202</v>
      </c>
      <c r="O113">
        <v>168</v>
      </c>
      <c r="P113">
        <v>222</v>
      </c>
      <c r="Q113">
        <v>318</v>
      </c>
      <c r="R113">
        <v>254</v>
      </c>
      <c r="S113">
        <v>288</v>
      </c>
      <c r="T113">
        <v>307</v>
      </c>
      <c r="U113">
        <v>336</v>
      </c>
      <c r="V113">
        <v>346</v>
      </c>
    </row>
    <row r="114" spans="1:22" x14ac:dyDescent="0.25">
      <c r="A114" t="s">
        <v>1</v>
      </c>
      <c r="B114" t="s">
        <v>110</v>
      </c>
      <c r="C114">
        <v>56</v>
      </c>
      <c r="D114">
        <v>68</v>
      </c>
      <c r="E114">
        <v>64</v>
      </c>
      <c r="F114">
        <v>95</v>
      </c>
      <c r="G114">
        <v>104</v>
      </c>
      <c r="H114">
        <v>99</v>
      </c>
      <c r="I114">
        <v>102</v>
      </c>
      <c r="J114">
        <v>95</v>
      </c>
      <c r="K114">
        <v>109</v>
      </c>
      <c r="L114">
        <v>124</v>
      </c>
      <c r="M114">
        <v>140</v>
      </c>
      <c r="N114">
        <v>137</v>
      </c>
      <c r="O114">
        <v>141</v>
      </c>
      <c r="P114">
        <v>133</v>
      </c>
      <c r="Q114">
        <v>230</v>
      </c>
      <c r="R114">
        <v>217</v>
      </c>
      <c r="S114">
        <v>199</v>
      </c>
      <c r="T114">
        <v>248</v>
      </c>
      <c r="U114">
        <v>277</v>
      </c>
      <c r="V114">
        <v>258</v>
      </c>
    </row>
    <row r="115" spans="1:22" x14ac:dyDescent="0.25">
      <c r="A115" t="s">
        <v>1</v>
      </c>
      <c r="B115" t="s">
        <v>111</v>
      </c>
      <c r="C115">
        <v>31</v>
      </c>
      <c r="D115">
        <v>38</v>
      </c>
      <c r="E115">
        <v>51</v>
      </c>
      <c r="F115">
        <v>45</v>
      </c>
      <c r="G115">
        <v>61</v>
      </c>
      <c r="H115">
        <v>53</v>
      </c>
      <c r="I115">
        <v>80</v>
      </c>
      <c r="J115">
        <v>110</v>
      </c>
      <c r="K115">
        <v>117</v>
      </c>
      <c r="L115">
        <v>122</v>
      </c>
      <c r="M115">
        <v>137</v>
      </c>
      <c r="N115">
        <v>133</v>
      </c>
      <c r="O115">
        <v>146</v>
      </c>
      <c r="P115">
        <v>156</v>
      </c>
      <c r="Q115">
        <v>180</v>
      </c>
      <c r="R115">
        <v>155</v>
      </c>
      <c r="S115">
        <v>190</v>
      </c>
      <c r="T115">
        <v>179</v>
      </c>
      <c r="U115">
        <v>224</v>
      </c>
      <c r="V115">
        <v>236</v>
      </c>
    </row>
    <row r="116" spans="1:22" x14ac:dyDescent="0.25">
      <c r="A116" t="s">
        <v>1</v>
      </c>
      <c r="B116" t="s">
        <v>112</v>
      </c>
      <c r="C116">
        <v>17</v>
      </c>
      <c r="D116">
        <v>29</v>
      </c>
      <c r="E116">
        <v>36</v>
      </c>
      <c r="F116">
        <v>48</v>
      </c>
      <c r="G116">
        <v>40</v>
      </c>
      <c r="H116">
        <v>43</v>
      </c>
      <c r="I116">
        <v>50</v>
      </c>
      <c r="J116">
        <v>77</v>
      </c>
      <c r="K116">
        <v>95</v>
      </c>
      <c r="L116">
        <v>100</v>
      </c>
      <c r="M116">
        <v>101</v>
      </c>
      <c r="N116">
        <v>108</v>
      </c>
      <c r="O116">
        <v>128</v>
      </c>
      <c r="P116">
        <v>134</v>
      </c>
      <c r="Q116">
        <v>153</v>
      </c>
      <c r="R116">
        <v>135</v>
      </c>
      <c r="S116">
        <v>150</v>
      </c>
      <c r="T116">
        <v>171</v>
      </c>
      <c r="U116">
        <v>155</v>
      </c>
      <c r="V116">
        <v>183</v>
      </c>
    </row>
    <row r="117" spans="1:22" x14ac:dyDescent="0.25">
      <c r="A117" t="s">
        <v>1</v>
      </c>
      <c r="B117" t="s">
        <v>113</v>
      </c>
      <c r="C117">
        <v>16</v>
      </c>
      <c r="D117">
        <v>18</v>
      </c>
      <c r="E117">
        <v>20</v>
      </c>
      <c r="F117">
        <v>31</v>
      </c>
      <c r="G117">
        <v>41</v>
      </c>
      <c r="H117">
        <v>28</v>
      </c>
      <c r="I117">
        <v>46</v>
      </c>
      <c r="J117">
        <v>59</v>
      </c>
      <c r="K117">
        <v>70</v>
      </c>
      <c r="L117">
        <v>73</v>
      </c>
      <c r="M117">
        <v>80</v>
      </c>
      <c r="N117">
        <v>77</v>
      </c>
      <c r="O117">
        <v>104</v>
      </c>
      <c r="P117">
        <v>100</v>
      </c>
      <c r="Q117">
        <v>129</v>
      </c>
      <c r="R117">
        <v>104</v>
      </c>
      <c r="S117">
        <v>119</v>
      </c>
      <c r="T117">
        <v>138</v>
      </c>
      <c r="U117">
        <v>150</v>
      </c>
      <c r="V117">
        <v>138</v>
      </c>
    </row>
    <row r="118" spans="1:22" x14ac:dyDescent="0.25">
      <c r="A118" t="s">
        <v>1</v>
      </c>
      <c r="B118" t="s">
        <v>114</v>
      </c>
      <c r="C118">
        <v>16</v>
      </c>
      <c r="D118">
        <v>10</v>
      </c>
      <c r="E118">
        <v>16</v>
      </c>
      <c r="F118">
        <v>10</v>
      </c>
      <c r="G118">
        <v>27</v>
      </c>
      <c r="H118">
        <v>29</v>
      </c>
      <c r="I118">
        <v>35</v>
      </c>
      <c r="J118">
        <v>48</v>
      </c>
      <c r="K118">
        <v>55</v>
      </c>
      <c r="L118">
        <v>61</v>
      </c>
      <c r="M118">
        <v>68</v>
      </c>
      <c r="N118">
        <v>71</v>
      </c>
      <c r="O118">
        <v>82</v>
      </c>
      <c r="P118">
        <v>94</v>
      </c>
      <c r="Q118">
        <v>120</v>
      </c>
      <c r="R118">
        <v>87</v>
      </c>
      <c r="S118">
        <v>119</v>
      </c>
      <c r="T118">
        <v>116</v>
      </c>
      <c r="U118">
        <v>133</v>
      </c>
      <c r="V118">
        <v>134</v>
      </c>
    </row>
    <row r="119" spans="1:22" x14ac:dyDescent="0.25">
      <c r="A119" t="s">
        <v>1</v>
      </c>
      <c r="B119" t="s">
        <v>115</v>
      </c>
      <c r="C119">
        <v>9</v>
      </c>
      <c r="D119">
        <v>13</v>
      </c>
      <c r="E119">
        <v>12</v>
      </c>
      <c r="F119">
        <v>6</v>
      </c>
      <c r="G119">
        <v>11</v>
      </c>
      <c r="H119">
        <v>20</v>
      </c>
      <c r="I119">
        <v>36</v>
      </c>
      <c r="J119">
        <v>38</v>
      </c>
      <c r="K119">
        <v>44</v>
      </c>
      <c r="L119">
        <v>48</v>
      </c>
      <c r="M119">
        <v>52</v>
      </c>
      <c r="N119">
        <v>59</v>
      </c>
      <c r="O119">
        <v>77</v>
      </c>
      <c r="P119">
        <v>64</v>
      </c>
      <c r="Q119">
        <v>99</v>
      </c>
      <c r="R119">
        <v>88</v>
      </c>
      <c r="S119">
        <v>110</v>
      </c>
      <c r="T119">
        <v>90</v>
      </c>
      <c r="U119">
        <v>99</v>
      </c>
      <c r="V119">
        <v>110</v>
      </c>
    </row>
    <row r="120" spans="1:22" x14ac:dyDescent="0.25">
      <c r="A120" t="s">
        <v>1</v>
      </c>
      <c r="B120" t="s">
        <v>116</v>
      </c>
      <c r="C120">
        <v>1</v>
      </c>
      <c r="D120">
        <v>6</v>
      </c>
      <c r="E120">
        <v>14</v>
      </c>
      <c r="F120">
        <v>8</v>
      </c>
      <c r="G120">
        <v>3</v>
      </c>
      <c r="H120">
        <v>8</v>
      </c>
      <c r="I120">
        <v>24</v>
      </c>
      <c r="J120">
        <v>37</v>
      </c>
      <c r="K120">
        <v>39</v>
      </c>
      <c r="L120">
        <v>38</v>
      </c>
      <c r="M120">
        <v>39</v>
      </c>
      <c r="N120">
        <v>43</v>
      </c>
      <c r="O120">
        <v>56</v>
      </c>
      <c r="P120">
        <v>67</v>
      </c>
      <c r="Q120">
        <v>88</v>
      </c>
      <c r="R120">
        <v>68</v>
      </c>
      <c r="S120">
        <v>82</v>
      </c>
      <c r="T120">
        <v>97</v>
      </c>
      <c r="U120">
        <v>90</v>
      </c>
      <c r="V120">
        <v>100</v>
      </c>
    </row>
    <row r="121" spans="1:22" x14ac:dyDescent="0.25">
      <c r="A121" t="s">
        <v>1</v>
      </c>
      <c r="B121" t="s">
        <v>117</v>
      </c>
      <c r="C121">
        <v>9</v>
      </c>
      <c r="D121">
        <v>2</v>
      </c>
      <c r="E121">
        <v>4</v>
      </c>
      <c r="F121">
        <v>8</v>
      </c>
      <c r="G121">
        <v>9</v>
      </c>
      <c r="H121">
        <v>4</v>
      </c>
      <c r="I121">
        <v>14</v>
      </c>
      <c r="J121">
        <v>25</v>
      </c>
      <c r="K121">
        <v>40</v>
      </c>
      <c r="L121">
        <v>32</v>
      </c>
      <c r="M121">
        <v>28</v>
      </c>
      <c r="N121">
        <v>33</v>
      </c>
      <c r="O121">
        <v>47</v>
      </c>
      <c r="P121">
        <v>52</v>
      </c>
      <c r="Q121">
        <v>80</v>
      </c>
      <c r="R121">
        <v>60</v>
      </c>
      <c r="S121">
        <v>78</v>
      </c>
      <c r="T121">
        <v>76</v>
      </c>
      <c r="U121">
        <v>75</v>
      </c>
      <c r="V121">
        <v>83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357-07F2-436A-AD48-D62330725365}">
  <dimension ref="A1:F101"/>
  <sheetViews>
    <sheetView workbookViewId="0"/>
  </sheetViews>
  <sheetFormatPr defaultRowHeight="15" x14ac:dyDescent="0.25"/>
  <cols>
    <col min="1" max="1" width="16.42578125" customWidth="1"/>
  </cols>
  <sheetData>
    <row r="1" spans="1:6" x14ac:dyDescent="0.25">
      <c r="A1" s="4" t="s">
        <v>5</v>
      </c>
      <c r="B1" s="4" t="s">
        <v>6</v>
      </c>
      <c r="C1" s="5" t="s">
        <v>0</v>
      </c>
      <c r="D1" s="5" t="s">
        <v>1</v>
      </c>
      <c r="E1" s="5" t="s">
        <v>2</v>
      </c>
      <c r="F1" s="5" t="s">
        <v>118</v>
      </c>
    </row>
    <row r="2" spans="1:6" x14ac:dyDescent="0.25">
      <c r="A2" t="s">
        <v>3</v>
      </c>
      <c r="B2">
        <v>1975</v>
      </c>
      <c r="C2">
        <v>30506</v>
      </c>
      <c r="D2">
        <v>23658</v>
      </c>
      <c r="E2">
        <v>54164</v>
      </c>
      <c r="F2">
        <v>2989</v>
      </c>
    </row>
    <row r="3" spans="1:6" x14ac:dyDescent="0.25">
      <c r="A3" t="s">
        <v>3</v>
      </c>
      <c r="B3">
        <v>1976</v>
      </c>
      <c r="C3" s="1">
        <f>((C7-C2)/5)+C2</f>
        <v>30519</v>
      </c>
      <c r="D3" s="1">
        <f t="shared" ref="D3:F3" si="0">((D7-D2)/5)+D2</f>
        <v>24191</v>
      </c>
      <c r="E3" s="1">
        <f>D3+C3</f>
        <v>54710</v>
      </c>
      <c r="F3" s="1">
        <f t="shared" si="0"/>
        <v>2968</v>
      </c>
    </row>
    <row r="4" spans="1:6" x14ac:dyDescent="0.25">
      <c r="A4" t="s">
        <v>3</v>
      </c>
      <c r="B4">
        <v>1977</v>
      </c>
      <c r="C4" s="1">
        <f>((C7-C2)/5)+C3</f>
        <v>30532</v>
      </c>
      <c r="D4" s="1">
        <f t="shared" ref="D4:F4" si="1">((D7-D2)/5)+D3</f>
        <v>24724</v>
      </c>
      <c r="E4" s="1">
        <f t="shared" ref="E4:E6" si="2">D4+C4</f>
        <v>55256</v>
      </c>
      <c r="F4" s="1">
        <f t="shared" si="1"/>
        <v>2947</v>
      </c>
    </row>
    <row r="5" spans="1:6" x14ac:dyDescent="0.25">
      <c r="A5" t="s">
        <v>3</v>
      </c>
      <c r="B5">
        <v>1978</v>
      </c>
      <c r="C5" s="1">
        <f>((C7-C2)/5)+C4</f>
        <v>30545</v>
      </c>
      <c r="D5" s="1">
        <f t="shared" ref="D5:F5" si="3">((D7-D2)/5)+D4</f>
        <v>25257</v>
      </c>
      <c r="E5" s="1">
        <f t="shared" si="2"/>
        <v>55802</v>
      </c>
      <c r="F5" s="1">
        <f t="shared" si="3"/>
        <v>2926</v>
      </c>
    </row>
    <row r="6" spans="1:6" x14ac:dyDescent="0.25">
      <c r="A6" t="s">
        <v>3</v>
      </c>
      <c r="B6">
        <v>1979</v>
      </c>
      <c r="C6" s="1">
        <f>((C7-C2)/5)+C5</f>
        <v>30558</v>
      </c>
      <c r="D6" s="1">
        <f t="shared" ref="D6:F6" si="4">((D7-D2)/5)+D5</f>
        <v>25790</v>
      </c>
      <c r="E6" s="1">
        <f t="shared" si="2"/>
        <v>56348</v>
      </c>
      <c r="F6" s="1">
        <f t="shared" si="4"/>
        <v>2905</v>
      </c>
    </row>
    <row r="7" spans="1:6" x14ac:dyDescent="0.25">
      <c r="A7" t="s">
        <v>3</v>
      </c>
      <c r="B7">
        <v>1980</v>
      </c>
      <c r="C7">
        <v>30571</v>
      </c>
      <c r="D7">
        <v>26323</v>
      </c>
      <c r="E7">
        <v>56894</v>
      </c>
      <c r="F7">
        <v>2884</v>
      </c>
    </row>
    <row r="8" spans="1:6" x14ac:dyDescent="0.25">
      <c r="A8" t="s">
        <v>3</v>
      </c>
      <c r="B8">
        <v>1981</v>
      </c>
      <c r="C8" s="1">
        <f>((C12-C7)/5)+C7</f>
        <v>30911</v>
      </c>
      <c r="D8" s="1">
        <f t="shared" ref="D8:F8" si="5">((D12-D7)/5)+D7</f>
        <v>27005.8</v>
      </c>
      <c r="E8" s="1">
        <f>D8+C8</f>
        <v>57916.800000000003</v>
      </c>
      <c r="F8" s="1">
        <f t="shared" si="5"/>
        <v>3232</v>
      </c>
    </row>
    <row r="9" spans="1:6" x14ac:dyDescent="0.25">
      <c r="A9" t="s">
        <v>3</v>
      </c>
      <c r="B9">
        <v>1982</v>
      </c>
      <c r="C9" s="1">
        <f>((C12-C7)/5)+C8</f>
        <v>31251</v>
      </c>
      <c r="D9" s="1">
        <f t="shared" ref="D9:F9" si="6">((D12-D7)/5)+D8</f>
        <v>27688.6</v>
      </c>
      <c r="E9" s="1">
        <f t="shared" ref="E9:E11" si="7">D9+C9</f>
        <v>58939.6</v>
      </c>
      <c r="F9" s="1">
        <f t="shared" si="6"/>
        <v>3580</v>
      </c>
    </row>
    <row r="10" spans="1:6" x14ac:dyDescent="0.25">
      <c r="A10" t="s">
        <v>3</v>
      </c>
      <c r="B10">
        <v>1983</v>
      </c>
      <c r="C10" s="1">
        <f>((C12-C7)/5)+C9</f>
        <v>31591</v>
      </c>
      <c r="D10" s="1">
        <f t="shared" ref="D10:F10" si="8">((D12-D7)/5)+D9</f>
        <v>28371.399999999998</v>
      </c>
      <c r="E10" s="1">
        <f t="shared" si="7"/>
        <v>59962.399999999994</v>
      </c>
      <c r="F10" s="1">
        <f t="shared" si="8"/>
        <v>3928</v>
      </c>
    </row>
    <row r="11" spans="1:6" x14ac:dyDescent="0.25">
      <c r="A11" t="s">
        <v>3</v>
      </c>
      <c r="B11">
        <v>1984</v>
      </c>
      <c r="C11" s="1">
        <f>((C12-C7)/5)+C10</f>
        <v>31931</v>
      </c>
      <c r="D11" s="1">
        <f t="shared" ref="D11:F11" si="9">((D12-D7)/5)+D10</f>
        <v>29054.199999999997</v>
      </c>
      <c r="E11" s="1">
        <f t="shared" si="7"/>
        <v>60985.2</v>
      </c>
      <c r="F11" s="1">
        <f t="shared" si="9"/>
        <v>4276</v>
      </c>
    </row>
    <row r="12" spans="1:6" x14ac:dyDescent="0.25">
      <c r="A12" t="s">
        <v>3</v>
      </c>
      <c r="B12">
        <v>1985</v>
      </c>
      <c r="C12">
        <v>32271</v>
      </c>
      <c r="D12">
        <v>29737</v>
      </c>
      <c r="E12">
        <v>62008</v>
      </c>
      <c r="F12">
        <v>4624</v>
      </c>
    </row>
    <row r="13" spans="1:6" x14ac:dyDescent="0.25">
      <c r="A13" t="s">
        <v>3</v>
      </c>
      <c r="B13">
        <v>1986</v>
      </c>
      <c r="C13">
        <v>32571</v>
      </c>
      <c r="D13">
        <v>30018</v>
      </c>
      <c r="E13">
        <v>62589</v>
      </c>
      <c r="F13">
        <v>4859</v>
      </c>
    </row>
    <row r="14" spans="1:6" x14ac:dyDescent="0.25">
      <c r="A14" t="s">
        <v>3</v>
      </c>
      <c r="B14">
        <v>1987</v>
      </c>
      <c r="C14">
        <v>32566</v>
      </c>
      <c r="D14">
        <v>30356</v>
      </c>
      <c r="E14">
        <v>62922</v>
      </c>
      <c r="F14">
        <v>5058</v>
      </c>
    </row>
    <row r="15" spans="1:6" x14ac:dyDescent="0.25">
      <c r="A15" t="s">
        <v>3</v>
      </c>
      <c r="B15">
        <v>1988</v>
      </c>
      <c r="C15">
        <v>32906</v>
      </c>
      <c r="D15">
        <v>30927</v>
      </c>
      <c r="E15">
        <v>63833</v>
      </c>
      <c r="F15">
        <v>5313</v>
      </c>
    </row>
    <row r="16" spans="1:6" x14ac:dyDescent="0.25">
      <c r="A16" t="s">
        <v>3</v>
      </c>
      <c r="B16">
        <v>1989</v>
      </c>
      <c r="C16">
        <v>33344</v>
      </c>
      <c r="D16">
        <v>31214</v>
      </c>
      <c r="E16">
        <v>64558</v>
      </c>
      <c r="F16">
        <v>5674</v>
      </c>
    </row>
    <row r="17" spans="1:6" x14ac:dyDescent="0.25">
      <c r="A17" t="s">
        <v>3</v>
      </c>
      <c r="B17">
        <v>1990</v>
      </c>
      <c r="C17">
        <v>33830</v>
      </c>
      <c r="D17">
        <v>31726</v>
      </c>
      <c r="E17">
        <v>65556</v>
      </c>
      <c r="F17">
        <v>5691</v>
      </c>
    </row>
    <row r="18" spans="1:6" x14ac:dyDescent="0.25">
      <c r="A18" t="s">
        <v>3</v>
      </c>
      <c r="B18">
        <v>1991</v>
      </c>
      <c r="C18">
        <v>33010</v>
      </c>
      <c r="D18">
        <v>30752</v>
      </c>
      <c r="E18">
        <v>63762</v>
      </c>
      <c r="F18">
        <v>5992</v>
      </c>
    </row>
    <row r="19" spans="1:6" x14ac:dyDescent="0.25">
      <c r="A19" t="s">
        <v>3</v>
      </c>
      <c r="B19">
        <v>1992</v>
      </c>
      <c r="C19">
        <v>31251</v>
      </c>
      <c r="D19">
        <v>29473</v>
      </c>
      <c r="E19">
        <v>60724</v>
      </c>
      <c r="F19">
        <v>5854</v>
      </c>
    </row>
    <row r="20" spans="1:6" x14ac:dyDescent="0.25">
      <c r="A20" t="s">
        <v>3</v>
      </c>
      <c r="B20">
        <v>1993</v>
      </c>
      <c r="C20">
        <v>28939</v>
      </c>
      <c r="D20">
        <v>27681</v>
      </c>
      <c r="E20">
        <v>56620</v>
      </c>
      <c r="F20">
        <v>5782</v>
      </c>
    </row>
    <row r="21" spans="1:6" x14ac:dyDescent="0.25">
      <c r="A21" t="s">
        <v>3</v>
      </c>
      <c r="B21">
        <v>1994</v>
      </c>
      <c r="C21">
        <v>29828</v>
      </c>
      <c r="D21">
        <v>27419</v>
      </c>
      <c r="E21">
        <v>57247</v>
      </c>
      <c r="F21">
        <v>5964</v>
      </c>
    </row>
    <row r="22" spans="1:6" x14ac:dyDescent="0.25">
      <c r="A22" t="s">
        <v>3</v>
      </c>
      <c r="B22">
        <v>1995</v>
      </c>
      <c r="C22">
        <v>30089</v>
      </c>
      <c r="D22">
        <v>27177</v>
      </c>
      <c r="E22">
        <v>57266</v>
      </c>
      <c r="F22">
        <v>6071</v>
      </c>
    </row>
    <row r="23" spans="1:6" x14ac:dyDescent="0.25">
      <c r="A23" t="s">
        <v>3</v>
      </c>
      <c r="B23">
        <v>1996</v>
      </c>
      <c r="C23">
        <v>30076</v>
      </c>
      <c r="D23">
        <v>26943</v>
      </c>
      <c r="E23">
        <v>57019</v>
      </c>
      <c r="F23">
        <v>6631</v>
      </c>
    </row>
    <row r="24" spans="1:6" x14ac:dyDescent="0.25">
      <c r="A24" t="s">
        <v>3</v>
      </c>
      <c r="B24">
        <v>1997</v>
      </c>
      <c r="C24">
        <v>30351</v>
      </c>
      <c r="D24">
        <v>26608</v>
      </c>
      <c r="E24">
        <v>56959</v>
      </c>
      <c r="F24">
        <v>6508</v>
      </c>
    </row>
    <row r="25" spans="1:6" x14ac:dyDescent="0.25">
      <c r="A25" t="s">
        <v>3</v>
      </c>
      <c r="B25">
        <v>1998</v>
      </c>
      <c r="C25">
        <v>31393</v>
      </c>
      <c r="D25">
        <v>27437</v>
      </c>
      <c r="E25">
        <v>58830</v>
      </c>
      <c r="F25">
        <v>7373</v>
      </c>
    </row>
    <row r="26" spans="1:6" x14ac:dyDescent="0.25">
      <c r="A26" t="s">
        <v>3</v>
      </c>
      <c r="B26">
        <v>1999</v>
      </c>
      <c r="C26">
        <v>31788</v>
      </c>
      <c r="D26">
        <v>27736</v>
      </c>
      <c r="E26">
        <v>59524</v>
      </c>
      <c r="F26">
        <v>7724</v>
      </c>
    </row>
    <row r="27" spans="1:6" x14ac:dyDescent="0.25">
      <c r="A27" t="s">
        <v>3</v>
      </c>
      <c r="B27">
        <v>2000</v>
      </c>
      <c r="C27">
        <v>32705</v>
      </c>
      <c r="D27">
        <v>28492</v>
      </c>
      <c r="E27">
        <v>61197</v>
      </c>
      <c r="F27">
        <v>7881</v>
      </c>
    </row>
    <row r="28" spans="1:6" x14ac:dyDescent="0.25">
      <c r="A28" t="s">
        <v>3</v>
      </c>
      <c r="B28">
        <v>2001</v>
      </c>
      <c r="C28">
        <v>32543</v>
      </c>
      <c r="D28">
        <v>29195</v>
      </c>
      <c r="E28">
        <v>61738</v>
      </c>
      <c r="F28">
        <v>7991</v>
      </c>
    </row>
    <row r="29" spans="1:6" x14ac:dyDescent="0.25">
      <c r="A29" t="s">
        <v>3</v>
      </c>
      <c r="B29">
        <v>2002</v>
      </c>
      <c r="C29">
        <v>32977</v>
      </c>
      <c r="D29">
        <v>29552</v>
      </c>
      <c r="E29">
        <v>62529</v>
      </c>
      <c r="F29">
        <v>7918</v>
      </c>
    </row>
    <row r="30" spans="1:6" x14ac:dyDescent="0.25">
      <c r="A30" t="s">
        <v>3</v>
      </c>
      <c r="B30">
        <v>2003</v>
      </c>
      <c r="C30">
        <v>32347</v>
      </c>
      <c r="D30">
        <v>29076</v>
      </c>
      <c r="E30">
        <v>61423</v>
      </c>
      <c r="F30">
        <v>7749</v>
      </c>
    </row>
    <row r="31" spans="1:6" x14ac:dyDescent="0.25">
      <c r="A31" t="s">
        <v>3</v>
      </c>
      <c r="B31">
        <v>2004</v>
      </c>
      <c r="C31">
        <v>32862</v>
      </c>
      <c r="D31">
        <v>29288</v>
      </c>
      <c r="E31">
        <v>62150</v>
      </c>
      <c r="F31">
        <v>8575</v>
      </c>
    </row>
    <row r="32" spans="1:6" x14ac:dyDescent="0.25">
      <c r="A32" t="s">
        <v>3</v>
      </c>
      <c r="B32">
        <v>2005</v>
      </c>
      <c r="C32">
        <v>32778</v>
      </c>
      <c r="D32">
        <v>29334</v>
      </c>
      <c r="E32">
        <v>62112</v>
      </c>
      <c r="F32">
        <v>8744</v>
      </c>
    </row>
    <row r="33" spans="1:6" x14ac:dyDescent="0.25">
      <c r="A33" t="s">
        <v>3</v>
      </c>
      <c r="B33">
        <v>2006</v>
      </c>
      <c r="C33">
        <v>33582</v>
      </c>
      <c r="D33">
        <v>30024</v>
      </c>
      <c r="E33">
        <v>63606</v>
      </c>
      <c r="F33">
        <v>8846</v>
      </c>
    </row>
    <row r="34" spans="1:6" x14ac:dyDescent="0.25">
      <c r="A34" t="s">
        <v>3</v>
      </c>
      <c r="B34">
        <v>2007</v>
      </c>
      <c r="C34">
        <v>34739</v>
      </c>
      <c r="D34">
        <v>30715</v>
      </c>
      <c r="E34">
        <v>65454</v>
      </c>
      <c r="F34">
        <v>9710</v>
      </c>
    </row>
    <row r="35" spans="1:6" x14ac:dyDescent="0.25">
      <c r="A35" t="s">
        <v>3</v>
      </c>
      <c r="B35">
        <v>2008</v>
      </c>
      <c r="C35">
        <v>35092</v>
      </c>
      <c r="D35">
        <v>30665</v>
      </c>
      <c r="E35">
        <v>65757</v>
      </c>
      <c r="F35">
        <v>9866</v>
      </c>
    </row>
    <row r="36" spans="1:6" x14ac:dyDescent="0.25">
      <c r="A36" t="s">
        <v>3</v>
      </c>
      <c r="B36">
        <v>2009</v>
      </c>
      <c r="C36">
        <v>34127</v>
      </c>
      <c r="D36">
        <v>30323</v>
      </c>
      <c r="E36">
        <v>64450</v>
      </c>
      <c r="F36">
        <v>9556</v>
      </c>
    </row>
    <row r="37" spans="1:6" x14ac:dyDescent="0.25">
      <c r="A37" t="s">
        <v>3</v>
      </c>
      <c r="B37">
        <v>2010</v>
      </c>
      <c r="C37">
        <v>35022</v>
      </c>
      <c r="D37">
        <v>31367</v>
      </c>
      <c r="E37">
        <v>66389</v>
      </c>
      <c r="F37">
        <v>10265</v>
      </c>
    </row>
    <row r="38" spans="1:6" x14ac:dyDescent="0.25">
      <c r="A38" t="s">
        <v>3</v>
      </c>
      <c r="B38">
        <v>2011</v>
      </c>
      <c r="C38">
        <v>36049</v>
      </c>
      <c r="D38">
        <v>31636</v>
      </c>
      <c r="E38">
        <v>67685</v>
      </c>
      <c r="F38">
        <v>10268</v>
      </c>
    </row>
    <row r="39" spans="1:6" x14ac:dyDescent="0.25">
      <c r="A39" t="s">
        <v>3</v>
      </c>
      <c r="B39">
        <v>2012</v>
      </c>
      <c r="C39">
        <v>36475</v>
      </c>
      <c r="D39">
        <v>32180</v>
      </c>
      <c r="E39">
        <v>68655</v>
      </c>
      <c r="F39">
        <v>10336</v>
      </c>
    </row>
    <row r="40" spans="1:6" x14ac:dyDescent="0.25">
      <c r="A40" t="s">
        <v>3</v>
      </c>
      <c r="B40">
        <v>2013</v>
      </c>
      <c r="C40">
        <v>37056</v>
      </c>
      <c r="D40">
        <v>32976</v>
      </c>
      <c r="E40">
        <v>70032</v>
      </c>
      <c r="F40">
        <v>10671</v>
      </c>
    </row>
    <row r="41" spans="1:6" x14ac:dyDescent="0.25">
      <c r="A41" t="s">
        <v>3</v>
      </c>
      <c r="B41">
        <v>2014</v>
      </c>
      <c r="C41">
        <v>37672</v>
      </c>
      <c r="D41">
        <v>33388</v>
      </c>
      <c r="E41">
        <v>71060</v>
      </c>
      <c r="F41">
        <v>10597</v>
      </c>
    </row>
    <row r="42" spans="1:6" x14ac:dyDescent="0.25">
      <c r="A42" t="s">
        <v>3</v>
      </c>
      <c r="B42">
        <v>2015</v>
      </c>
      <c r="C42">
        <v>38239</v>
      </c>
      <c r="D42">
        <v>34289</v>
      </c>
      <c r="E42">
        <v>72528</v>
      </c>
      <c r="F42">
        <v>10579</v>
      </c>
    </row>
    <row r="43" spans="1:6" x14ac:dyDescent="0.25">
      <c r="A43" t="s">
        <v>3</v>
      </c>
      <c r="B43">
        <v>2016</v>
      </c>
      <c r="C43">
        <v>39557</v>
      </c>
      <c r="D43">
        <v>35420</v>
      </c>
      <c r="E43">
        <v>74977</v>
      </c>
      <c r="F43">
        <v>11235</v>
      </c>
    </row>
    <row r="44" spans="1:6" x14ac:dyDescent="0.25">
      <c r="A44" t="s">
        <v>3</v>
      </c>
      <c r="B44">
        <v>2017</v>
      </c>
      <c r="C44">
        <v>40609</v>
      </c>
      <c r="D44">
        <v>36031</v>
      </c>
      <c r="E44">
        <v>76640</v>
      </c>
      <c r="F44">
        <v>11626</v>
      </c>
    </row>
    <row r="45" spans="1:6" x14ac:dyDescent="0.25">
      <c r="A45" t="s">
        <v>3</v>
      </c>
      <c r="B45">
        <v>2018</v>
      </c>
      <c r="C45">
        <v>41257</v>
      </c>
      <c r="D45">
        <v>36618</v>
      </c>
      <c r="E45">
        <v>77875</v>
      </c>
      <c r="F45">
        <v>11626</v>
      </c>
    </row>
    <row r="46" spans="1:6" x14ac:dyDescent="0.25">
      <c r="A46" t="s">
        <v>3</v>
      </c>
      <c r="B46">
        <v>2019</v>
      </c>
      <c r="C46">
        <v>41992</v>
      </c>
      <c r="D46">
        <v>38034</v>
      </c>
      <c r="E46">
        <v>80026</v>
      </c>
      <c r="F46">
        <v>10912</v>
      </c>
    </row>
    <row r="47" spans="1:6" x14ac:dyDescent="0.25">
      <c r="A47" t="s">
        <v>3</v>
      </c>
      <c r="B47">
        <v>2020</v>
      </c>
      <c r="C47">
        <v>41608</v>
      </c>
      <c r="D47">
        <v>37679</v>
      </c>
      <c r="E47">
        <v>79287</v>
      </c>
      <c r="F47">
        <v>11080</v>
      </c>
    </row>
    <row r="48" spans="1:6" x14ac:dyDescent="0.25">
      <c r="A48" t="s">
        <v>3</v>
      </c>
      <c r="B48">
        <v>2021</v>
      </c>
      <c r="C48">
        <v>42513</v>
      </c>
      <c r="D48">
        <v>38420</v>
      </c>
      <c r="E48">
        <v>80933</v>
      </c>
      <c r="F48">
        <v>11792</v>
      </c>
    </row>
    <row r="49" spans="1:6" x14ac:dyDescent="0.25">
      <c r="A49" t="s">
        <v>3</v>
      </c>
      <c r="B49">
        <v>2022</v>
      </c>
      <c r="C49">
        <v>43688</v>
      </c>
      <c r="D49">
        <v>39471</v>
      </c>
      <c r="E49">
        <v>83159</v>
      </c>
      <c r="F49">
        <v>12430</v>
      </c>
    </row>
    <row r="50" spans="1:6" x14ac:dyDescent="0.25">
      <c r="A50" t="s">
        <v>3</v>
      </c>
      <c r="B50">
        <v>2023</v>
      </c>
      <c r="C50">
        <v>44233</v>
      </c>
      <c r="D50">
        <v>40102</v>
      </c>
      <c r="E50">
        <v>84335</v>
      </c>
      <c r="F50">
        <v>12322</v>
      </c>
    </row>
    <row r="51" spans="1:6" x14ac:dyDescent="0.25">
      <c r="A51" t="s">
        <v>3</v>
      </c>
      <c r="B51">
        <v>2024</v>
      </c>
      <c r="C51">
        <v>44256</v>
      </c>
      <c r="D51">
        <v>39975</v>
      </c>
      <c r="E51">
        <v>84231</v>
      </c>
      <c r="F51">
        <v>12415</v>
      </c>
    </row>
    <row r="52" spans="1:6" x14ac:dyDescent="0.25">
      <c r="A52" t="s">
        <v>4</v>
      </c>
      <c r="B52">
        <v>1975</v>
      </c>
      <c r="C52">
        <v>31231</v>
      </c>
      <c r="D52">
        <v>23890</v>
      </c>
      <c r="E52">
        <v>55121</v>
      </c>
      <c r="F52" s="9">
        <v>3946</v>
      </c>
    </row>
    <row r="53" spans="1:6" x14ac:dyDescent="0.25">
      <c r="A53" t="s">
        <v>4</v>
      </c>
      <c r="B53">
        <v>1976</v>
      </c>
      <c r="C53" s="1">
        <f>((C57-C52)/5)+C52</f>
        <v>31447.8</v>
      </c>
      <c r="D53" s="1">
        <f t="shared" ref="D53" si="10">((D57-D52)/5)+D52</f>
        <v>24557.8</v>
      </c>
      <c r="E53" s="1">
        <f>D53+C53</f>
        <v>56005.599999999999</v>
      </c>
      <c r="F53" s="1">
        <v>4263.6000000000013</v>
      </c>
    </row>
    <row r="54" spans="1:6" x14ac:dyDescent="0.25">
      <c r="A54" t="s">
        <v>4</v>
      </c>
      <c r="B54">
        <v>1977</v>
      </c>
      <c r="C54" s="1">
        <f>((C57-C52)/5)+C53</f>
        <v>31664.6</v>
      </c>
      <c r="D54" s="1">
        <f t="shared" ref="D54" si="11">((D57-D52)/5)+D53</f>
        <v>25225.599999999999</v>
      </c>
      <c r="E54" s="1">
        <f t="shared" ref="E54:E56" si="12">D54+C54</f>
        <v>56890.2</v>
      </c>
      <c r="F54" s="1">
        <v>4581.1999999999953</v>
      </c>
    </row>
    <row r="55" spans="1:6" x14ac:dyDescent="0.25">
      <c r="A55" t="s">
        <v>4</v>
      </c>
      <c r="B55">
        <v>1978</v>
      </c>
      <c r="C55" s="1">
        <f>((C57-C52)/5)+C54</f>
        <v>31881.399999999998</v>
      </c>
      <c r="D55" s="1">
        <f t="shared" ref="D55" si="13">((D57-D52)/5)+D54</f>
        <v>25893.399999999998</v>
      </c>
      <c r="E55" s="1">
        <f t="shared" si="12"/>
        <v>57774.799999999996</v>
      </c>
      <c r="F55" s="1">
        <v>4898.7999999999965</v>
      </c>
    </row>
    <row r="56" spans="1:6" x14ac:dyDescent="0.25">
      <c r="A56" t="s">
        <v>4</v>
      </c>
      <c r="B56">
        <v>1979</v>
      </c>
      <c r="C56" s="1">
        <f>((C57-C52)/5)+C55</f>
        <v>32098.199999999997</v>
      </c>
      <c r="D56" s="1">
        <f t="shared" ref="D56" si="14">((D57-D52)/5)+D55</f>
        <v>26561.199999999997</v>
      </c>
      <c r="E56" s="1">
        <f t="shared" si="12"/>
        <v>58659.399999999994</v>
      </c>
      <c r="F56" s="1">
        <v>5216.3999999999905</v>
      </c>
    </row>
    <row r="57" spans="1:6" x14ac:dyDescent="0.25">
      <c r="A57" t="s">
        <v>4</v>
      </c>
      <c r="B57">
        <v>1980</v>
      </c>
      <c r="C57">
        <v>32315</v>
      </c>
      <c r="D57">
        <v>27229</v>
      </c>
      <c r="E57">
        <v>59544</v>
      </c>
      <c r="F57" s="9">
        <v>5534</v>
      </c>
    </row>
    <row r="58" spans="1:6" x14ac:dyDescent="0.25">
      <c r="A58" t="s">
        <v>4</v>
      </c>
      <c r="B58">
        <v>1981</v>
      </c>
      <c r="C58" s="1">
        <f>((C62-C57)/5)+C57</f>
        <v>32703.8</v>
      </c>
      <c r="D58" s="1">
        <f t="shared" ref="D58" si="15">((D62-D57)/5)+D57</f>
        <v>28012</v>
      </c>
      <c r="E58" s="1">
        <f>D58+C58</f>
        <v>60715.8</v>
      </c>
      <c r="F58" s="1">
        <v>6031.0000000000027</v>
      </c>
    </row>
    <row r="59" spans="1:6" x14ac:dyDescent="0.25">
      <c r="A59" t="s">
        <v>4</v>
      </c>
      <c r="B59">
        <v>1982</v>
      </c>
      <c r="C59" s="1">
        <f>((C62-C57)/5)+C58</f>
        <v>33092.6</v>
      </c>
      <c r="D59" s="1">
        <f t="shared" ref="D59" si="16">((D62-D57)/5)+D58</f>
        <v>28795</v>
      </c>
      <c r="E59" s="1">
        <f t="shared" ref="E59:E61" si="17">D59+C59</f>
        <v>61887.6</v>
      </c>
      <c r="F59" s="1">
        <v>6527.9999999999982</v>
      </c>
    </row>
    <row r="60" spans="1:6" x14ac:dyDescent="0.25">
      <c r="A60" t="s">
        <v>4</v>
      </c>
      <c r="B60">
        <v>1983</v>
      </c>
      <c r="C60" s="1">
        <f>((C62-C57)/5)+C59</f>
        <v>33481.4</v>
      </c>
      <c r="D60" s="1">
        <f t="shared" ref="D60" si="18">((D62-D57)/5)+D59</f>
        <v>29578</v>
      </c>
      <c r="E60" s="1">
        <f t="shared" si="17"/>
        <v>63059.4</v>
      </c>
      <c r="F60" s="1">
        <v>7025.0000000000009</v>
      </c>
    </row>
    <row r="61" spans="1:6" x14ac:dyDescent="0.25">
      <c r="A61" t="s">
        <v>4</v>
      </c>
      <c r="B61">
        <v>1984</v>
      </c>
      <c r="C61" s="1">
        <f>((C62-C57)/5)+C60</f>
        <v>33870.200000000004</v>
      </c>
      <c r="D61" s="1">
        <f t="shared" ref="D61" si="19">((D62-D57)/5)+D60</f>
        <v>30361</v>
      </c>
      <c r="E61" s="1">
        <f t="shared" si="17"/>
        <v>64231.200000000004</v>
      </c>
      <c r="F61" s="1">
        <v>7522.0000000000036</v>
      </c>
    </row>
    <row r="62" spans="1:6" x14ac:dyDescent="0.25">
      <c r="A62" t="s">
        <v>4</v>
      </c>
      <c r="B62">
        <v>1985</v>
      </c>
      <c r="C62">
        <v>34259</v>
      </c>
      <c r="D62">
        <v>31144</v>
      </c>
      <c r="E62">
        <v>65403</v>
      </c>
      <c r="F62" s="9">
        <v>8019</v>
      </c>
    </row>
    <row r="63" spans="1:6" x14ac:dyDescent="0.25">
      <c r="A63" t="s">
        <v>4</v>
      </c>
      <c r="B63">
        <v>1986</v>
      </c>
      <c r="C63">
        <v>34837</v>
      </c>
      <c r="D63">
        <v>31394</v>
      </c>
      <c r="E63">
        <v>66231</v>
      </c>
      <c r="F63" s="9">
        <v>8501</v>
      </c>
    </row>
    <row r="64" spans="1:6" x14ac:dyDescent="0.25">
      <c r="A64" t="s">
        <v>4</v>
      </c>
      <c r="B64">
        <v>1987</v>
      </c>
      <c r="C64">
        <v>34934</v>
      </c>
      <c r="D64">
        <v>32035</v>
      </c>
      <c r="E64">
        <v>66969</v>
      </c>
      <c r="F64" s="9">
        <v>9105</v>
      </c>
    </row>
    <row r="65" spans="1:6" x14ac:dyDescent="0.25">
      <c r="A65" t="s">
        <v>4</v>
      </c>
      <c r="B65">
        <v>1988</v>
      </c>
      <c r="C65">
        <v>35528</v>
      </c>
      <c r="D65">
        <v>32729</v>
      </c>
      <c r="E65">
        <v>68257</v>
      </c>
      <c r="F65" s="9">
        <v>9737</v>
      </c>
    </row>
    <row r="66" spans="1:6" x14ac:dyDescent="0.25">
      <c r="A66" t="s">
        <v>4</v>
      </c>
      <c r="B66">
        <v>1989</v>
      </c>
      <c r="C66">
        <v>35725</v>
      </c>
      <c r="D66">
        <v>32903</v>
      </c>
      <c r="E66">
        <v>68628</v>
      </c>
      <c r="F66" s="9">
        <v>9744</v>
      </c>
    </row>
    <row r="67" spans="1:6" x14ac:dyDescent="0.25">
      <c r="A67" t="s">
        <v>4</v>
      </c>
      <c r="B67">
        <v>1990</v>
      </c>
      <c r="C67">
        <v>36652</v>
      </c>
      <c r="D67">
        <v>33490</v>
      </c>
      <c r="E67">
        <v>70142</v>
      </c>
      <c r="F67" s="9">
        <v>10277</v>
      </c>
    </row>
    <row r="68" spans="1:6" x14ac:dyDescent="0.25">
      <c r="A68" t="s">
        <v>4</v>
      </c>
      <c r="B68">
        <v>1991</v>
      </c>
      <c r="C68">
        <v>35904</v>
      </c>
      <c r="D68">
        <v>32485</v>
      </c>
      <c r="E68">
        <v>68389</v>
      </c>
      <c r="F68" s="9">
        <v>10619</v>
      </c>
    </row>
    <row r="69" spans="1:6" x14ac:dyDescent="0.25">
      <c r="A69" t="s">
        <v>4</v>
      </c>
      <c r="B69">
        <v>1992</v>
      </c>
      <c r="C69">
        <v>33790</v>
      </c>
      <c r="D69">
        <v>31134</v>
      </c>
      <c r="E69">
        <v>64924</v>
      </c>
      <c r="F69" s="9">
        <v>10054</v>
      </c>
    </row>
    <row r="70" spans="1:6" x14ac:dyDescent="0.25">
      <c r="A70" t="s">
        <v>4</v>
      </c>
      <c r="B70">
        <v>1993</v>
      </c>
      <c r="C70">
        <v>31181</v>
      </c>
      <c r="D70">
        <v>29258</v>
      </c>
      <c r="E70">
        <v>60439</v>
      </c>
      <c r="F70">
        <v>9601</v>
      </c>
    </row>
    <row r="71" spans="1:6" x14ac:dyDescent="0.25">
      <c r="A71" t="s">
        <v>4</v>
      </c>
      <c r="B71">
        <v>1994</v>
      </c>
      <c r="C71">
        <v>32356</v>
      </c>
      <c r="D71">
        <v>29070</v>
      </c>
      <c r="E71">
        <v>61426</v>
      </c>
      <c r="F71">
        <v>10143</v>
      </c>
    </row>
    <row r="72" spans="1:6" x14ac:dyDescent="0.25">
      <c r="A72" t="s">
        <v>4</v>
      </c>
      <c r="B72">
        <v>1995</v>
      </c>
      <c r="C72">
        <v>32673</v>
      </c>
      <c r="D72">
        <v>28852</v>
      </c>
      <c r="E72">
        <v>61525</v>
      </c>
      <c r="F72">
        <v>10330</v>
      </c>
    </row>
    <row r="73" spans="1:6" x14ac:dyDescent="0.25">
      <c r="A73" t="s">
        <v>4</v>
      </c>
      <c r="B73">
        <v>1996</v>
      </c>
      <c r="C73">
        <v>32221</v>
      </c>
      <c r="D73">
        <v>28436</v>
      </c>
      <c r="E73">
        <v>60657</v>
      </c>
      <c r="F73">
        <v>10269</v>
      </c>
    </row>
    <row r="74" spans="1:6" x14ac:dyDescent="0.25">
      <c r="A74" t="s">
        <v>4</v>
      </c>
      <c r="B74">
        <v>1997</v>
      </c>
      <c r="C74">
        <v>32693</v>
      </c>
      <c r="D74">
        <v>28256</v>
      </c>
      <c r="E74">
        <v>60949</v>
      </c>
      <c r="F74">
        <v>10498</v>
      </c>
    </row>
    <row r="75" spans="1:6" x14ac:dyDescent="0.25">
      <c r="A75" t="s">
        <v>4</v>
      </c>
      <c r="B75">
        <v>1998</v>
      </c>
      <c r="C75">
        <v>33915</v>
      </c>
      <c r="D75">
        <v>29265</v>
      </c>
      <c r="E75">
        <v>63180</v>
      </c>
      <c r="F75">
        <v>11723</v>
      </c>
    </row>
    <row r="76" spans="1:6" x14ac:dyDescent="0.25">
      <c r="A76" t="s">
        <v>4</v>
      </c>
      <c r="B76">
        <v>1999</v>
      </c>
      <c r="C76">
        <v>34412</v>
      </c>
      <c r="D76">
        <v>29866</v>
      </c>
      <c r="E76">
        <v>64278</v>
      </c>
      <c r="F76">
        <v>12478</v>
      </c>
    </row>
    <row r="77" spans="1:6" x14ac:dyDescent="0.25">
      <c r="A77" t="s">
        <v>4</v>
      </c>
      <c r="B77">
        <v>2000</v>
      </c>
      <c r="C77">
        <v>35409</v>
      </c>
      <c r="D77">
        <v>30793</v>
      </c>
      <c r="E77">
        <v>66202</v>
      </c>
      <c r="F77">
        <v>12886</v>
      </c>
    </row>
    <row r="78" spans="1:6" x14ac:dyDescent="0.25">
      <c r="A78" t="s">
        <v>4</v>
      </c>
      <c r="B78">
        <v>2001</v>
      </c>
      <c r="C78">
        <v>35395</v>
      </c>
      <c r="D78">
        <v>31590</v>
      </c>
      <c r="E78">
        <v>66985</v>
      </c>
      <c r="F78">
        <v>13238</v>
      </c>
    </row>
    <row r="79" spans="1:6" x14ac:dyDescent="0.25">
      <c r="A79" t="s">
        <v>4</v>
      </c>
      <c r="B79">
        <v>2002</v>
      </c>
      <c r="C79">
        <v>36527</v>
      </c>
      <c r="D79">
        <v>31952</v>
      </c>
      <c r="E79">
        <v>68479</v>
      </c>
      <c r="F79">
        <v>13868</v>
      </c>
    </row>
    <row r="80" spans="1:6" x14ac:dyDescent="0.25">
      <c r="A80" t="s">
        <v>4</v>
      </c>
      <c r="B80">
        <v>2003</v>
      </c>
      <c r="C80">
        <v>35954</v>
      </c>
      <c r="D80">
        <v>31655</v>
      </c>
      <c r="E80">
        <v>67609</v>
      </c>
      <c r="F80">
        <v>13935</v>
      </c>
    </row>
    <row r="81" spans="1:6" x14ac:dyDescent="0.25">
      <c r="A81" t="s">
        <v>4</v>
      </c>
      <c r="B81">
        <v>2004</v>
      </c>
      <c r="C81">
        <v>35986</v>
      </c>
      <c r="D81">
        <v>31842</v>
      </c>
      <c r="E81">
        <v>67828</v>
      </c>
      <c r="F81">
        <v>14253</v>
      </c>
    </row>
    <row r="82" spans="1:6" x14ac:dyDescent="0.25">
      <c r="A82" t="s">
        <v>4</v>
      </c>
      <c r="B82">
        <v>2005</v>
      </c>
      <c r="C82">
        <v>35673</v>
      </c>
      <c r="D82">
        <v>32229</v>
      </c>
      <c r="E82">
        <v>67902</v>
      </c>
      <c r="F82">
        <v>14534</v>
      </c>
    </row>
    <row r="83" spans="1:6" x14ac:dyDescent="0.25">
      <c r="A83" t="s">
        <v>4</v>
      </c>
      <c r="B83">
        <v>2006</v>
      </c>
      <c r="C83">
        <v>36471</v>
      </c>
      <c r="D83">
        <v>33103</v>
      </c>
      <c r="E83">
        <v>69574</v>
      </c>
      <c r="F83">
        <v>14814</v>
      </c>
    </row>
    <row r="84" spans="1:6" x14ac:dyDescent="0.25">
      <c r="A84" t="s">
        <v>4</v>
      </c>
      <c r="B84">
        <v>2007</v>
      </c>
      <c r="C84">
        <v>37562</v>
      </c>
      <c r="D84">
        <v>33717</v>
      </c>
      <c r="E84">
        <v>71279</v>
      </c>
      <c r="F84">
        <v>15535</v>
      </c>
    </row>
    <row r="85" spans="1:6" x14ac:dyDescent="0.25">
      <c r="A85" t="s">
        <v>4</v>
      </c>
      <c r="B85">
        <v>2008</v>
      </c>
      <c r="C85">
        <v>38107</v>
      </c>
      <c r="D85">
        <v>33905</v>
      </c>
      <c r="E85">
        <v>72012</v>
      </c>
      <c r="F85">
        <v>16121</v>
      </c>
    </row>
    <row r="86" spans="1:6" x14ac:dyDescent="0.25">
      <c r="A86" t="s">
        <v>4</v>
      </c>
      <c r="B86">
        <v>2009</v>
      </c>
      <c r="C86">
        <v>37410</v>
      </c>
      <c r="D86">
        <v>33679</v>
      </c>
      <c r="E86">
        <v>71089</v>
      </c>
      <c r="F86">
        <v>16195</v>
      </c>
    </row>
    <row r="87" spans="1:6" x14ac:dyDescent="0.25">
      <c r="A87" t="s">
        <v>4</v>
      </c>
      <c r="B87">
        <v>2010</v>
      </c>
      <c r="C87">
        <v>38299</v>
      </c>
      <c r="D87">
        <v>34433</v>
      </c>
      <c r="E87">
        <v>72732</v>
      </c>
      <c r="F87">
        <v>16608</v>
      </c>
    </row>
    <row r="88" spans="1:6" x14ac:dyDescent="0.25">
      <c r="A88" t="s">
        <v>4</v>
      </c>
      <c r="B88">
        <v>2011</v>
      </c>
      <c r="C88">
        <v>39593</v>
      </c>
      <c r="D88">
        <v>34735</v>
      </c>
      <c r="E88">
        <v>74328</v>
      </c>
      <c r="F88">
        <v>16911</v>
      </c>
    </row>
    <row r="89" spans="1:6" x14ac:dyDescent="0.25">
      <c r="A89" t="s">
        <v>4</v>
      </c>
      <c r="B89">
        <v>2012</v>
      </c>
      <c r="C89">
        <v>40214</v>
      </c>
      <c r="D89">
        <v>35518</v>
      </c>
      <c r="E89">
        <v>75732</v>
      </c>
      <c r="F89">
        <v>17413</v>
      </c>
    </row>
    <row r="90" spans="1:6" x14ac:dyDescent="0.25">
      <c r="A90" t="s">
        <v>4</v>
      </c>
      <c r="B90">
        <v>2013</v>
      </c>
      <c r="C90">
        <v>40987</v>
      </c>
      <c r="D90">
        <v>36182</v>
      </c>
      <c r="E90">
        <v>77169</v>
      </c>
      <c r="F90">
        <v>17808</v>
      </c>
    </row>
    <row r="91" spans="1:6" x14ac:dyDescent="0.25">
      <c r="A91" t="s">
        <v>4</v>
      </c>
      <c r="B91">
        <v>2014</v>
      </c>
      <c r="C91">
        <v>41967</v>
      </c>
      <c r="D91">
        <v>37061</v>
      </c>
      <c r="E91">
        <v>79028</v>
      </c>
      <c r="F91">
        <v>18565</v>
      </c>
    </row>
    <row r="92" spans="1:6" x14ac:dyDescent="0.25">
      <c r="A92" t="s">
        <v>4</v>
      </c>
      <c r="B92">
        <v>2015</v>
      </c>
      <c r="C92">
        <v>42693</v>
      </c>
      <c r="D92">
        <v>38179</v>
      </c>
      <c r="E92">
        <v>80872</v>
      </c>
      <c r="F92">
        <v>18923</v>
      </c>
    </row>
    <row r="93" spans="1:6" x14ac:dyDescent="0.25">
      <c r="A93" t="s">
        <v>4</v>
      </c>
      <c r="B93">
        <v>2016</v>
      </c>
      <c r="C93">
        <v>43812</v>
      </c>
      <c r="D93">
        <v>39201</v>
      </c>
      <c r="E93">
        <v>83013</v>
      </c>
      <c r="F93">
        <v>19271</v>
      </c>
    </row>
    <row r="94" spans="1:6" x14ac:dyDescent="0.25">
      <c r="A94" t="s">
        <v>4</v>
      </c>
      <c r="B94">
        <v>2017</v>
      </c>
      <c r="C94">
        <v>44778</v>
      </c>
      <c r="D94">
        <v>39770</v>
      </c>
      <c r="E94">
        <v>84548</v>
      </c>
      <c r="F94">
        <v>19534</v>
      </c>
    </row>
    <row r="95" spans="1:6" x14ac:dyDescent="0.25">
      <c r="A95" t="s">
        <v>4</v>
      </c>
      <c r="B95">
        <v>2018</v>
      </c>
      <c r="C95">
        <v>45797</v>
      </c>
      <c r="D95">
        <v>40569</v>
      </c>
      <c r="E95">
        <v>86366</v>
      </c>
      <c r="F95">
        <v>20117</v>
      </c>
    </row>
    <row r="96" spans="1:6" x14ac:dyDescent="0.25">
      <c r="A96" t="s">
        <v>4</v>
      </c>
      <c r="B96">
        <v>2019</v>
      </c>
      <c r="C96">
        <v>47360</v>
      </c>
      <c r="D96">
        <v>42796</v>
      </c>
      <c r="E96">
        <v>90156</v>
      </c>
      <c r="F96">
        <v>21042</v>
      </c>
    </row>
    <row r="97" spans="1:6" x14ac:dyDescent="0.25">
      <c r="A97" t="s">
        <v>4</v>
      </c>
      <c r="B97">
        <v>2020</v>
      </c>
      <c r="C97">
        <v>47027</v>
      </c>
      <c r="D97">
        <v>42484</v>
      </c>
      <c r="E97">
        <v>89511</v>
      </c>
      <c r="F97">
        <v>21304</v>
      </c>
    </row>
    <row r="98" spans="1:6" x14ac:dyDescent="0.25">
      <c r="A98" t="s">
        <v>4</v>
      </c>
      <c r="B98">
        <v>2021</v>
      </c>
      <c r="C98">
        <v>48029</v>
      </c>
      <c r="D98">
        <v>43529</v>
      </c>
      <c r="E98">
        <v>91558</v>
      </c>
      <c r="F98">
        <v>22417</v>
      </c>
    </row>
    <row r="99" spans="1:6" x14ac:dyDescent="0.25">
      <c r="A99" t="s">
        <v>4</v>
      </c>
      <c r="B99">
        <v>2022</v>
      </c>
      <c r="C99">
        <v>49377</v>
      </c>
      <c r="D99">
        <v>44749</v>
      </c>
      <c r="E99">
        <v>94126</v>
      </c>
      <c r="F99" s="9">
        <v>23397</v>
      </c>
    </row>
    <row r="100" spans="1:6" x14ac:dyDescent="0.25">
      <c r="A100" t="s">
        <v>4</v>
      </c>
      <c r="B100">
        <v>2023</v>
      </c>
      <c r="C100">
        <v>50169</v>
      </c>
      <c r="D100">
        <v>45523</v>
      </c>
      <c r="E100">
        <v>95692</v>
      </c>
      <c r="F100">
        <v>23679</v>
      </c>
    </row>
    <row r="101" spans="1:6" x14ac:dyDescent="0.25">
      <c r="A101" t="s">
        <v>4</v>
      </c>
      <c r="B101">
        <v>2024</v>
      </c>
      <c r="C101">
        <v>49880</v>
      </c>
      <c r="D101">
        <v>45127</v>
      </c>
      <c r="E101">
        <v>95007</v>
      </c>
      <c r="F101">
        <v>23191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A123-17A8-41AB-A1D4-E5FDBE1DC096}">
  <dimension ref="A1:K47"/>
  <sheetViews>
    <sheetView workbookViewId="0"/>
  </sheetViews>
  <sheetFormatPr defaultRowHeight="15" x14ac:dyDescent="0.25"/>
  <cols>
    <col min="2" max="11" width="17.85546875" customWidth="1"/>
  </cols>
  <sheetData>
    <row r="1" spans="1:11" x14ac:dyDescent="0.25">
      <c r="A1" t="s">
        <v>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</row>
    <row r="2" spans="1:11" x14ac:dyDescent="0.25">
      <c r="A2">
        <v>1996</v>
      </c>
      <c r="B2">
        <v>7099</v>
      </c>
      <c r="C2">
        <v>4022</v>
      </c>
      <c r="D2">
        <v>3077</v>
      </c>
      <c r="G2" s="3"/>
      <c r="H2" s="3"/>
      <c r="I2" s="3"/>
      <c r="J2" s="3"/>
      <c r="K2" s="3"/>
    </row>
    <row r="3" spans="1:11" x14ac:dyDescent="0.25">
      <c r="A3">
        <v>1997</v>
      </c>
      <c r="B3">
        <v>6069</v>
      </c>
      <c r="C3">
        <v>3348</v>
      </c>
      <c r="D3">
        <v>2721</v>
      </c>
      <c r="G3" s="3"/>
      <c r="H3" s="3"/>
      <c r="I3" s="3"/>
      <c r="J3" s="3"/>
      <c r="K3" s="3"/>
    </row>
    <row r="4" spans="1:11" x14ac:dyDescent="0.25">
      <c r="A4">
        <v>1998</v>
      </c>
      <c r="B4">
        <v>4965</v>
      </c>
      <c r="C4">
        <v>2842</v>
      </c>
      <c r="D4">
        <v>2123</v>
      </c>
      <c r="G4" s="3"/>
      <c r="H4" s="3"/>
      <c r="I4" s="3"/>
      <c r="J4" s="3"/>
      <c r="K4" s="3"/>
    </row>
    <row r="5" spans="1:11" x14ac:dyDescent="0.25">
      <c r="A5">
        <v>1999</v>
      </c>
      <c r="B5">
        <v>4597</v>
      </c>
      <c r="C5">
        <v>2573</v>
      </c>
      <c r="D5">
        <v>2024</v>
      </c>
      <c r="G5" s="3"/>
      <c r="H5" s="3"/>
      <c r="I5" s="3"/>
      <c r="J5" s="3"/>
      <c r="K5" s="3"/>
    </row>
    <row r="6" spans="1:11" x14ac:dyDescent="0.25">
      <c r="A6">
        <v>2000</v>
      </c>
      <c r="B6">
        <v>3918</v>
      </c>
      <c r="C6">
        <v>2248</v>
      </c>
      <c r="D6">
        <v>1670</v>
      </c>
      <c r="G6" s="3"/>
      <c r="H6" s="3"/>
      <c r="I6" s="3"/>
      <c r="J6" s="3"/>
      <c r="K6" s="3"/>
    </row>
    <row r="7" spans="1:11" x14ac:dyDescent="0.25">
      <c r="A7">
        <v>2001</v>
      </c>
      <c r="B7">
        <v>3831</v>
      </c>
      <c r="C7">
        <v>2193</v>
      </c>
      <c r="D7">
        <v>1638</v>
      </c>
      <c r="G7" s="3"/>
      <c r="H7" s="3"/>
      <c r="I7" s="3"/>
      <c r="J7" s="3"/>
      <c r="K7" s="3"/>
    </row>
    <row r="8" spans="1:11" x14ac:dyDescent="0.25">
      <c r="A8">
        <v>2002</v>
      </c>
      <c r="B8">
        <v>3784</v>
      </c>
      <c r="C8">
        <v>2244</v>
      </c>
      <c r="D8">
        <v>1540</v>
      </c>
      <c r="G8" s="3"/>
      <c r="H8" s="3"/>
      <c r="I8" s="3"/>
      <c r="J8" s="3"/>
      <c r="K8" s="3"/>
    </row>
    <row r="9" spans="1:11" x14ac:dyDescent="0.25">
      <c r="A9">
        <v>2003</v>
      </c>
      <c r="B9">
        <v>4607</v>
      </c>
      <c r="C9">
        <v>2797</v>
      </c>
      <c r="D9">
        <v>1810</v>
      </c>
      <c r="G9" s="3"/>
      <c r="H9" s="3"/>
      <c r="I9" s="3"/>
      <c r="J9" s="3"/>
      <c r="K9" s="3"/>
    </row>
    <row r="10" spans="1:11" x14ac:dyDescent="0.25">
      <c r="A10">
        <v>2004</v>
      </c>
      <c r="B10">
        <v>5206</v>
      </c>
      <c r="C10">
        <v>3052</v>
      </c>
      <c r="D10">
        <v>2154</v>
      </c>
      <c r="G10" s="3"/>
      <c r="H10" s="3"/>
      <c r="I10" s="3"/>
      <c r="J10" s="3"/>
      <c r="K10" s="3"/>
    </row>
    <row r="11" spans="1:11" x14ac:dyDescent="0.25">
      <c r="A11">
        <v>2005</v>
      </c>
      <c r="B11">
        <v>5160</v>
      </c>
      <c r="C11">
        <v>2961</v>
      </c>
      <c r="D11">
        <v>2199</v>
      </c>
      <c r="G11" s="3"/>
      <c r="H11" s="3"/>
      <c r="I11" s="3"/>
      <c r="J11" s="3"/>
      <c r="K11" s="3"/>
    </row>
    <row r="12" spans="1:11" x14ac:dyDescent="0.25">
      <c r="A12">
        <v>2006</v>
      </c>
      <c r="B12" s="7">
        <v>4618</v>
      </c>
      <c r="C12" s="7">
        <v>2550</v>
      </c>
      <c r="D12" s="7">
        <v>2068</v>
      </c>
      <c r="E12" s="7">
        <v>3472</v>
      </c>
      <c r="F12" s="7">
        <v>1146</v>
      </c>
      <c r="G12" s="3">
        <v>7</v>
      </c>
      <c r="H12" s="3">
        <v>7.3</v>
      </c>
      <c r="I12" s="3">
        <v>6.7</v>
      </c>
      <c r="J12" s="3">
        <v>5.8254056139997648</v>
      </c>
      <c r="K12" s="3">
        <v>18.707149853085212</v>
      </c>
    </row>
    <row r="13" spans="1:11" x14ac:dyDescent="0.25">
      <c r="A13">
        <v>2007</v>
      </c>
      <c r="B13" s="7">
        <v>3780</v>
      </c>
      <c r="C13" s="7">
        <v>2121</v>
      </c>
      <c r="D13" s="7">
        <v>1659</v>
      </c>
      <c r="E13" s="7">
        <f>+B13-F13</f>
        <v>2752</v>
      </c>
      <c r="F13" s="7">
        <v>1028</v>
      </c>
      <c r="G13" s="3">
        <v>5.8</v>
      </c>
      <c r="H13" s="3">
        <v>6.2</v>
      </c>
      <c r="I13" s="3">
        <v>5.4</v>
      </c>
      <c r="J13" s="3">
        <v>4.6840958605664484</v>
      </c>
      <c r="K13" s="3">
        <v>16.808371484630477</v>
      </c>
    </row>
    <row r="14" spans="1:11" x14ac:dyDescent="0.25">
      <c r="A14">
        <v>2008</v>
      </c>
      <c r="B14" s="7">
        <v>4035</v>
      </c>
      <c r="C14" s="7">
        <v>2281</v>
      </c>
      <c r="D14" s="7">
        <v>1754</v>
      </c>
      <c r="E14" s="7">
        <f t="shared" ref="E14:E31" si="0">+B14-F14</f>
        <v>2922</v>
      </c>
      <c r="F14" s="7">
        <v>1113</v>
      </c>
      <c r="G14" s="3">
        <v>6.1</v>
      </c>
      <c r="H14" s="3">
        <v>6.5</v>
      </c>
      <c r="I14" s="3">
        <v>5.6</v>
      </c>
      <c r="J14" s="3">
        <v>4.9000000000000004</v>
      </c>
      <c r="K14" s="3">
        <v>17.100000000000001</v>
      </c>
    </row>
    <row r="15" spans="1:11" x14ac:dyDescent="0.25">
      <c r="A15">
        <v>2009</v>
      </c>
      <c r="B15" s="7">
        <v>6187</v>
      </c>
      <c r="C15" s="7">
        <v>3594</v>
      </c>
      <c r="D15" s="7">
        <v>2593</v>
      </c>
      <c r="E15" s="7">
        <f t="shared" si="0"/>
        <v>4448</v>
      </c>
      <c r="F15" s="7">
        <v>1739</v>
      </c>
      <c r="G15" s="3">
        <v>8.8000000000000007</v>
      </c>
      <c r="H15" s="3">
        <v>9.6</v>
      </c>
      <c r="I15" s="3">
        <v>7.9</v>
      </c>
      <c r="J15" s="3">
        <v>7.1</v>
      </c>
      <c r="K15" s="3">
        <v>22.8</v>
      </c>
    </row>
    <row r="16" spans="1:11" x14ac:dyDescent="0.25">
      <c r="A16">
        <v>2010</v>
      </c>
      <c r="B16" s="7">
        <v>6262</v>
      </c>
      <c r="C16" s="7">
        <v>3540</v>
      </c>
      <c r="D16" s="7">
        <v>2722</v>
      </c>
      <c r="E16" s="7">
        <f t="shared" si="0"/>
        <v>4295</v>
      </c>
      <c r="F16" s="7">
        <v>1967</v>
      </c>
      <c r="G16" s="3">
        <v>8.9</v>
      </c>
      <c r="H16" s="3">
        <v>9.4</v>
      </c>
      <c r="I16" s="3">
        <v>8.3000000000000007</v>
      </c>
      <c r="J16" s="3">
        <v>6.9</v>
      </c>
      <c r="K16" s="3">
        <v>24</v>
      </c>
    </row>
    <row r="17" spans="1:11" x14ac:dyDescent="0.25">
      <c r="A17">
        <v>2011</v>
      </c>
      <c r="B17" s="7">
        <v>6076</v>
      </c>
      <c r="C17" s="7">
        <v>3289</v>
      </c>
      <c r="D17" s="7">
        <v>2787</v>
      </c>
      <c r="E17" s="7">
        <f t="shared" si="0"/>
        <v>3929</v>
      </c>
      <c r="F17" s="7">
        <v>2147</v>
      </c>
      <c r="G17" s="3">
        <v>8.8000000000000007</v>
      </c>
      <c r="H17" s="3">
        <v>9.1</v>
      </c>
      <c r="I17" s="3">
        <v>8.6</v>
      </c>
      <c r="J17" s="3">
        <v>6.5</v>
      </c>
      <c r="K17" s="3">
        <v>25.5</v>
      </c>
    </row>
    <row r="18" spans="1:11" x14ac:dyDescent="0.25">
      <c r="A18">
        <v>2012</v>
      </c>
      <c r="B18" s="7">
        <v>6117</v>
      </c>
      <c r="C18" s="7">
        <v>3459</v>
      </c>
      <c r="D18" s="7">
        <v>2658</v>
      </c>
      <c r="E18" s="7">
        <f t="shared" si="0"/>
        <v>3812</v>
      </c>
      <c r="F18" s="7">
        <v>2305</v>
      </c>
      <c r="G18" s="3">
        <v>8.6999999999999993</v>
      </c>
      <c r="H18" s="3">
        <v>9.3000000000000007</v>
      </c>
      <c r="I18" s="3">
        <v>8</v>
      </c>
      <c r="J18" s="3">
        <v>6.2</v>
      </c>
      <c r="K18" s="3">
        <v>24.9</v>
      </c>
    </row>
    <row r="19" spans="1:11" x14ac:dyDescent="0.25">
      <c r="A19">
        <v>2013</v>
      </c>
      <c r="B19" s="7">
        <v>5609</v>
      </c>
      <c r="C19" s="7">
        <v>3191</v>
      </c>
      <c r="D19" s="7">
        <v>2418</v>
      </c>
      <c r="E19" s="7">
        <f t="shared" si="0"/>
        <v>3290</v>
      </c>
      <c r="F19" s="7">
        <v>2319</v>
      </c>
      <c r="G19" s="3">
        <v>7.9</v>
      </c>
      <c r="H19" s="3">
        <v>8.4</v>
      </c>
      <c r="I19" s="3">
        <v>7.3</v>
      </c>
      <c r="J19" s="3">
        <v>5.4</v>
      </c>
      <c r="K19" s="3">
        <v>23.3</v>
      </c>
    </row>
    <row r="20" spans="1:11" x14ac:dyDescent="0.25">
      <c r="A20">
        <v>2014</v>
      </c>
      <c r="B20" s="7">
        <v>4920</v>
      </c>
      <c r="C20" s="7">
        <v>2852</v>
      </c>
      <c r="D20" s="7">
        <v>2068</v>
      </c>
      <c r="E20" s="7">
        <f t="shared" si="0"/>
        <v>2722</v>
      </c>
      <c r="F20" s="7">
        <v>2198</v>
      </c>
      <c r="G20" s="3">
        <v>6.9</v>
      </c>
      <c r="H20" s="3">
        <v>7.6</v>
      </c>
      <c r="I20" s="3">
        <v>6.2</v>
      </c>
      <c r="J20" s="3">
        <v>4.5</v>
      </c>
      <c r="K20" s="3">
        <v>21.6</v>
      </c>
    </row>
    <row r="21" spans="1:11" x14ac:dyDescent="0.25">
      <c r="A21">
        <v>2015</v>
      </c>
      <c r="B21" s="7">
        <v>4710</v>
      </c>
      <c r="C21" s="7">
        <v>2744</v>
      </c>
      <c r="D21" s="7">
        <v>1966</v>
      </c>
      <c r="E21" s="7">
        <f t="shared" si="0"/>
        <v>2533</v>
      </c>
      <c r="F21" s="7">
        <v>2177</v>
      </c>
      <c r="G21" s="3">
        <v>6.5</v>
      </c>
      <c r="H21" s="3">
        <v>7.2</v>
      </c>
      <c r="I21" s="3">
        <v>5.8</v>
      </c>
      <c r="J21" s="3">
        <v>4.0999999999999996</v>
      </c>
      <c r="K21" s="3">
        <v>20.399999999999999</v>
      </c>
    </row>
    <row r="22" spans="1:11" x14ac:dyDescent="0.25">
      <c r="A22">
        <v>2016</v>
      </c>
      <c r="B22" s="7">
        <v>4466</v>
      </c>
      <c r="C22" s="7">
        <v>2610</v>
      </c>
      <c r="D22" s="7">
        <v>1856</v>
      </c>
      <c r="E22" s="7">
        <f t="shared" si="0"/>
        <v>2168</v>
      </c>
      <c r="F22" s="7">
        <v>2298</v>
      </c>
      <c r="G22" s="3">
        <v>6.1</v>
      </c>
      <c r="H22" s="3">
        <v>6.8</v>
      </c>
      <c r="I22" s="3">
        <v>5.4</v>
      </c>
      <c r="J22" s="3">
        <v>3.5</v>
      </c>
      <c r="K22" s="3">
        <v>20.100000000000001</v>
      </c>
    </row>
    <row r="23" spans="1:11" x14ac:dyDescent="0.25">
      <c r="A23">
        <v>2017</v>
      </c>
      <c r="B23" s="7">
        <v>4614</v>
      </c>
      <c r="C23" s="7">
        <v>2606</v>
      </c>
      <c r="D23" s="7">
        <v>2008</v>
      </c>
      <c r="E23" s="7">
        <f t="shared" si="0"/>
        <v>2025</v>
      </c>
      <c r="F23" s="7">
        <v>2589</v>
      </c>
      <c r="G23" s="3">
        <v>6.2</v>
      </c>
      <c r="H23" s="3">
        <v>6.7</v>
      </c>
      <c r="I23" s="3">
        <v>5.7</v>
      </c>
      <c r="J23" s="3">
        <v>3.3</v>
      </c>
      <c r="K23" s="3">
        <v>20.7</v>
      </c>
    </row>
    <row r="24" spans="1:11" x14ac:dyDescent="0.25">
      <c r="A24">
        <v>2018</v>
      </c>
      <c r="B24" s="7">
        <v>4626</v>
      </c>
      <c r="C24" s="7">
        <v>2596</v>
      </c>
      <c r="D24" s="7">
        <v>2030</v>
      </c>
      <c r="E24" s="7">
        <f t="shared" si="0"/>
        <v>1941</v>
      </c>
      <c r="F24" s="7">
        <v>2685</v>
      </c>
      <c r="G24" s="3">
        <v>6</v>
      </c>
      <c r="H24" s="3">
        <v>6.4</v>
      </c>
      <c r="I24" s="3">
        <v>5.6</v>
      </c>
      <c r="J24" s="3">
        <v>3.1</v>
      </c>
      <c r="K24" s="3">
        <v>19.8</v>
      </c>
    </row>
    <row r="25" spans="1:11" x14ac:dyDescent="0.25">
      <c r="A25">
        <v>2019</v>
      </c>
      <c r="B25" s="7">
        <v>4791</v>
      </c>
      <c r="C25" s="7">
        <v>2700</v>
      </c>
      <c r="D25" s="7">
        <v>2091</v>
      </c>
      <c r="E25" s="7">
        <f t="shared" si="0"/>
        <v>1966</v>
      </c>
      <c r="F25" s="7">
        <v>2825</v>
      </c>
      <c r="G25" s="3">
        <v>6.1</v>
      </c>
      <c r="H25" s="3">
        <v>6.5</v>
      </c>
      <c r="I25" s="3">
        <v>5.7</v>
      </c>
      <c r="J25" s="3">
        <v>3.1</v>
      </c>
      <c r="K25" s="3">
        <v>19.600000000000001</v>
      </c>
    </row>
    <row r="26" spans="1:11" x14ac:dyDescent="0.25">
      <c r="A26">
        <v>2020</v>
      </c>
      <c r="B26" s="7">
        <v>5884</v>
      </c>
      <c r="C26" s="7">
        <v>3348</v>
      </c>
      <c r="D26" s="7">
        <v>2536</v>
      </c>
      <c r="E26" s="7">
        <f t="shared" si="0"/>
        <v>2456</v>
      </c>
      <c r="F26" s="7">
        <v>3428</v>
      </c>
      <c r="G26" s="3">
        <v>7.3</v>
      </c>
      <c r="H26" s="3">
        <v>7.8</v>
      </c>
      <c r="I26" s="3">
        <v>6.7</v>
      </c>
      <c r="J26" s="3">
        <v>3.8</v>
      </c>
      <c r="K26" s="3">
        <v>21.5</v>
      </c>
    </row>
    <row r="27" spans="1:11" x14ac:dyDescent="0.25">
      <c r="A27">
        <v>2021</v>
      </c>
      <c r="B27" s="7">
        <v>5031</v>
      </c>
      <c r="C27" s="7">
        <v>2751</v>
      </c>
      <c r="D27" s="7">
        <v>2280</v>
      </c>
      <c r="E27" s="7">
        <f t="shared" si="0"/>
        <v>1865</v>
      </c>
      <c r="F27" s="7">
        <v>3166</v>
      </c>
      <c r="G27" s="3">
        <v>6.2</v>
      </c>
      <c r="H27" s="3">
        <v>6.4</v>
      </c>
      <c r="I27" s="3">
        <v>5.9</v>
      </c>
      <c r="J27" s="3">
        <v>2.9</v>
      </c>
      <c r="K27" s="3">
        <v>18.899999999999999</v>
      </c>
    </row>
    <row r="28" spans="1:11" x14ac:dyDescent="0.25">
      <c r="A28">
        <v>2022</v>
      </c>
      <c r="B28" s="7">
        <v>4745</v>
      </c>
      <c r="C28" s="7">
        <v>2496</v>
      </c>
      <c r="D28" s="7">
        <v>2249</v>
      </c>
      <c r="E28" s="7">
        <f t="shared" si="0"/>
        <v>1685</v>
      </c>
      <c r="F28" s="7">
        <v>3060</v>
      </c>
      <c r="G28" s="3">
        <v>5.9</v>
      </c>
      <c r="H28" s="3">
        <v>5.9</v>
      </c>
      <c r="I28" s="3">
        <v>5.8</v>
      </c>
      <c r="J28" s="3">
        <v>2.6</v>
      </c>
      <c r="K28" s="3">
        <v>18.2</v>
      </c>
    </row>
    <row r="29" spans="1:11" x14ac:dyDescent="0.25">
      <c r="A29">
        <v>2023</v>
      </c>
      <c r="B29" s="7">
        <v>4792</v>
      </c>
      <c r="C29" s="7">
        <v>2510</v>
      </c>
      <c r="D29" s="7">
        <v>2282</v>
      </c>
      <c r="E29" s="7">
        <f t="shared" si="0"/>
        <v>1768</v>
      </c>
      <c r="F29" s="7">
        <v>3024</v>
      </c>
      <c r="G29" s="3">
        <v>5.8</v>
      </c>
      <c r="H29" s="3">
        <v>5.8</v>
      </c>
      <c r="I29" s="3">
        <v>5.8</v>
      </c>
      <c r="J29" s="3">
        <v>2.7</v>
      </c>
      <c r="K29" s="3">
        <v>16.5</v>
      </c>
    </row>
    <row r="30" spans="1:11" x14ac:dyDescent="0.25">
      <c r="A30">
        <v>2024</v>
      </c>
      <c r="B30" s="7">
        <v>5236</v>
      </c>
      <c r="C30" s="7">
        <v>2801</v>
      </c>
      <c r="D30" s="7">
        <v>2435</v>
      </c>
      <c r="E30" s="7">
        <f t="shared" si="0"/>
        <v>2027</v>
      </c>
      <c r="F30" s="7">
        <v>3209</v>
      </c>
      <c r="G30" s="3">
        <v>6.1</v>
      </c>
      <c r="H30" s="3">
        <v>6.3</v>
      </c>
      <c r="I30" s="3">
        <v>6</v>
      </c>
      <c r="J30" s="3">
        <v>3</v>
      </c>
      <c r="K30" s="3">
        <v>17.100000000000001</v>
      </c>
    </row>
    <row r="31" spans="1:11" x14ac:dyDescent="0.25">
      <c r="A31">
        <v>2025</v>
      </c>
      <c r="B31" s="7">
        <v>5138</v>
      </c>
      <c r="C31" s="7">
        <v>2711</v>
      </c>
      <c r="D31" s="7">
        <v>2427</v>
      </c>
      <c r="E31" s="7">
        <f t="shared" si="0"/>
        <v>2198</v>
      </c>
      <c r="F31" s="7">
        <v>2940</v>
      </c>
      <c r="G31" s="3">
        <v>6</v>
      </c>
      <c r="H31" s="3">
        <v>6.1</v>
      </c>
      <c r="I31" s="3">
        <v>5.9</v>
      </c>
      <c r="J31" s="3">
        <v>3.3</v>
      </c>
      <c r="K31" s="3">
        <v>15.4</v>
      </c>
    </row>
    <row r="32" spans="1:11" x14ac:dyDescent="0.25">
      <c r="G32" s="3"/>
      <c r="H32" s="3"/>
      <c r="I32" s="3"/>
      <c r="J32" s="3"/>
      <c r="K32" s="3"/>
    </row>
    <row r="33" spans="7:11" x14ac:dyDescent="0.25">
      <c r="G33" s="3"/>
      <c r="H33" s="3"/>
      <c r="I33" s="3"/>
      <c r="J33" s="3"/>
      <c r="K33" s="3"/>
    </row>
    <row r="34" spans="7:11" x14ac:dyDescent="0.25">
      <c r="G34" s="3"/>
      <c r="H34" s="3"/>
      <c r="I34" s="3"/>
      <c r="J34" s="3"/>
      <c r="K34" s="3"/>
    </row>
    <row r="35" spans="7:11" x14ac:dyDescent="0.25">
      <c r="G35" s="3"/>
      <c r="H35" s="3"/>
      <c r="I35" s="3"/>
      <c r="J35" s="3"/>
      <c r="K35" s="3"/>
    </row>
    <row r="36" spans="7:11" x14ac:dyDescent="0.25">
      <c r="G36" s="3"/>
      <c r="H36" s="3"/>
      <c r="I36" s="3"/>
      <c r="J36" s="3"/>
      <c r="K36" s="3"/>
    </row>
    <row r="37" spans="7:11" x14ac:dyDescent="0.25">
      <c r="G37" s="3"/>
      <c r="H37" s="3"/>
      <c r="I37" s="3"/>
      <c r="J37" s="3"/>
      <c r="K37" s="3"/>
    </row>
    <row r="38" spans="7:11" x14ac:dyDescent="0.25">
      <c r="G38" s="3"/>
      <c r="H38" s="3"/>
      <c r="I38" s="3"/>
      <c r="J38" s="3"/>
      <c r="K38" s="3"/>
    </row>
    <row r="39" spans="7:11" x14ac:dyDescent="0.25">
      <c r="G39" s="3"/>
      <c r="H39" s="3"/>
      <c r="I39" s="3"/>
      <c r="J39" s="3"/>
      <c r="K39" s="3"/>
    </row>
    <row r="40" spans="7:11" x14ac:dyDescent="0.25">
      <c r="G40" s="3"/>
      <c r="H40" s="3"/>
      <c r="I40" s="3"/>
      <c r="J40" s="3"/>
      <c r="K40" s="3"/>
    </row>
    <row r="41" spans="7:11" x14ac:dyDescent="0.25">
      <c r="G41" s="3"/>
      <c r="H41" s="3"/>
      <c r="I41" s="3"/>
      <c r="J41" s="3"/>
      <c r="K41" s="3"/>
    </row>
    <row r="42" spans="7:11" x14ac:dyDescent="0.25">
      <c r="G42" s="3"/>
      <c r="H42" s="3"/>
      <c r="I42" s="3"/>
      <c r="J42" s="3"/>
      <c r="K42" s="3"/>
    </row>
    <row r="43" spans="7:11" x14ac:dyDescent="0.25">
      <c r="G43" s="3"/>
      <c r="H43" s="3"/>
      <c r="I43" s="3"/>
      <c r="J43" s="3"/>
      <c r="K43" s="3"/>
    </row>
    <row r="44" spans="7:11" x14ac:dyDescent="0.25">
      <c r="G44" s="3"/>
      <c r="H44" s="3"/>
      <c r="I44" s="3"/>
      <c r="J44" s="3"/>
      <c r="K44" s="3"/>
    </row>
    <row r="45" spans="7:11" x14ac:dyDescent="0.25">
      <c r="G45" s="3"/>
      <c r="H45" s="3"/>
      <c r="I45" s="3"/>
      <c r="J45" s="3"/>
      <c r="K45" s="3"/>
    </row>
    <row r="46" spans="7:11" x14ac:dyDescent="0.25">
      <c r="G46" s="3"/>
      <c r="H46" s="3"/>
      <c r="I46" s="3"/>
      <c r="J46" s="3"/>
      <c r="K46" s="3"/>
    </row>
    <row r="47" spans="7:11" x14ac:dyDescent="0.25">
      <c r="G47" s="3"/>
      <c r="H47" s="3"/>
      <c r="I47" s="3"/>
      <c r="J47" s="3"/>
      <c r="K47" s="3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108C-17BB-4535-A49A-6AC4C60C3D3F}">
  <dimension ref="A1:Q36"/>
  <sheetViews>
    <sheetView workbookViewId="0"/>
  </sheetViews>
  <sheetFormatPr defaultRowHeight="15" x14ac:dyDescent="0.25"/>
  <cols>
    <col min="2" max="6" width="16.7109375" customWidth="1"/>
  </cols>
  <sheetData>
    <row r="1" spans="1:17" x14ac:dyDescent="0.25">
      <c r="A1" t="s">
        <v>6</v>
      </c>
      <c r="B1" t="s">
        <v>133</v>
      </c>
      <c r="C1" t="s">
        <v>131</v>
      </c>
      <c r="D1" t="s">
        <v>132</v>
      </c>
      <c r="E1" t="s">
        <v>134</v>
      </c>
      <c r="F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</row>
    <row r="2" spans="1:17" x14ac:dyDescent="0.25">
      <c r="A2">
        <v>2006</v>
      </c>
      <c r="B2">
        <v>1278</v>
      </c>
      <c r="C2">
        <v>791</v>
      </c>
      <c r="D2">
        <v>487</v>
      </c>
      <c r="E2">
        <v>389</v>
      </c>
      <c r="F2">
        <v>889</v>
      </c>
      <c r="G2">
        <v>2006</v>
      </c>
      <c r="H2" s="3">
        <v>2</v>
      </c>
      <c r="I2" s="3">
        <v>2.4</v>
      </c>
      <c r="J2" s="3">
        <v>1.7</v>
      </c>
      <c r="K2" s="3">
        <v>7.2</v>
      </c>
      <c r="L2" s="3">
        <v>1.6</v>
      </c>
      <c r="M2" s="3">
        <v>27.7</v>
      </c>
      <c r="N2" s="3">
        <v>31</v>
      </c>
      <c r="O2" s="3">
        <v>23.5</v>
      </c>
      <c r="P2" s="3">
        <v>33.9</v>
      </c>
      <c r="Q2" s="3">
        <v>25.6</v>
      </c>
    </row>
    <row r="3" spans="1:17" x14ac:dyDescent="0.25">
      <c r="A3">
        <v>2007</v>
      </c>
      <c r="B3">
        <v>1195</v>
      </c>
      <c r="C3">
        <v>684</v>
      </c>
      <c r="D3">
        <v>511</v>
      </c>
      <c r="E3">
        <v>358</v>
      </c>
      <c r="F3">
        <v>837</v>
      </c>
      <c r="G3">
        <v>2007</v>
      </c>
      <c r="H3" s="3">
        <v>1.9</v>
      </c>
      <c r="I3" s="3">
        <v>2.1</v>
      </c>
      <c r="J3" s="3">
        <v>1.7</v>
      </c>
      <c r="K3" s="3">
        <v>6.6</v>
      </c>
      <c r="L3" s="3">
        <v>1.5</v>
      </c>
      <c r="M3" s="3">
        <v>31.6</v>
      </c>
      <c r="N3" s="3">
        <v>32.200000000000003</v>
      </c>
      <c r="O3" s="3">
        <v>30.8</v>
      </c>
      <c r="P3" s="3">
        <v>34.799999999999997</v>
      </c>
      <c r="Q3" s="3">
        <v>30.4</v>
      </c>
    </row>
    <row r="4" spans="1:17" x14ac:dyDescent="0.25">
      <c r="A4">
        <v>2008</v>
      </c>
      <c r="B4">
        <v>1262</v>
      </c>
      <c r="C4">
        <v>735</v>
      </c>
      <c r="D4">
        <v>527</v>
      </c>
      <c r="E4">
        <v>400</v>
      </c>
      <c r="F4">
        <v>862</v>
      </c>
      <c r="G4">
        <v>2008</v>
      </c>
      <c r="H4" s="3">
        <v>2</v>
      </c>
      <c r="I4" s="3">
        <v>2.2000000000000002</v>
      </c>
      <c r="J4" s="3">
        <v>1.7</v>
      </c>
      <c r="K4" s="3">
        <v>6.9</v>
      </c>
      <c r="L4" s="3">
        <v>1.5</v>
      </c>
      <c r="M4" s="3">
        <v>31.3</v>
      </c>
      <c r="N4" s="3">
        <v>32.200000000000003</v>
      </c>
      <c r="O4" s="3">
        <v>30</v>
      </c>
      <c r="P4" s="3">
        <v>35.9</v>
      </c>
      <c r="Q4" s="3">
        <v>29.5</v>
      </c>
    </row>
    <row r="5" spans="1:17" x14ac:dyDescent="0.25">
      <c r="A5">
        <v>2009</v>
      </c>
      <c r="B5">
        <v>1927</v>
      </c>
      <c r="C5">
        <v>1113</v>
      </c>
      <c r="D5">
        <v>814</v>
      </c>
      <c r="E5">
        <v>612</v>
      </c>
      <c r="F5">
        <v>1315</v>
      </c>
      <c r="G5">
        <v>2009</v>
      </c>
      <c r="H5" s="3">
        <v>2.9</v>
      </c>
      <c r="I5" s="3">
        <v>3.2</v>
      </c>
      <c r="J5" s="3">
        <v>2.6</v>
      </c>
      <c r="K5" s="3">
        <v>9.4</v>
      </c>
      <c r="L5" s="3">
        <v>2.2000000000000002</v>
      </c>
      <c r="M5" s="3">
        <v>31.1</v>
      </c>
      <c r="N5" s="3">
        <v>31</v>
      </c>
      <c r="O5" s="3">
        <v>31.4</v>
      </c>
      <c r="P5" s="3">
        <v>35.200000000000003</v>
      </c>
      <c r="Q5" s="3">
        <v>29.6</v>
      </c>
    </row>
    <row r="6" spans="1:17" x14ac:dyDescent="0.25">
      <c r="A6">
        <v>2010</v>
      </c>
      <c r="B6">
        <v>2438</v>
      </c>
      <c r="C6">
        <v>1390</v>
      </c>
      <c r="D6">
        <v>1048</v>
      </c>
      <c r="E6">
        <v>800</v>
      </c>
      <c r="F6">
        <v>1638</v>
      </c>
      <c r="G6">
        <v>2010</v>
      </c>
      <c r="H6" s="3">
        <v>3.7</v>
      </c>
      <c r="I6" s="3">
        <v>3.9</v>
      </c>
      <c r="J6" s="3">
        <v>3.4</v>
      </c>
      <c r="K6" s="3">
        <v>11.4</v>
      </c>
      <c r="L6" s="3">
        <v>2.7</v>
      </c>
      <c r="M6" s="3">
        <v>38.9</v>
      </c>
      <c r="N6" s="3">
        <v>39.299999999999997</v>
      </c>
      <c r="O6" s="3">
        <v>38.5</v>
      </c>
      <c r="P6" s="3">
        <v>40.700000000000003</v>
      </c>
      <c r="Q6" s="3">
        <v>38.1</v>
      </c>
    </row>
    <row r="7" spans="1:17" x14ac:dyDescent="0.25">
      <c r="A7">
        <v>2011</v>
      </c>
      <c r="B7">
        <v>2436</v>
      </c>
      <c r="C7">
        <v>1339</v>
      </c>
      <c r="D7">
        <v>1097</v>
      </c>
      <c r="E7">
        <v>905</v>
      </c>
      <c r="F7">
        <v>1531</v>
      </c>
      <c r="G7">
        <v>2011</v>
      </c>
      <c r="H7" s="3">
        <v>3.7</v>
      </c>
      <c r="I7" s="3">
        <v>3.9</v>
      </c>
      <c r="J7" s="3">
        <v>3.6</v>
      </c>
      <c r="K7" s="3">
        <v>12.6</v>
      </c>
      <c r="L7" s="3">
        <v>2.6</v>
      </c>
      <c r="M7" s="3">
        <v>40.1</v>
      </c>
      <c r="N7" s="3">
        <v>40.700000000000003</v>
      </c>
      <c r="O7" s="3">
        <v>39.4</v>
      </c>
      <c r="P7" s="3">
        <v>42.2</v>
      </c>
      <c r="Q7" s="3">
        <v>39</v>
      </c>
    </row>
    <row r="8" spans="1:17" x14ac:dyDescent="0.25">
      <c r="A8">
        <v>2012</v>
      </c>
      <c r="B8">
        <v>2469</v>
      </c>
      <c r="C8">
        <v>1410</v>
      </c>
      <c r="D8">
        <v>1059</v>
      </c>
      <c r="E8">
        <v>1007</v>
      </c>
      <c r="F8">
        <v>1462</v>
      </c>
      <c r="G8">
        <v>2012</v>
      </c>
      <c r="H8" s="3">
        <v>3.7</v>
      </c>
      <c r="I8" s="3">
        <v>4</v>
      </c>
      <c r="J8" s="3">
        <v>3.3</v>
      </c>
      <c r="K8" s="3">
        <v>12.7</v>
      </c>
      <c r="L8" s="3">
        <v>2.5</v>
      </c>
      <c r="M8" s="3">
        <v>40.4</v>
      </c>
      <c r="N8" s="3">
        <v>40.799999999999997</v>
      </c>
      <c r="O8" s="3">
        <v>39.799999999999997</v>
      </c>
      <c r="P8" s="3">
        <v>43.7</v>
      </c>
      <c r="Q8" s="3">
        <v>38.4</v>
      </c>
    </row>
    <row r="9" spans="1:17" x14ac:dyDescent="0.25">
      <c r="A9">
        <v>2013</v>
      </c>
      <c r="B9">
        <v>2258</v>
      </c>
      <c r="C9">
        <v>1312</v>
      </c>
      <c r="D9">
        <v>946</v>
      </c>
      <c r="E9">
        <v>1028</v>
      </c>
      <c r="F9">
        <v>1230</v>
      </c>
      <c r="G9">
        <v>2013</v>
      </c>
      <c r="H9" s="3">
        <v>3.3</v>
      </c>
      <c r="I9" s="3">
        <v>3.7</v>
      </c>
      <c r="J9" s="3">
        <v>3</v>
      </c>
      <c r="K9" s="3">
        <v>12</v>
      </c>
      <c r="L9" s="3">
        <v>2.1</v>
      </c>
      <c r="M9" s="3">
        <v>40.299999999999997</v>
      </c>
      <c r="N9" s="3">
        <v>41.1</v>
      </c>
      <c r="O9" s="3">
        <v>39.1</v>
      </c>
      <c r="P9" s="3">
        <v>44.7</v>
      </c>
      <c r="Q9" s="3">
        <v>37.1</v>
      </c>
    </row>
    <row r="10" spans="1:17" x14ac:dyDescent="0.25">
      <c r="A10">
        <v>2014</v>
      </c>
      <c r="B10">
        <v>1920</v>
      </c>
      <c r="C10">
        <v>1114</v>
      </c>
      <c r="D10">
        <v>806</v>
      </c>
      <c r="E10">
        <v>981</v>
      </c>
      <c r="F10">
        <v>939</v>
      </c>
      <c r="G10">
        <v>2014</v>
      </c>
      <c r="H10" s="3">
        <v>2.8</v>
      </c>
      <c r="I10" s="3">
        <v>3.1</v>
      </c>
      <c r="J10" s="3">
        <v>2.5</v>
      </c>
      <c r="K10" s="3">
        <v>11</v>
      </c>
      <c r="L10" s="3">
        <v>1.6</v>
      </c>
      <c r="M10" s="3">
        <v>39</v>
      </c>
      <c r="N10" s="3">
        <v>39.1</v>
      </c>
      <c r="O10" s="3">
        <v>39</v>
      </c>
      <c r="P10" s="3">
        <v>44.6</v>
      </c>
      <c r="Q10" s="3">
        <v>34.5</v>
      </c>
    </row>
    <row r="11" spans="1:17" x14ac:dyDescent="0.25">
      <c r="A11">
        <v>2015</v>
      </c>
      <c r="B11">
        <v>1840</v>
      </c>
      <c r="C11">
        <v>1057</v>
      </c>
      <c r="D11">
        <v>783</v>
      </c>
      <c r="E11">
        <v>965</v>
      </c>
      <c r="F11">
        <v>875</v>
      </c>
      <c r="G11">
        <v>2015</v>
      </c>
      <c r="H11" s="3">
        <v>2.7</v>
      </c>
      <c r="I11" s="3">
        <v>2.9</v>
      </c>
      <c r="J11" s="3">
        <v>2.4</v>
      </c>
      <c r="K11" s="3">
        <v>10.199999999999999</v>
      </c>
      <c r="L11" s="3">
        <v>1.5</v>
      </c>
      <c r="M11" s="3">
        <v>39.1</v>
      </c>
      <c r="N11" s="3">
        <v>38.5</v>
      </c>
      <c r="O11" s="3">
        <v>39.799999999999997</v>
      </c>
      <c r="P11" s="3">
        <v>44.3</v>
      </c>
      <c r="Q11" s="3">
        <v>34.5</v>
      </c>
    </row>
    <row r="12" spans="1:17" x14ac:dyDescent="0.25">
      <c r="A12">
        <v>2016</v>
      </c>
      <c r="B12">
        <v>1723</v>
      </c>
      <c r="C12">
        <v>960</v>
      </c>
      <c r="D12">
        <v>763</v>
      </c>
      <c r="E12">
        <v>963</v>
      </c>
      <c r="F12">
        <v>760</v>
      </c>
      <c r="G12">
        <v>2016</v>
      </c>
      <c r="H12" s="3">
        <v>2.5</v>
      </c>
      <c r="I12" s="3">
        <v>2.6</v>
      </c>
      <c r="J12" s="3">
        <v>2.2999999999999998</v>
      </c>
      <c r="K12" s="3">
        <v>9.5</v>
      </c>
      <c r="L12" s="3">
        <v>1.3</v>
      </c>
      <c r="M12" s="3">
        <v>38.6</v>
      </c>
      <c r="N12" s="3">
        <v>36.799999999999997</v>
      </c>
      <c r="O12" s="3">
        <v>41.1</v>
      </c>
      <c r="P12" s="3">
        <v>41.9</v>
      </c>
      <c r="Q12" s="3">
        <v>35.1</v>
      </c>
    </row>
    <row r="13" spans="1:17" x14ac:dyDescent="0.25">
      <c r="A13">
        <v>2017</v>
      </c>
      <c r="B13">
        <v>1989</v>
      </c>
      <c r="C13">
        <v>1097</v>
      </c>
      <c r="D13">
        <v>892</v>
      </c>
      <c r="E13">
        <v>1212</v>
      </c>
      <c r="F13">
        <v>777</v>
      </c>
      <c r="G13">
        <v>2017</v>
      </c>
      <c r="H13" s="3">
        <v>2.8</v>
      </c>
      <c r="I13" s="3">
        <v>2.9</v>
      </c>
      <c r="J13" s="3">
        <v>2.6</v>
      </c>
      <c r="K13" s="3">
        <v>10.9</v>
      </c>
      <c r="L13" s="3">
        <v>1.3</v>
      </c>
      <c r="M13" s="3">
        <v>43.1</v>
      </c>
      <c r="N13" s="3">
        <v>42.1</v>
      </c>
      <c r="O13" s="3">
        <v>44.4</v>
      </c>
      <c r="P13" s="3">
        <v>46.8</v>
      </c>
      <c r="Q13" s="3">
        <v>38.4</v>
      </c>
    </row>
    <row r="14" spans="1:17" x14ac:dyDescent="0.25">
      <c r="A14">
        <v>2018</v>
      </c>
      <c r="B14">
        <v>1977</v>
      </c>
      <c r="C14">
        <v>1082</v>
      </c>
      <c r="D14">
        <v>895</v>
      </c>
      <c r="E14">
        <v>1281</v>
      </c>
      <c r="F14">
        <v>696</v>
      </c>
      <c r="G14">
        <v>2018</v>
      </c>
      <c r="H14" s="3">
        <v>2.7</v>
      </c>
      <c r="I14" s="3">
        <v>2.8</v>
      </c>
      <c r="J14" s="3">
        <v>2.5</v>
      </c>
      <c r="K14" s="3">
        <v>10.5</v>
      </c>
      <c r="L14" s="3">
        <v>1.1000000000000001</v>
      </c>
      <c r="M14" s="3">
        <v>42.7</v>
      </c>
      <c r="N14" s="3">
        <v>41.7</v>
      </c>
      <c r="O14" s="3">
        <v>44.1</v>
      </c>
      <c r="P14" s="3">
        <v>47.7</v>
      </c>
      <c r="Q14" s="3">
        <v>35.9</v>
      </c>
    </row>
    <row r="15" spans="1:17" x14ac:dyDescent="0.25">
      <c r="A15">
        <v>2019</v>
      </c>
      <c r="B15">
        <v>2082</v>
      </c>
      <c r="C15">
        <v>1136</v>
      </c>
      <c r="D15">
        <v>946</v>
      </c>
      <c r="E15">
        <v>1378</v>
      </c>
      <c r="F15">
        <v>704</v>
      </c>
      <c r="G15">
        <v>2019</v>
      </c>
      <c r="H15" s="3">
        <v>2.8</v>
      </c>
      <c r="I15" s="3">
        <v>2.8</v>
      </c>
      <c r="J15" s="3">
        <v>2.6</v>
      </c>
      <c r="K15" s="3">
        <v>10.6</v>
      </c>
      <c r="L15" s="3">
        <v>1.1000000000000001</v>
      </c>
      <c r="M15" s="3">
        <v>43.5</v>
      </c>
      <c r="N15" s="3">
        <v>42.1</v>
      </c>
      <c r="O15" s="3">
        <v>45.2</v>
      </c>
      <c r="P15" s="3">
        <v>48.8</v>
      </c>
      <c r="Q15" s="3">
        <v>35.799999999999997</v>
      </c>
    </row>
    <row r="16" spans="1:17" x14ac:dyDescent="0.25">
      <c r="A16">
        <v>2020</v>
      </c>
      <c r="B16">
        <v>2325</v>
      </c>
      <c r="C16">
        <v>1329</v>
      </c>
      <c r="D16">
        <v>996</v>
      </c>
      <c r="E16">
        <v>1555</v>
      </c>
      <c r="F16">
        <v>770</v>
      </c>
      <c r="G16">
        <v>2020</v>
      </c>
      <c r="H16" s="3">
        <v>3</v>
      </c>
      <c r="I16" s="3">
        <v>3.3</v>
      </c>
      <c r="J16" s="3">
        <v>2.7</v>
      </c>
      <c r="K16" s="3">
        <v>11.1</v>
      </c>
      <c r="L16" s="3">
        <v>1.2</v>
      </c>
      <c r="M16" s="3">
        <v>39.5</v>
      </c>
      <c r="N16" s="3">
        <v>39.700000000000003</v>
      </c>
      <c r="O16" s="3">
        <v>39.299999999999997</v>
      </c>
      <c r="P16" s="3">
        <v>45.4</v>
      </c>
      <c r="Q16" s="3">
        <v>31.4</v>
      </c>
    </row>
    <row r="17" spans="1:17" x14ac:dyDescent="0.25">
      <c r="A17">
        <v>2021</v>
      </c>
      <c r="B17">
        <v>2567</v>
      </c>
      <c r="C17">
        <v>1379</v>
      </c>
      <c r="D17">
        <v>1188</v>
      </c>
      <c r="E17">
        <v>1789</v>
      </c>
      <c r="F17">
        <v>778</v>
      </c>
      <c r="G17">
        <v>2021</v>
      </c>
      <c r="H17" s="3">
        <v>3.2</v>
      </c>
      <c r="I17" s="3">
        <v>3.3</v>
      </c>
      <c r="J17" s="3">
        <v>3.2</v>
      </c>
      <c r="K17" s="3">
        <v>11.7</v>
      </c>
      <c r="L17" s="3">
        <v>1.2</v>
      </c>
      <c r="M17" s="3">
        <v>51</v>
      </c>
      <c r="N17" s="3">
        <v>50.1</v>
      </c>
      <c r="O17" s="3">
        <v>52.1</v>
      </c>
      <c r="P17" s="3">
        <v>56.5</v>
      </c>
      <c r="Q17" s="3">
        <v>41.7</v>
      </c>
    </row>
    <row r="18" spans="1:17" x14ac:dyDescent="0.25">
      <c r="A18">
        <v>2022</v>
      </c>
      <c r="B18">
        <v>2254</v>
      </c>
      <c r="C18">
        <v>1151</v>
      </c>
      <c r="D18">
        <v>1103</v>
      </c>
      <c r="E18">
        <v>1553</v>
      </c>
      <c r="F18">
        <v>701</v>
      </c>
      <c r="G18">
        <v>2022</v>
      </c>
      <c r="H18" s="3">
        <v>2.9</v>
      </c>
      <c r="I18" s="3">
        <v>2.8</v>
      </c>
      <c r="J18" s="3">
        <v>2.9</v>
      </c>
      <c r="K18" s="3">
        <v>10.199999999999999</v>
      </c>
      <c r="L18" s="3">
        <v>1.1000000000000001</v>
      </c>
      <c r="M18" s="3">
        <v>47.5</v>
      </c>
      <c r="N18" s="3">
        <v>46.1</v>
      </c>
      <c r="O18" s="3">
        <v>49</v>
      </c>
      <c r="P18" s="3">
        <v>50.8</v>
      </c>
      <c r="Q18" s="3">
        <v>41.6</v>
      </c>
    </row>
    <row r="19" spans="1:17" x14ac:dyDescent="0.25">
      <c r="A19">
        <v>2023</v>
      </c>
      <c r="B19">
        <v>2052</v>
      </c>
      <c r="C19">
        <v>1033</v>
      </c>
      <c r="D19">
        <v>1019</v>
      </c>
      <c r="E19">
        <v>1450</v>
      </c>
      <c r="F19">
        <v>602</v>
      </c>
      <c r="G19">
        <v>2023</v>
      </c>
      <c r="H19" s="3">
        <v>2.6</v>
      </c>
      <c r="I19" s="3">
        <v>2.5</v>
      </c>
      <c r="J19" s="3">
        <v>2.7</v>
      </c>
      <c r="K19" s="3">
        <v>8.9</v>
      </c>
      <c r="L19" s="3">
        <v>0.9</v>
      </c>
      <c r="M19" s="3">
        <v>42.8</v>
      </c>
      <c r="N19" s="3">
        <v>41.2</v>
      </c>
      <c r="O19" s="3">
        <v>44.7</v>
      </c>
      <c r="P19" s="3">
        <v>47.9</v>
      </c>
      <c r="Q19" s="3">
        <v>34</v>
      </c>
    </row>
    <row r="20" spans="1:17" x14ac:dyDescent="0.25">
      <c r="A20">
        <v>2024</v>
      </c>
      <c r="B20">
        <v>2199</v>
      </c>
      <c r="C20">
        <v>1107</v>
      </c>
      <c r="D20">
        <v>1092</v>
      </c>
      <c r="E20">
        <v>1544</v>
      </c>
      <c r="F20">
        <v>655</v>
      </c>
      <c r="G20">
        <v>2024</v>
      </c>
      <c r="H20" s="3">
        <v>2.7</v>
      </c>
      <c r="I20" s="3">
        <v>2.6</v>
      </c>
      <c r="J20" s="3">
        <v>2.8</v>
      </c>
      <c r="K20" s="3">
        <v>8.9</v>
      </c>
      <c r="L20" s="3">
        <v>1</v>
      </c>
      <c r="M20" s="3">
        <v>42</v>
      </c>
      <c r="N20" s="3">
        <v>39.5</v>
      </c>
      <c r="O20" s="3">
        <v>44.8</v>
      </c>
      <c r="P20" s="3">
        <v>48.1</v>
      </c>
      <c r="Q20" s="3">
        <v>32.299999999999997</v>
      </c>
    </row>
    <row r="21" spans="1:17" x14ac:dyDescent="0.25">
      <c r="A21">
        <v>2025</v>
      </c>
      <c r="B21">
        <v>2323</v>
      </c>
      <c r="C21">
        <v>1164</v>
      </c>
      <c r="D21">
        <v>1159</v>
      </c>
      <c r="E21">
        <v>1532</v>
      </c>
      <c r="F21">
        <v>791</v>
      </c>
      <c r="G21">
        <v>2025</v>
      </c>
      <c r="H21" s="3">
        <v>2.8</v>
      </c>
      <c r="I21" s="3">
        <v>2.7</v>
      </c>
      <c r="J21" s="3">
        <v>2.9</v>
      </c>
      <c r="K21" s="3">
        <v>8.5</v>
      </c>
      <c r="L21" s="3">
        <v>1.2</v>
      </c>
      <c r="M21" s="3">
        <v>45.2</v>
      </c>
      <c r="N21" s="3">
        <v>42.9</v>
      </c>
      <c r="O21" s="3">
        <v>47.8</v>
      </c>
      <c r="P21" s="3">
        <v>52.1</v>
      </c>
      <c r="Q21" s="3">
        <v>36</v>
      </c>
    </row>
    <row r="22" spans="1:17" x14ac:dyDescent="0.25"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8:17" x14ac:dyDescent="0.25"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8:17" x14ac:dyDescent="0.25"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8:17" x14ac:dyDescent="0.25"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8:17" x14ac:dyDescent="0.25">
      <c r="H36" s="3"/>
      <c r="I36" s="3"/>
      <c r="J36" s="3"/>
      <c r="K36" s="3"/>
      <c r="L36" s="3"/>
      <c r="M36" s="3"/>
      <c r="N36" s="3"/>
      <c r="O36" s="3"/>
      <c r="P36" s="3"/>
      <c r="Q36" s="3"/>
    </row>
  </sheetData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B0B-9294-462B-869D-4B2BE9C24B6A}">
  <dimension ref="A1:J32"/>
  <sheetViews>
    <sheetView workbookViewId="0"/>
  </sheetViews>
  <sheetFormatPr defaultRowHeight="15" x14ac:dyDescent="0.25"/>
  <cols>
    <col min="2" max="2" width="25.7109375" customWidth="1"/>
    <col min="3" max="3" width="28.42578125" customWidth="1"/>
    <col min="4" max="4" width="45" customWidth="1"/>
    <col min="5" max="7" width="42.140625" customWidth="1"/>
    <col min="8" max="8" width="22" customWidth="1"/>
    <col min="9" max="9" width="24.140625" customWidth="1"/>
    <col min="10" max="10" width="36.5703125" customWidth="1"/>
  </cols>
  <sheetData>
    <row r="1" spans="1:10" x14ac:dyDescent="0.25">
      <c r="A1" t="s">
        <v>6</v>
      </c>
      <c r="B1" t="s">
        <v>124</v>
      </c>
      <c r="C1" t="s">
        <v>122</v>
      </c>
      <c r="D1" t="s">
        <v>123</v>
      </c>
      <c r="E1" t="s">
        <v>128</v>
      </c>
      <c r="F1" t="s">
        <v>129</v>
      </c>
      <c r="G1" t="s">
        <v>130</v>
      </c>
      <c r="H1" t="s">
        <v>125</v>
      </c>
      <c r="I1" t="s">
        <v>126</v>
      </c>
      <c r="J1" t="s">
        <v>127</v>
      </c>
    </row>
    <row r="2" spans="1:10" x14ac:dyDescent="0.25">
      <c r="A2">
        <v>1993</v>
      </c>
      <c r="B2">
        <v>24743</v>
      </c>
      <c r="C2" s="3">
        <v>194.1</v>
      </c>
      <c r="D2" s="3">
        <v>394.7</v>
      </c>
      <c r="E2" s="8">
        <f>SUM(B2/H2)*100</f>
        <v>1.5734406924843296</v>
      </c>
      <c r="F2" s="8">
        <f t="shared" ref="F2" si="0">SUM(C2/I2)*100</f>
        <v>107.59423503325942</v>
      </c>
      <c r="G2" s="8">
        <f>SUM(D2/J2)*100</f>
        <v>97.529033852236225</v>
      </c>
      <c r="H2">
        <v>1572541</v>
      </c>
      <c r="I2" s="3">
        <v>180.4</v>
      </c>
      <c r="J2" s="3">
        <v>404.7</v>
      </c>
    </row>
    <row r="3" spans="1:10" x14ac:dyDescent="0.25">
      <c r="A3">
        <v>1994</v>
      </c>
      <c r="B3">
        <v>26567</v>
      </c>
      <c r="C3" s="3">
        <v>205.1</v>
      </c>
      <c r="D3" s="3">
        <v>436</v>
      </c>
      <c r="E3" s="8">
        <f t="shared" ref="E3:E32" si="1">SUM(B3/H3)*100</f>
        <v>1.5826992686710495</v>
      </c>
      <c r="F3" s="8">
        <f t="shared" ref="F3:F32" si="2">SUM(C3/I3)*100</f>
        <v>107.26987447698745</v>
      </c>
      <c r="G3" s="8">
        <f t="shared" ref="G3:G32" si="3">SUM(D3/J3)*100</f>
        <v>97.648376259798425</v>
      </c>
      <c r="H3">
        <v>1678588</v>
      </c>
      <c r="I3" s="3">
        <v>191.2</v>
      </c>
      <c r="J3" s="3">
        <v>446.5</v>
      </c>
    </row>
    <row r="4" spans="1:10" x14ac:dyDescent="0.25">
      <c r="A4">
        <v>1995</v>
      </c>
      <c r="B4">
        <v>27350</v>
      </c>
      <c r="C4" s="3">
        <v>208.9</v>
      </c>
      <c r="D4" s="3">
        <v>444.9</v>
      </c>
      <c r="E4" s="8">
        <f t="shared" si="1"/>
        <v>1.5114046115800672</v>
      </c>
      <c r="F4" s="8">
        <f t="shared" si="2"/>
        <v>101.90243902439025</v>
      </c>
      <c r="G4" s="8">
        <f t="shared" si="3"/>
        <v>93.702611625947767</v>
      </c>
      <c r="H4">
        <v>1809575</v>
      </c>
      <c r="I4" s="3">
        <v>205</v>
      </c>
      <c r="J4" s="3">
        <v>474.8</v>
      </c>
    </row>
    <row r="5" spans="1:10" x14ac:dyDescent="0.25">
      <c r="A5">
        <v>1996</v>
      </c>
      <c r="B5">
        <v>28100</v>
      </c>
      <c r="C5" s="3">
        <v>213.5</v>
      </c>
      <c r="D5" s="3">
        <v>460</v>
      </c>
      <c r="E5" s="8">
        <f t="shared" si="1"/>
        <v>1.5157113459894334</v>
      </c>
      <c r="F5" s="8">
        <f t="shared" si="2"/>
        <v>101.81211254172628</v>
      </c>
      <c r="G5" s="8">
        <f t="shared" si="3"/>
        <v>94.904064369713225</v>
      </c>
      <c r="H5">
        <v>1853915</v>
      </c>
      <c r="I5" s="3">
        <v>209.7</v>
      </c>
      <c r="J5" s="3">
        <v>484.7</v>
      </c>
    </row>
    <row r="6" spans="1:10" x14ac:dyDescent="0.25">
      <c r="A6">
        <v>1997</v>
      </c>
      <c r="B6">
        <v>25554</v>
      </c>
      <c r="C6" s="3">
        <v>193.6</v>
      </c>
      <c r="D6" s="3">
        <v>420.3</v>
      </c>
      <c r="E6" s="8">
        <f t="shared" si="1"/>
        <v>1.3219947563047469</v>
      </c>
      <c r="F6" s="8">
        <f t="shared" si="2"/>
        <v>88.604118993135003</v>
      </c>
      <c r="G6" s="8">
        <f t="shared" si="3"/>
        <v>82.785109316525507</v>
      </c>
      <c r="H6">
        <v>1932988</v>
      </c>
      <c r="I6" s="3">
        <v>218.5</v>
      </c>
      <c r="J6" s="3">
        <v>507.7</v>
      </c>
    </row>
    <row r="7" spans="1:10" x14ac:dyDescent="0.25">
      <c r="A7">
        <v>1998</v>
      </c>
      <c r="B7">
        <v>31396</v>
      </c>
      <c r="C7" s="3">
        <v>237.8</v>
      </c>
      <c r="D7" s="3">
        <v>505.9</v>
      </c>
      <c r="E7" s="8">
        <f t="shared" si="1"/>
        <v>1.5504013779589774</v>
      </c>
      <c r="F7" s="8">
        <f t="shared" si="2"/>
        <v>103.93356643356644</v>
      </c>
      <c r="G7" s="8">
        <f t="shared" si="3"/>
        <v>96.435379336637425</v>
      </c>
      <c r="H7">
        <v>2025024</v>
      </c>
      <c r="I7" s="3">
        <v>228.8</v>
      </c>
      <c r="J7" s="3">
        <v>524.6</v>
      </c>
    </row>
    <row r="8" spans="1:10" x14ac:dyDescent="0.25">
      <c r="A8">
        <v>1999</v>
      </c>
      <c r="B8">
        <v>32790</v>
      </c>
      <c r="C8" s="3">
        <v>248</v>
      </c>
      <c r="D8" s="3">
        <v>514.5</v>
      </c>
      <c r="E8" s="8">
        <f t="shared" si="1"/>
        <v>1.5333743916656262</v>
      </c>
      <c r="F8" s="8">
        <f t="shared" si="2"/>
        <v>102.73405136702569</v>
      </c>
      <c r="G8" s="8">
        <f t="shared" si="3"/>
        <v>94.646799116997798</v>
      </c>
      <c r="H8">
        <v>2138421</v>
      </c>
      <c r="I8" s="3">
        <v>241.4</v>
      </c>
      <c r="J8" s="3">
        <v>543.6</v>
      </c>
    </row>
    <row r="9" spans="1:10" x14ac:dyDescent="0.25">
      <c r="A9">
        <v>2000</v>
      </c>
      <c r="B9">
        <v>34085</v>
      </c>
      <c r="C9" s="3">
        <v>256.60000000000002</v>
      </c>
      <c r="D9" s="3">
        <v>522.5</v>
      </c>
      <c r="E9" s="8">
        <f t="shared" si="1"/>
        <v>1.5045595858124248</v>
      </c>
      <c r="F9" s="8">
        <f t="shared" si="2"/>
        <v>100.50920485703094</v>
      </c>
      <c r="G9" s="8">
        <f t="shared" si="3"/>
        <v>92.265583612926022</v>
      </c>
      <c r="H9">
        <v>2265447</v>
      </c>
      <c r="I9" s="3">
        <v>255.3</v>
      </c>
      <c r="J9" s="3">
        <v>566.29999999999995</v>
      </c>
    </row>
    <row r="10" spans="1:10" x14ac:dyDescent="0.25">
      <c r="A10">
        <v>2001</v>
      </c>
      <c r="B10">
        <v>34658</v>
      </c>
      <c r="C10" s="3">
        <v>259.39999999999998</v>
      </c>
      <c r="D10" s="3">
        <v>520.4</v>
      </c>
      <c r="E10" s="8">
        <f t="shared" si="1"/>
        <v>1.4758013795664233</v>
      </c>
      <c r="F10" s="8">
        <f t="shared" si="2"/>
        <v>98.257575757575751</v>
      </c>
      <c r="G10" s="8">
        <f t="shared" si="3"/>
        <v>90.221914008321775</v>
      </c>
      <c r="H10">
        <v>2348419</v>
      </c>
      <c r="I10" s="3">
        <v>264</v>
      </c>
      <c r="J10" s="3">
        <v>576.79999999999995</v>
      </c>
    </row>
    <row r="11" spans="1:10" x14ac:dyDescent="0.25">
      <c r="A11">
        <v>2002</v>
      </c>
      <c r="B11">
        <v>38244</v>
      </c>
      <c r="C11" s="3">
        <v>284.2</v>
      </c>
      <c r="D11" s="3">
        <v>564.6</v>
      </c>
      <c r="E11" s="8">
        <f t="shared" si="1"/>
        <v>1.5650487185048474</v>
      </c>
      <c r="F11" s="8">
        <f t="shared" si="2"/>
        <v>103.79839298758218</v>
      </c>
      <c r="G11" s="8">
        <f t="shared" si="3"/>
        <v>95.034505975425006</v>
      </c>
      <c r="H11">
        <v>2443630</v>
      </c>
      <c r="I11" s="3">
        <v>273.8</v>
      </c>
      <c r="J11" s="3">
        <v>594.1</v>
      </c>
    </row>
    <row r="12" spans="1:10" x14ac:dyDescent="0.25">
      <c r="A12">
        <v>2003</v>
      </c>
      <c r="B12">
        <v>38984</v>
      </c>
      <c r="C12" s="3">
        <v>287.39999999999998</v>
      </c>
      <c r="D12" s="3">
        <v>572.9</v>
      </c>
      <c r="E12" s="8">
        <f t="shared" si="1"/>
        <v>1.5318678736452631</v>
      </c>
      <c r="F12" s="8">
        <f t="shared" si="2"/>
        <v>101.16156282998942</v>
      </c>
      <c r="G12" s="8">
        <f t="shared" si="3"/>
        <v>92.507669949943477</v>
      </c>
      <c r="H12">
        <v>2544867</v>
      </c>
      <c r="I12" s="3">
        <v>284.10000000000002</v>
      </c>
      <c r="J12" s="3">
        <v>619.29999999999995</v>
      </c>
    </row>
    <row r="13" spans="1:10" x14ac:dyDescent="0.25">
      <c r="A13">
        <v>2004</v>
      </c>
      <c r="B13">
        <v>41615</v>
      </c>
      <c r="C13" s="3">
        <v>304.7</v>
      </c>
      <c r="D13" s="3">
        <v>614.5</v>
      </c>
      <c r="E13" s="8">
        <f t="shared" si="1"/>
        <v>1.5639110290019718</v>
      </c>
      <c r="F13" s="8">
        <f t="shared" si="2"/>
        <v>102.97397769516729</v>
      </c>
      <c r="G13" s="8">
        <f t="shared" si="3"/>
        <v>95.212271459559958</v>
      </c>
      <c r="H13">
        <v>2660957</v>
      </c>
      <c r="I13" s="3">
        <v>295.89999999999998</v>
      </c>
      <c r="J13" s="3">
        <v>645.4</v>
      </c>
    </row>
    <row r="14" spans="1:10" x14ac:dyDescent="0.25">
      <c r="A14">
        <v>2005</v>
      </c>
      <c r="B14">
        <v>42685</v>
      </c>
      <c r="C14" s="3">
        <v>310.89999999999998</v>
      </c>
      <c r="D14" s="3">
        <v>629</v>
      </c>
      <c r="E14" s="8">
        <f t="shared" si="1"/>
        <v>1.5413225005642068</v>
      </c>
      <c r="F14" s="8">
        <f t="shared" si="2"/>
        <v>101.36941636778612</v>
      </c>
      <c r="G14" s="8">
        <f t="shared" si="3"/>
        <v>94.686135782026199</v>
      </c>
      <c r="H14">
        <v>2769375</v>
      </c>
      <c r="I14" s="3">
        <v>306.7</v>
      </c>
      <c r="J14" s="3">
        <v>664.3</v>
      </c>
    </row>
    <row r="15" spans="1:10" x14ac:dyDescent="0.25">
      <c r="A15">
        <v>2006</v>
      </c>
      <c r="B15">
        <v>45492</v>
      </c>
      <c r="C15" s="3">
        <v>329.4</v>
      </c>
      <c r="D15" s="3">
        <v>661.8</v>
      </c>
      <c r="E15" s="8">
        <f t="shared" si="1"/>
        <v>1.5449926642395262</v>
      </c>
      <c r="F15" s="8">
        <f t="shared" si="2"/>
        <v>101.57261794634596</v>
      </c>
      <c r="G15" s="8">
        <f t="shared" si="3"/>
        <v>95.031591039632389</v>
      </c>
      <c r="H15">
        <v>2944480</v>
      </c>
      <c r="I15" s="3">
        <v>324.3</v>
      </c>
      <c r="J15" s="3">
        <v>696.4</v>
      </c>
    </row>
    <row r="16" spans="1:10" x14ac:dyDescent="0.25">
      <c r="A16">
        <v>2007</v>
      </c>
      <c r="B16">
        <v>49682</v>
      </c>
      <c r="C16" s="3">
        <v>356.2</v>
      </c>
      <c r="D16" s="3">
        <v>705.4</v>
      </c>
      <c r="E16" s="8">
        <f t="shared" si="1"/>
        <v>1.5893062675902698</v>
      </c>
      <c r="F16" s="8">
        <f t="shared" si="2"/>
        <v>104.24348844015219</v>
      </c>
      <c r="G16" s="8">
        <f t="shared" si="3"/>
        <v>97.836338418862695</v>
      </c>
      <c r="H16">
        <v>3126018</v>
      </c>
      <c r="I16" s="3">
        <v>341.7</v>
      </c>
      <c r="J16" s="3">
        <v>721</v>
      </c>
    </row>
    <row r="17" spans="1:10" x14ac:dyDescent="0.25">
      <c r="A17">
        <v>2008</v>
      </c>
      <c r="B17">
        <v>48134</v>
      </c>
      <c r="C17" s="3">
        <v>341.1</v>
      </c>
      <c r="D17" s="3">
        <v>671.8</v>
      </c>
      <c r="E17" s="8">
        <f t="shared" si="1"/>
        <v>1.5021595845608429</v>
      </c>
      <c r="F17" s="8">
        <f t="shared" si="2"/>
        <v>98.130034522439587</v>
      </c>
      <c r="G17" s="8">
        <f t="shared" si="3"/>
        <v>92.216884008236093</v>
      </c>
      <c r="H17">
        <v>3204320</v>
      </c>
      <c r="I17" s="3">
        <v>347.6</v>
      </c>
      <c r="J17" s="3">
        <v>728.5</v>
      </c>
    </row>
    <row r="18" spans="1:10" x14ac:dyDescent="0.25">
      <c r="A18">
        <v>2009</v>
      </c>
      <c r="B18">
        <v>50508</v>
      </c>
      <c r="C18" s="3">
        <v>352.5</v>
      </c>
      <c r="D18" s="3">
        <v>705.9</v>
      </c>
      <c r="E18" s="8">
        <f t="shared" si="1"/>
        <v>1.6262529018381797</v>
      </c>
      <c r="F18" s="8">
        <f t="shared" si="2"/>
        <v>105.53892215568862</v>
      </c>
      <c r="G18" s="8">
        <f t="shared" si="3"/>
        <v>98.72727272727272</v>
      </c>
      <c r="H18">
        <v>3105790</v>
      </c>
      <c r="I18" s="3">
        <v>334</v>
      </c>
      <c r="J18" s="3">
        <v>715</v>
      </c>
    </row>
    <row r="19" spans="1:10" x14ac:dyDescent="0.25">
      <c r="A19">
        <v>2010</v>
      </c>
      <c r="B19">
        <v>52962</v>
      </c>
      <c r="C19" s="3">
        <v>363.9</v>
      </c>
      <c r="D19" s="3">
        <v>736.5</v>
      </c>
      <c r="E19" s="8">
        <f t="shared" si="1"/>
        <v>1.586861665105133</v>
      </c>
      <c r="F19" s="8">
        <f t="shared" si="2"/>
        <v>102.24782242202866</v>
      </c>
      <c r="G19" s="8">
        <f t="shared" si="3"/>
        <v>95.699064449064437</v>
      </c>
      <c r="H19">
        <v>3337531</v>
      </c>
      <c r="I19" s="3">
        <v>355.9</v>
      </c>
      <c r="J19" s="3">
        <v>769.6</v>
      </c>
    </row>
    <row r="20" spans="1:10" x14ac:dyDescent="0.25">
      <c r="A20">
        <v>2011</v>
      </c>
      <c r="B20">
        <v>54441</v>
      </c>
      <c r="C20" s="3">
        <v>370.7</v>
      </c>
      <c r="D20" s="3">
        <v>740.4</v>
      </c>
      <c r="E20" s="8">
        <f t="shared" si="1"/>
        <v>1.5641524899994053</v>
      </c>
      <c r="F20" s="8">
        <f t="shared" si="2"/>
        <v>100.65164268259569</v>
      </c>
      <c r="G20" s="8">
        <f t="shared" si="3"/>
        <v>94.643998466061618</v>
      </c>
      <c r="H20">
        <v>3480543</v>
      </c>
      <c r="I20" s="3">
        <v>368.3</v>
      </c>
      <c r="J20" s="3">
        <v>782.3</v>
      </c>
    </row>
    <row r="21" spans="1:10" x14ac:dyDescent="0.25">
      <c r="A21">
        <v>2012</v>
      </c>
      <c r="B21">
        <v>62038</v>
      </c>
      <c r="C21" s="3">
        <v>419.4</v>
      </c>
      <c r="D21" s="3">
        <v>826.8</v>
      </c>
      <c r="E21" s="8">
        <f t="shared" si="1"/>
        <v>1.6656754808369996</v>
      </c>
      <c r="F21" s="8">
        <f t="shared" si="2"/>
        <v>107.18119090212113</v>
      </c>
      <c r="G21" s="8">
        <f t="shared" si="3"/>
        <v>100.70645554202191</v>
      </c>
      <c r="H21">
        <v>3724495</v>
      </c>
      <c r="I21" s="3">
        <v>391.3</v>
      </c>
      <c r="J21" s="3">
        <v>821</v>
      </c>
    </row>
    <row r="22" spans="1:10" x14ac:dyDescent="0.25">
      <c r="A22">
        <v>2013</v>
      </c>
      <c r="B22">
        <v>67263</v>
      </c>
      <c r="C22" s="3">
        <v>450.3</v>
      </c>
      <c r="D22" s="3">
        <v>879.8</v>
      </c>
      <c r="E22" s="8">
        <f t="shared" si="1"/>
        <v>1.7677641067906869</v>
      </c>
      <c r="F22" s="8">
        <f t="shared" si="2"/>
        <v>113.62604087812262</v>
      </c>
      <c r="G22" s="8">
        <f t="shared" si="3"/>
        <v>106.10226724553786</v>
      </c>
      <c r="H22">
        <v>3804976</v>
      </c>
      <c r="I22" s="3">
        <v>396.3</v>
      </c>
      <c r="J22" s="3">
        <v>829.2</v>
      </c>
    </row>
    <row r="23" spans="1:10" x14ac:dyDescent="0.25">
      <c r="A23">
        <v>2014</v>
      </c>
      <c r="B23">
        <v>70950</v>
      </c>
      <c r="C23" s="3">
        <v>469.7</v>
      </c>
      <c r="D23" s="3">
        <v>908.5</v>
      </c>
      <c r="E23" s="8">
        <f t="shared" si="1"/>
        <v>1.7900095517634433</v>
      </c>
      <c r="F23" s="8">
        <f t="shared" si="2"/>
        <v>114.89726027397261</v>
      </c>
      <c r="G23" s="8">
        <f t="shared" si="3"/>
        <v>106.09599439448792</v>
      </c>
      <c r="H23">
        <v>3963666</v>
      </c>
      <c r="I23" s="3">
        <v>408.8</v>
      </c>
      <c r="J23" s="3">
        <v>856.3</v>
      </c>
    </row>
    <row r="24" spans="1:10" x14ac:dyDescent="0.25">
      <c r="A24">
        <v>2015</v>
      </c>
      <c r="B24">
        <v>77485</v>
      </c>
      <c r="C24" s="3">
        <v>508.4</v>
      </c>
      <c r="D24" s="3">
        <v>969.2</v>
      </c>
      <c r="E24" s="8">
        <f t="shared" si="1"/>
        <v>1.8313914462426282</v>
      </c>
      <c r="F24" s="8">
        <f t="shared" si="2"/>
        <v>117.73969430291802</v>
      </c>
      <c r="G24" s="8">
        <f t="shared" si="3"/>
        <v>107.35489587948605</v>
      </c>
      <c r="H24">
        <v>4230936</v>
      </c>
      <c r="I24" s="3">
        <v>431.8</v>
      </c>
      <c r="J24" s="3">
        <v>902.8</v>
      </c>
    </row>
    <row r="25" spans="1:10" x14ac:dyDescent="0.25">
      <c r="A25">
        <v>2016</v>
      </c>
      <c r="B25">
        <v>78937</v>
      </c>
      <c r="C25" s="3">
        <v>511.3</v>
      </c>
      <c r="D25" s="3">
        <v>963.3</v>
      </c>
      <c r="E25" s="8">
        <f t="shared" si="1"/>
        <v>1.7969628034595695</v>
      </c>
      <c r="F25" s="8">
        <f t="shared" si="2"/>
        <v>115.49582109780891</v>
      </c>
      <c r="G25" s="8">
        <f t="shared" si="3"/>
        <v>104.75206611570246</v>
      </c>
      <c r="H25">
        <v>4392801</v>
      </c>
      <c r="I25" s="3">
        <v>442.7</v>
      </c>
      <c r="J25" s="3">
        <v>919.6</v>
      </c>
    </row>
    <row r="26" spans="1:10" x14ac:dyDescent="0.25">
      <c r="A26">
        <v>2017</v>
      </c>
      <c r="B26">
        <v>82379</v>
      </c>
      <c r="C26" s="3">
        <v>524.1</v>
      </c>
      <c r="D26" s="3">
        <v>983.3</v>
      </c>
      <c r="E26" s="8">
        <f t="shared" si="1"/>
        <v>1.8005890126453681</v>
      </c>
      <c r="F26" s="8">
        <f t="shared" si="2"/>
        <v>115.21213453506267</v>
      </c>
      <c r="G26" s="8">
        <f t="shared" si="3"/>
        <v>104.70663401128739</v>
      </c>
      <c r="H26">
        <v>4575114</v>
      </c>
      <c r="I26" s="3">
        <v>454.9</v>
      </c>
      <c r="J26" s="3">
        <v>939.1</v>
      </c>
    </row>
    <row r="27" spans="1:10" x14ac:dyDescent="0.25">
      <c r="A27">
        <v>2018</v>
      </c>
      <c r="B27">
        <v>83705</v>
      </c>
      <c r="C27" s="3">
        <v>523.9</v>
      </c>
      <c r="D27" s="3">
        <v>979.5</v>
      </c>
      <c r="E27" s="8">
        <f t="shared" si="1"/>
        <v>1.7519434003294796</v>
      </c>
      <c r="F27" s="8">
        <f t="shared" si="2"/>
        <v>111.56303236797274</v>
      </c>
      <c r="G27" s="8">
        <f t="shared" si="3"/>
        <v>101.34505949301604</v>
      </c>
      <c r="H27">
        <v>4777837</v>
      </c>
      <c r="I27" s="3">
        <v>469.6</v>
      </c>
      <c r="J27" s="3">
        <v>966.5</v>
      </c>
    </row>
    <row r="28" spans="1:10" x14ac:dyDescent="0.25">
      <c r="A28">
        <v>2019</v>
      </c>
      <c r="B28">
        <v>91594</v>
      </c>
      <c r="C28" s="3">
        <v>565.20000000000005</v>
      </c>
      <c r="D28" s="3">
        <v>1037.8</v>
      </c>
      <c r="E28" s="8">
        <f t="shared" si="1"/>
        <v>1.824079506398836</v>
      </c>
      <c r="F28" s="8">
        <f t="shared" si="2"/>
        <v>115.70112589559878</v>
      </c>
      <c r="G28" s="8">
        <f t="shared" si="3"/>
        <v>103.61421725239617</v>
      </c>
      <c r="H28">
        <v>5021382</v>
      </c>
      <c r="I28" s="3">
        <v>488.5</v>
      </c>
      <c r="J28" s="3">
        <v>1001.6</v>
      </c>
    </row>
    <row r="29" spans="1:10" x14ac:dyDescent="0.25">
      <c r="A29">
        <v>2020</v>
      </c>
      <c r="B29">
        <v>92962</v>
      </c>
      <c r="C29" s="3">
        <v>567.4</v>
      </c>
      <c r="D29" s="3">
        <v>1034.8</v>
      </c>
      <c r="E29" s="8">
        <f t="shared" si="1"/>
        <v>1.8544721520969587</v>
      </c>
      <c r="F29" s="8">
        <f t="shared" si="2"/>
        <v>117.18298223874433</v>
      </c>
      <c r="G29" s="8">
        <f t="shared" si="3"/>
        <v>103.54212527516509</v>
      </c>
      <c r="H29">
        <v>5012855</v>
      </c>
      <c r="I29" s="3">
        <v>484.2</v>
      </c>
      <c r="J29" s="3">
        <v>999.4</v>
      </c>
    </row>
    <row r="30" spans="1:10" x14ac:dyDescent="0.25">
      <c r="A30">
        <v>2021</v>
      </c>
      <c r="B30">
        <v>99377</v>
      </c>
      <c r="C30" s="3">
        <v>602</v>
      </c>
      <c r="D30" s="3">
        <v>1097.7</v>
      </c>
      <c r="E30" s="8">
        <f t="shared" si="1"/>
        <v>1.8342820649124361</v>
      </c>
      <c r="F30" s="8">
        <f t="shared" si="2"/>
        <v>115.74697173620456</v>
      </c>
      <c r="G30" s="8">
        <f t="shared" si="3"/>
        <v>102.12112754674854</v>
      </c>
      <c r="H30">
        <v>5417760</v>
      </c>
      <c r="I30" s="3">
        <v>520.1</v>
      </c>
      <c r="J30" s="3">
        <v>1074.9000000000001</v>
      </c>
    </row>
    <row r="31" spans="1:10" x14ac:dyDescent="0.25">
      <c r="A31">
        <v>2022</v>
      </c>
      <c r="B31">
        <v>103085</v>
      </c>
      <c r="C31" s="3">
        <v>620.6</v>
      </c>
      <c r="D31" s="3">
        <v>1110.3</v>
      </c>
      <c r="E31" s="8">
        <f t="shared" si="1"/>
        <v>1.7723116386984077</v>
      </c>
      <c r="F31" s="8">
        <f t="shared" si="2"/>
        <v>111.90046880634692</v>
      </c>
      <c r="G31" s="8">
        <f t="shared" si="3"/>
        <v>98.842695628950423</v>
      </c>
      <c r="H31">
        <v>5816415</v>
      </c>
      <c r="I31" s="3">
        <v>554.6</v>
      </c>
      <c r="J31" s="3">
        <v>1123.3</v>
      </c>
    </row>
    <row r="32" spans="1:10" x14ac:dyDescent="0.25">
      <c r="A32">
        <v>2023</v>
      </c>
      <c r="B32">
        <v>111462</v>
      </c>
      <c r="C32" s="3">
        <v>667.3</v>
      </c>
      <c r="D32" s="3">
        <v>1174.4000000000001</v>
      </c>
      <c r="E32" s="8">
        <f t="shared" si="1"/>
        <v>1.8144002453449652</v>
      </c>
      <c r="F32" s="8">
        <f t="shared" si="2"/>
        <v>114.45969125214408</v>
      </c>
      <c r="G32" s="8">
        <f t="shared" si="3"/>
        <v>100.71177429036962</v>
      </c>
      <c r="H32">
        <v>6143187</v>
      </c>
      <c r="I32" s="3">
        <v>583</v>
      </c>
      <c r="J32" s="3">
        <v>1166.0999999999999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20</vt:i4>
      </vt:variant>
    </vt:vector>
  </HeadingPairs>
  <TitlesOfParts>
    <vt:vector size="20" baseType="lpstr">
      <vt:lpstr>Syss_ålder</vt:lpstr>
      <vt:lpstr>Syss_sektor</vt:lpstr>
      <vt:lpstr>Natt_sektor</vt:lpstr>
      <vt:lpstr>Syss_bransch</vt:lpstr>
      <vt:lpstr>Natt_bransch</vt:lpstr>
      <vt:lpstr>Detalj_bransch</vt:lpstr>
      <vt:lpstr>Syssgrad</vt:lpstr>
      <vt:lpstr>Natt_ålder</vt:lpstr>
      <vt:lpstr>Syss_utbnivå</vt:lpstr>
      <vt:lpstr>Natt_utbnivå</vt:lpstr>
      <vt:lpstr>Syss_utrikes</vt:lpstr>
      <vt:lpstr>Natt_utrikes</vt:lpstr>
      <vt:lpstr>Syssgrad_utrikes</vt:lpstr>
      <vt:lpstr>Pendling</vt:lpstr>
      <vt:lpstr>Ettårsklasser_natt</vt:lpstr>
      <vt:lpstr>Ettårsklasser_dag</vt:lpstr>
      <vt:lpstr>Syss_tillägg</vt:lpstr>
      <vt:lpstr>Arbetslöshet</vt:lpstr>
      <vt:lpstr>Långtidsarbetslöshet</vt:lpstr>
      <vt:lpstr>BRP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2026-03-18T11:34:06Z</dcterms:created>
  <dcterms:modified xsi:type="dcterms:W3CDTF">2026-03-25T05:18:39Z</dcterms:modified>
</cp:coreProperties>
</file>