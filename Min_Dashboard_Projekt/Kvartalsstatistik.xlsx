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_Dashboard\"/>
    </mc:Choice>
  </mc:AlternateContent>
  <xr:revisionPtr revIDLastSave="0" documentId="13_ncr:1_{F5981FC2-5555-44AD-BFFE-AE21A74C226F}" xr6:coauthVersionLast="36" xr6:coauthVersionMax="36" xr10:uidLastSave="{00000000-0000-0000-0000-000000000000}"/>
  <bookViews>
    <workbookView xWindow="0" yWindow="0" windowWidth="38400" windowHeight="17505" activeTab="1" xr2:uid="{6F6955DC-932A-4AAA-98BE-72C70B55B343}"/>
  </bookViews>
  <sheets>
    <sheet name="Befolkningsförändring" sheetId="1" r:id="rId1"/>
    <sheet name="Sysselsättning" sheetId="3" r:id="rId2"/>
    <sheet name="Bostadsbyggande" sheetId="4" r:id="rId3"/>
    <sheet name="Arbetslöshet" sheetId="2" r:id="rId4"/>
    <sheet name="Info om filern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5" i="3" l="1"/>
  <c r="N25" i="3"/>
  <c r="L25" i="3"/>
  <c r="J25" i="3"/>
  <c r="H25" i="3"/>
  <c r="F25" i="3"/>
  <c r="D25" i="3"/>
  <c r="F25" i="1" l="1"/>
  <c r="H25" i="1"/>
  <c r="J25" i="1"/>
  <c r="L25" i="1"/>
  <c r="N5" i="4" l="1"/>
  <c r="L5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I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U3" i="2"/>
  <c r="U4" i="2"/>
  <c r="U5" i="2"/>
  <c r="U6" i="2"/>
  <c r="U7" i="2"/>
  <c r="U8" i="2"/>
  <c r="U9" i="2"/>
  <c r="U10" i="2"/>
  <c r="V10" i="2" s="1"/>
  <c r="U11" i="2"/>
  <c r="U12" i="2"/>
  <c r="U13" i="2"/>
  <c r="U14" i="2"/>
  <c r="U15" i="2"/>
  <c r="V15" i="2" s="1"/>
  <c r="U16" i="2"/>
  <c r="U17" i="2"/>
  <c r="U18" i="2"/>
  <c r="U19" i="2"/>
  <c r="V19" i="2" s="1"/>
  <c r="U20" i="2"/>
  <c r="U21" i="2"/>
  <c r="U22" i="2"/>
  <c r="V22" i="2" s="1"/>
  <c r="U23" i="2"/>
  <c r="V23" i="2" s="1"/>
  <c r="U24" i="2"/>
  <c r="V24" i="2" s="1"/>
  <c r="U25" i="2"/>
  <c r="U2" i="2"/>
  <c r="V7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V25" i="2"/>
  <c r="V21" i="2"/>
  <c r="V20" i="2"/>
  <c r="V17" i="2"/>
  <c r="V16" i="2"/>
  <c r="V13" i="2"/>
  <c r="V12" i="2"/>
  <c r="V9" i="2"/>
  <c r="V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E3" i="2"/>
  <c r="E4" i="2"/>
  <c r="E5" i="2"/>
  <c r="E6" i="2"/>
  <c r="E7" i="2"/>
  <c r="F7" i="2" s="1"/>
  <c r="E8" i="2"/>
  <c r="F8" i="2" s="1"/>
  <c r="E9" i="2"/>
  <c r="F9" i="2" s="1"/>
  <c r="E10" i="2"/>
  <c r="E11" i="2"/>
  <c r="F11" i="2" s="1"/>
  <c r="E12" i="2"/>
  <c r="E13" i="2"/>
  <c r="F13" i="2" s="1"/>
  <c r="E14" i="2"/>
  <c r="F14" i="2" s="1"/>
  <c r="E15" i="2"/>
  <c r="F15" i="2" s="1"/>
  <c r="E16" i="2"/>
  <c r="F16" i="2" s="1"/>
  <c r="E17" i="2"/>
  <c r="F17" i="2" s="1"/>
  <c r="E18" i="2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" i="2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J5" i="4" l="1"/>
  <c r="D5" i="4"/>
  <c r="D9" i="4"/>
  <c r="D13" i="4"/>
  <c r="D17" i="4"/>
  <c r="D21" i="4"/>
  <c r="D25" i="4"/>
  <c r="J6" i="4"/>
  <c r="J10" i="4"/>
  <c r="J14" i="4"/>
  <c r="J18" i="4"/>
  <c r="J22" i="4"/>
  <c r="D6" i="4"/>
  <c r="D10" i="4"/>
  <c r="D14" i="4"/>
  <c r="D18" i="4"/>
  <c r="D22" i="4"/>
  <c r="J7" i="4"/>
  <c r="J11" i="4"/>
  <c r="J15" i="4"/>
  <c r="J19" i="4"/>
  <c r="J23" i="4"/>
  <c r="D7" i="4"/>
  <c r="D11" i="4"/>
  <c r="D15" i="4"/>
  <c r="D19" i="4"/>
  <c r="D23" i="4"/>
  <c r="J8" i="4"/>
  <c r="J12" i="4"/>
  <c r="J16" i="4"/>
  <c r="J20" i="4"/>
  <c r="J24" i="4"/>
  <c r="D8" i="4"/>
  <c r="D12" i="4"/>
  <c r="D16" i="4"/>
  <c r="D20" i="4"/>
  <c r="D24" i="4"/>
  <c r="J9" i="4"/>
  <c r="J13" i="4"/>
  <c r="J17" i="4"/>
  <c r="J21" i="4"/>
  <c r="J25" i="4"/>
  <c r="V18" i="2"/>
  <c r="V6" i="2"/>
  <c r="V14" i="2"/>
  <c r="V11" i="2"/>
  <c r="F10" i="2"/>
  <c r="F18" i="2"/>
  <c r="F12" i="2"/>
  <c r="F6" i="2"/>
</calcChain>
</file>

<file path=xl/sharedStrings.xml><?xml version="1.0" encoding="utf-8"?>
<sst xmlns="http://schemas.openxmlformats.org/spreadsheetml/2006/main" count="99" uniqueCount="66">
  <si>
    <t>År</t>
  </si>
  <si>
    <t>Kvartal</t>
  </si>
  <si>
    <t>Befolkningsförändring_Kvartal</t>
  </si>
  <si>
    <t>Födda_barn_Kvartal</t>
  </si>
  <si>
    <t>Döda_Kvartal</t>
  </si>
  <si>
    <t>Inflyttning_Kvartal</t>
  </si>
  <si>
    <t>Befolkningsförändring_R12</t>
  </si>
  <si>
    <t>Födda_barn_R12</t>
  </si>
  <si>
    <t>Döda_R12</t>
  </si>
  <si>
    <t>Inflyttning_R12</t>
  </si>
  <si>
    <t>Utflyttning_Kvartal</t>
  </si>
  <si>
    <t>Utflyttning_R12</t>
  </si>
  <si>
    <t>Befolkning_Kvartal</t>
  </si>
  <si>
    <t>Befolkning_R12</t>
  </si>
  <si>
    <t>Sysselsatta_Kvartal</t>
  </si>
  <si>
    <t>Sysselsatta_R12</t>
  </si>
  <si>
    <t>Tillverkning_Kvartal</t>
  </si>
  <si>
    <t>Tillverkning_R12</t>
  </si>
  <si>
    <t>IKT_Kvartal</t>
  </si>
  <si>
    <t>IKT_R12</t>
  </si>
  <si>
    <t>Utbildning_Kvartal</t>
  </si>
  <si>
    <t>Utbildning_R12</t>
  </si>
  <si>
    <t>Vård_Omsorg_Kvartal</t>
  </si>
  <si>
    <t>Vård_Omsorg_R12</t>
  </si>
  <si>
    <t>Offentlig_förvaltning_Kvartal</t>
  </si>
  <si>
    <t>Offentlig_förvaltning_R12</t>
  </si>
  <si>
    <t>Handel_Kvartal</t>
  </si>
  <si>
    <t>Handel_R12</t>
  </si>
  <si>
    <t>Färdigställda_bostäder_Kvartal</t>
  </si>
  <si>
    <t>Färdigställda_bostäder_R12</t>
  </si>
  <si>
    <t>Påbörjade_bostäder_Kvartal</t>
  </si>
  <si>
    <t>Påbörjade_bostäder_R12</t>
  </si>
  <si>
    <t>Inskrivna_arbetslösa_R12</t>
  </si>
  <si>
    <t>Inskrivna_arbetslösa_Kvartal</t>
  </si>
  <si>
    <t>Långtidsarbetslösa_Kvartal</t>
  </si>
  <si>
    <t>Långtidsarbetslösa_R12</t>
  </si>
  <si>
    <t>Inrikes_födda_arbetslösa_Kvartal</t>
  </si>
  <si>
    <t>Inrikes_födda_arbetslösa_R12</t>
  </si>
  <si>
    <t>Utrikes_födda_arbetslösa_Kvartal</t>
  </si>
  <si>
    <t>Utrikes_födda_arbetslösa_R12</t>
  </si>
  <si>
    <t>Ungdomar_arbetslösa_Kvartal</t>
  </si>
  <si>
    <t>Ungdomar_arbetslösa_R12</t>
  </si>
  <si>
    <t>..</t>
  </si>
  <si>
    <t>Mars</t>
  </si>
  <si>
    <t>Maj</t>
  </si>
  <si>
    <t>Augusti</t>
  </si>
  <si>
    <t>Oktober</t>
  </si>
  <si>
    <t>Använda månader för att beskriva resp. kvartal</t>
  </si>
  <si>
    <t>Inskrivna_arbetslösa_%_Kvartal</t>
  </si>
  <si>
    <t>Inskrivna_arbetslösa_%_R12</t>
  </si>
  <si>
    <t>Inrikes_födda_arbetslösa_%_Kvartal</t>
  </si>
  <si>
    <t>Inrikes_födda_arbetslösa_%_R12</t>
  </si>
  <si>
    <t>Utrikes_födda_arbetslösa_%_Kvartal</t>
  </si>
  <si>
    <t>Utrikes_födda_arbetslösa_%_R12</t>
  </si>
  <si>
    <t>Ungdomar_arbetslösa_%_Kvartal</t>
  </si>
  <si>
    <t>Ungdomar_arbetslösa_%_R12</t>
  </si>
  <si>
    <t>Långtidsarbetslösa_%_Kvartal</t>
  </si>
  <si>
    <t>Långtidsarbetslösa_%_R12</t>
  </si>
  <si>
    <t>Färdigställda_småhus_Kvartal</t>
  </si>
  <si>
    <t>Färdigställda_småhus_R12</t>
  </si>
  <si>
    <t>Färdigställda_flerbostadshus_Kvartal</t>
  </si>
  <si>
    <t>Färdigställda_flerbostadshus_R12</t>
  </si>
  <si>
    <t>Påbörjade_småhus_Kvartal</t>
  </si>
  <si>
    <t>Påbörjade_småhus_R12</t>
  </si>
  <si>
    <t>Påbörjade_flerbostadshus_Kvartal</t>
  </si>
  <si>
    <t>Påbörjade_flerbostadshus_R12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</si>
</sst>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7A0C-E5D8-4B2C-B731-4AFB2D241C55}">
  <dimension ref="A1:AB47"/>
  <sheetViews>
    <sheetView workbookViewId="0">
      <selection activeCell="C14" sqref="C14"/>
    </sheetView>
  </sheetViews>
  <sheetFormatPr defaultRowHeight="15" x14ac:dyDescent="0.25"/>
  <cols>
    <col min="3" max="3" width="28.42578125" bestFit="1" customWidth="1"/>
    <col min="4" max="4" width="25.28515625" bestFit="1" customWidth="1"/>
    <col min="5" max="5" width="18.85546875" bestFit="1" customWidth="1"/>
    <col min="6" max="6" width="15.7109375" bestFit="1" customWidth="1"/>
    <col min="7" max="7" width="12.7109375" bestFit="1" customWidth="1"/>
    <col min="8" max="8" width="9.7109375" bestFit="1" customWidth="1"/>
    <col min="9" max="9" width="17.7109375" bestFit="1" customWidth="1"/>
    <col min="10" max="10" width="14.5703125" bestFit="1" customWidth="1"/>
    <col min="11" max="11" width="18" bestFit="1" customWidth="1"/>
    <col min="12" max="12" width="14.85546875" bestFit="1" customWidth="1"/>
    <col min="13" max="13" width="18" bestFit="1" customWidth="1"/>
    <col min="14" max="14" width="14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7</v>
      </c>
      <c r="G1" t="s">
        <v>4</v>
      </c>
      <c r="H1" t="s">
        <v>8</v>
      </c>
      <c r="I1" t="s">
        <v>5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8" x14ac:dyDescent="0.25">
      <c r="A2">
        <v>2020</v>
      </c>
      <c r="B2">
        <v>1</v>
      </c>
      <c r="C2">
        <v>274</v>
      </c>
      <c r="D2">
        <v>1826</v>
      </c>
      <c r="E2">
        <v>447</v>
      </c>
      <c r="F2">
        <v>1845</v>
      </c>
      <c r="G2">
        <v>340</v>
      </c>
      <c r="H2">
        <v>1206</v>
      </c>
      <c r="I2">
        <v>2046</v>
      </c>
      <c r="J2">
        <v>9561</v>
      </c>
      <c r="K2">
        <v>1887</v>
      </c>
      <c r="L2">
        <v>8419</v>
      </c>
      <c r="M2">
        <v>163325</v>
      </c>
      <c r="N2">
        <v>162626</v>
      </c>
    </row>
    <row r="3" spans="1:28" x14ac:dyDescent="0.25">
      <c r="A3">
        <v>2020</v>
      </c>
      <c r="B3">
        <v>2</v>
      </c>
      <c r="C3">
        <v>-244</v>
      </c>
      <c r="D3">
        <v>1710</v>
      </c>
      <c r="E3">
        <v>456</v>
      </c>
      <c r="F3">
        <v>1779</v>
      </c>
      <c r="G3">
        <v>364</v>
      </c>
      <c r="H3">
        <v>1324</v>
      </c>
      <c r="I3">
        <v>1704</v>
      </c>
      <c r="J3">
        <v>9575</v>
      </c>
      <c r="K3">
        <v>2041</v>
      </c>
      <c r="L3">
        <v>8360</v>
      </c>
      <c r="M3">
        <v>163081</v>
      </c>
      <c r="N3">
        <v>163053.5</v>
      </c>
    </row>
    <row r="4" spans="1:28" x14ac:dyDescent="0.25">
      <c r="A4">
        <v>2020</v>
      </c>
      <c r="B4">
        <v>3</v>
      </c>
      <c r="C4">
        <v>1392</v>
      </c>
      <c r="D4">
        <v>1716</v>
      </c>
      <c r="E4">
        <v>495</v>
      </c>
      <c r="F4">
        <v>1806</v>
      </c>
      <c r="G4">
        <v>243</v>
      </c>
      <c r="H4">
        <v>1264</v>
      </c>
      <c r="I4">
        <v>3990</v>
      </c>
      <c r="J4">
        <v>9553</v>
      </c>
      <c r="K4">
        <v>2862</v>
      </c>
      <c r="L4">
        <v>8424</v>
      </c>
      <c r="M4">
        <v>164473</v>
      </c>
      <c r="N4">
        <v>163482.5</v>
      </c>
    </row>
    <row r="5" spans="1:28" x14ac:dyDescent="0.25">
      <c r="A5">
        <v>2020</v>
      </c>
      <c r="B5">
        <v>4</v>
      </c>
      <c r="C5">
        <v>143</v>
      </c>
      <c r="D5">
        <f>SUM(C2:C5)</f>
        <v>1565</v>
      </c>
      <c r="E5">
        <v>388</v>
      </c>
      <c r="F5">
        <f>SUM(E2:E5)</f>
        <v>1786</v>
      </c>
      <c r="G5">
        <v>387</v>
      </c>
      <c r="H5">
        <f>SUM(G2:G5)</f>
        <v>1334</v>
      </c>
      <c r="I5">
        <v>1874</v>
      </c>
      <c r="J5">
        <f>SUM(I2:I5)</f>
        <v>9614</v>
      </c>
      <c r="K5">
        <v>1846</v>
      </c>
      <c r="L5">
        <f>SUM(K2:K5)</f>
        <v>8636</v>
      </c>
      <c r="M5">
        <v>164616</v>
      </c>
      <c r="N5" s="3">
        <f>AVERAGE(M2:M5)</f>
        <v>163873.75</v>
      </c>
    </row>
    <row r="6" spans="1:28" x14ac:dyDescent="0.25">
      <c r="A6">
        <v>2021</v>
      </c>
      <c r="B6">
        <v>1</v>
      </c>
      <c r="C6">
        <v>68</v>
      </c>
      <c r="D6">
        <f t="shared" ref="D6:F25" si="0">SUM(C3:C6)</f>
        <v>1359</v>
      </c>
      <c r="E6">
        <v>454</v>
      </c>
      <c r="F6">
        <f t="shared" si="0"/>
        <v>1793</v>
      </c>
      <c r="G6">
        <v>348</v>
      </c>
      <c r="H6">
        <f t="shared" ref="H6:J6" si="1">SUM(G3:G6)</f>
        <v>1342</v>
      </c>
      <c r="I6">
        <v>1808</v>
      </c>
      <c r="J6">
        <f t="shared" si="1"/>
        <v>9376</v>
      </c>
      <c r="K6">
        <v>1977</v>
      </c>
      <c r="L6">
        <f t="shared" ref="L6" si="2">SUM(K3:K6)</f>
        <v>8726</v>
      </c>
      <c r="M6">
        <v>164684</v>
      </c>
      <c r="N6" s="3">
        <f t="shared" ref="N6:N25" si="3">AVERAGE(M3:M6)</f>
        <v>164213.5</v>
      </c>
    </row>
    <row r="7" spans="1:28" x14ac:dyDescent="0.25">
      <c r="A7">
        <v>2021</v>
      </c>
      <c r="B7">
        <v>2</v>
      </c>
      <c r="C7">
        <v>-441</v>
      </c>
      <c r="D7">
        <f t="shared" si="0"/>
        <v>1162</v>
      </c>
      <c r="E7">
        <v>496</v>
      </c>
      <c r="F7">
        <f t="shared" si="0"/>
        <v>1833</v>
      </c>
      <c r="G7">
        <v>267</v>
      </c>
      <c r="H7">
        <f t="shared" ref="H7:J7" si="4">SUM(G4:G7)</f>
        <v>1245</v>
      </c>
      <c r="I7">
        <v>1580</v>
      </c>
      <c r="J7">
        <f t="shared" si="4"/>
        <v>9252</v>
      </c>
      <c r="K7">
        <v>2340</v>
      </c>
      <c r="L7">
        <f t="shared" ref="L7" si="5">SUM(K4:K7)</f>
        <v>9025</v>
      </c>
      <c r="M7">
        <v>164243</v>
      </c>
      <c r="N7" s="3">
        <f t="shared" si="3"/>
        <v>164504</v>
      </c>
    </row>
    <row r="8" spans="1:28" x14ac:dyDescent="0.25">
      <c r="A8">
        <v>2021</v>
      </c>
      <c r="B8">
        <v>3</v>
      </c>
      <c r="C8">
        <v>1165</v>
      </c>
      <c r="D8">
        <f t="shared" si="0"/>
        <v>935</v>
      </c>
      <c r="E8">
        <v>465</v>
      </c>
      <c r="F8">
        <f t="shared" si="0"/>
        <v>1803</v>
      </c>
      <c r="G8">
        <v>312</v>
      </c>
      <c r="H8">
        <f t="shared" ref="H8:J8" si="6">SUM(G5:G8)</f>
        <v>1314</v>
      </c>
      <c r="I8">
        <v>4117</v>
      </c>
      <c r="J8">
        <f t="shared" si="6"/>
        <v>9379</v>
      </c>
      <c r="K8">
        <v>3213</v>
      </c>
      <c r="L8">
        <f t="shared" ref="L8" si="7">SUM(K5:K8)</f>
        <v>9376</v>
      </c>
      <c r="M8">
        <v>165408</v>
      </c>
      <c r="N8" s="3">
        <f t="shared" si="3"/>
        <v>164737.75</v>
      </c>
    </row>
    <row r="9" spans="1:28" x14ac:dyDescent="0.25">
      <c r="A9">
        <v>2021</v>
      </c>
      <c r="B9">
        <v>4</v>
      </c>
      <c r="C9">
        <v>119</v>
      </c>
      <c r="D9">
        <f t="shared" si="0"/>
        <v>911</v>
      </c>
      <c r="E9">
        <v>426</v>
      </c>
      <c r="F9">
        <f t="shared" si="0"/>
        <v>1841</v>
      </c>
      <c r="G9">
        <v>346</v>
      </c>
      <c r="H9">
        <f t="shared" ref="H9:J9" si="8">SUM(G6:G9)</f>
        <v>1273</v>
      </c>
      <c r="I9">
        <v>1885</v>
      </c>
      <c r="J9">
        <f t="shared" si="8"/>
        <v>9390</v>
      </c>
      <c r="K9">
        <v>2067</v>
      </c>
      <c r="L9">
        <f t="shared" ref="L9" si="9">SUM(K6:K9)</f>
        <v>9597</v>
      </c>
      <c r="M9">
        <v>165527</v>
      </c>
      <c r="N9" s="3">
        <f t="shared" si="3"/>
        <v>164965.5</v>
      </c>
    </row>
    <row r="10" spans="1:28" x14ac:dyDescent="0.25">
      <c r="A10">
        <v>2022</v>
      </c>
      <c r="B10">
        <v>1</v>
      </c>
      <c r="C10">
        <v>30</v>
      </c>
      <c r="D10">
        <f t="shared" si="0"/>
        <v>873</v>
      </c>
      <c r="E10">
        <v>403</v>
      </c>
      <c r="F10">
        <f t="shared" si="0"/>
        <v>1790</v>
      </c>
      <c r="G10">
        <v>360</v>
      </c>
      <c r="H10">
        <f t="shared" ref="H10:J10" si="10">SUM(G7:G10)</f>
        <v>1285</v>
      </c>
      <c r="I10">
        <v>1935</v>
      </c>
      <c r="J10">
        <f t="shared" si="10"/>
        <v>9517</v>
      </c>
      <c r="K10">
        <v>2030</v>
      </c>
      <c r="L10">
        <f t="shared" ref="L10" si="11">SUM(K7:K10)</f>
        <v>9650</v>
      </c>
      <c r="M10">
        <v>165557</v>
      </c>
      <c r="N10" s="3">
        <f t="shared" si="3"/>
        <v>165183.75</v>
      </c>
    </row>
    <row r="11" spans="1:28" x14ac:dyDescent="0.25">
      <c r="A11">
        <v>2022</v>
      </c>
      <c r="B11">
        <v>2</v>
      </c>
      <c r="C11">
        <v>-524</v>
      </c>
      <c r="D11">
        <f t="shared" si="0"/>
        <v>790</v>
      </c>
      <c r="E11">
        <v>422</v>
      </c>
      <c r="F11">
        <f t="shared" si="0"/>
        <v>1716</v>
      </c>
      <c r="G11">
        <v>267</v>
      </c>
      <c r="H11">
        <f t="shared" ref="H11:J11" si="12">SUM(G8:G11)</f>
        <v>1285</v>
      </c>
      <c r="I11">
        <v>1771</v>
      </c>
      <c r="J11">
        <f t="shared" si="12"/>
        <v>9708</v>
      </c>
      <c r="K11">
        <v>2449</v>
      </c>
      <c r="L11">
        <f t="shared" ref="L11" si="13">SUM(K8:K11)</f>
        <v>9759</v>
      </c>
      <c r="M11">
        <v>165033</v>
      </c>
      <c r="N11" s="3">
        <f t="shared" si="3"/>
        <v>165381.25</v>
      </c>
    </row>
    <row r="12" spans="1:28" x14ac:dyDescent="0.25">
      <c r="A12">
        <v>2022</v>
      </c>
      <c r="B12">
        <v>3</v>
      </c>
      <c r="C12">
        <v>1179</v>
      </c>
      <c r="D12">
        <f t="shared" si="0"/>
        <v>804</v>
      </c>
      <c r="E12">
        <v>419</v>
      </c>
      <c r="F12">
        <f t="shared" si="0"/>
        <v>1670</v>
      </c>
      <c r="G12">
        <v>269</v>
      </c>
      <c r="H12">
        <f t="shared" ref="H12:J12" si="14">SUM(G9:G12)</f>
        <v>1242</v>
      </c>
      <c r="I12">
        <v>4200</v>
      </c>
      <c r="J12">
        <f t="shared" si="14"/>
        <v>9791</v>
      </c>
      <c r="K12">
        <v>3225</v>
      </c>
      <c r="L12">
        <f t="shared" ref="L12" si="15">SUM(K9:K12)</f>
        <v>9771</v>
      </c>
      <c r="M12">
        <v>166212</v>
      </c>
      <c r="N12" s="3">
        <f t="shared" si="3"/>
        <v>165582.25</v>
      </c>
    </row>
    <row r="13" spans="1:28" x14ac:dyDescent="0.25">
      <c r="A13">
        <v>2022</v>
      </c>
      <c r="B13">
        <v>4</v>
      </c>
      <c r="C13">
        <v>461</v>
      </c>
      <c r="D13">
        <f t="shared" si="0"/>
        <v>1146</v>
      </c>
      <c r="E13">
        <v>365</v>
      </c>
      <c r="F13">
        <f t="shared" si="0"/>
        <v>1609</v>
      </c>
      <c r="G13">
        <v>349</v>
      </c>
      <c r="H13">
        <f t="shared" ref="H13:J13" si="16">SUM(G10:G13)</f>
        <v>1245</v>
      </c>
      <c r="I13">
        <v>2080</v>
      </c>
      <c r="J13">
        <f t="shared" si="16"/>
        <v>9986</v>
      </c>
      <c r="K13">
        <v>1751</v>
      </c>
      <c r="L13">
        <f t="shared" ref="L13" si="17">SUM(K10:K13)</f>
        <v>9455</v>
      </c>
      <c r="M13">
        <v>166673</v>
      </c>
      <c r="N13" s="3">
        <f t="shared" si="3"/>
        <v>165868.75</v>
      </c>
      <c r="W13" s="1"/>
      <c r="AA13" s="1"/>
      <c r="AB13" s="1"/>
    </row>
    <row r="14" spans="1:28" x14ac:dyDescent="0.25">
      <c r="A14">
        <v>2023</v>
      </c>
      <c r="B14">
        <v>1</v>
      </c>
      <c r="C14">
        <v>250</v>
      </c>
      <c r="D14">
        <f t="shared" si="0"/>
        <v>1366</v>
      </c>
      <c r="E14">
        <v>393</v>
      </c>
      <c r="F14">
        <f t="shared" si="0"/>
        <v>1599</v>
      </c>
      <c r="G14">
        <v>349</v>
      </c>
      <c r="H14">
        <f t="shared" ref="H14:J14" si="18">SUM(G11:G14)</f>
        <v>1234</v>
      </c>
      <c r="I14">
        <v>2039</v>
      </c>
      <c r="J14">
        <f t="shared" si="18"/>
        <v>10090</v>
      </c>
      <c r="K14">
        <v>1864</v>
      </c>
      <c r="L14">
        <f t="shared" ref="L14" si="19">SUM(K11:K14)</f>
        <v>9289</v>
      </c>
      <c r="M14">
        <v>166923</v>
      </c>
      <c r="N14" s="3">
        <f t="shared" si="3"/>
        <v>166210.25</v>
      </c>
      <c r="W14" s="1"/>
      <c r="AA14" s="1"/>
      <c r="AB14" s="1"/>
    </row>
    <row r="15" spans="1:28" x14ac:dyDescent="0.25">
      <c r="A15">
        <v>2023</v>
      </c>
      <c r="B15">
        <v>2</v>
      </c>
      <c r="C15">
        <v>-364</v>
      </c>
      <c r="D15">
        <f t="shared" si="0"/>
        <v>1526</v>
      </c>
      <c r="E15">
        <v>428</v>
      </c>
      <c r="F15">
        <f t="shared" si="0"/>
        <v>1605</v>
      </c>
      <c r="G15">
        <v>291</v>
      </c>
      <c r="H15">
        <f t="shared" ref="H15:J15" si="20">SUM(G12:G15)</f>
        <v>1258</v>
      </c>
      <c r="I15">
        <v>1816</v>
      </c>
      <c r="J15">
        <f t="shared" si="20"/>
        <v>10135</v>
      </c>
      <c r="K15">
        <v>2304</v>
      </c>
      <c r="L15">
        <f t="shared" ref="L15" si="21">SUM(K12:K15)</f>
        <v>9144</v>
      </c>
      <c r="M15">
        <v>166559</v>
      </c>
      <c r="N15" s="3">
        <f t="shared" si="3"/>
        <v>166591.75</v>
      </c>
      <c r="W15" s="1"/>
      <c r="X15" s="1"/>
      <c r="AA15" s="1"/>
      <c r="AB15" s="1"/>
    </row>
    <row r="16" spans="1:28" x14ac:dyDescent="0.25">
      <c r="A16">
        <v>2023</v>
      </c>
      <c r="B16">
        <v>3</v>
      </c>
      <c r="C16">
        <v>898</v>
      </c>
      <c r="D16">
        <f t="shared" si="0"/>
        <v>1245</v>
      </c>
      <c r="E16">
        <v>383</v>
      </c>
      <c r="F16">
        <f t="shared" si="0"/>
        <v>1569</v>
      </c>
      <c r="G16">
        <v>294</v>
      </c>
      <c r="H16">
        <f t="shared" ref="H16:J16" si="22">SUM(G13:G16)</f>
        <v>1283</v>
      </c>
      <c r="I16">
        <v>4070</v>
      </c>
      <c r="J16">
        <f t="shared" si="22"/>
        <v>10005</v>
      </c>
      <c r="K16">
        <v>3258</v>
      </c>
      <c r="L16">
        <f t="shared" ref="L16" si="23">SUM(K13:K16)</f>
        <v>9177</v>
      </c>
      <c r="M16">
        <v>167457</v>
      </c>
      <c r="N16" s="3">
        <f t="shared" si="3"/>
        <v>166903</v>
      </c>
      <c r="W16" s="1"/>
      <c r="AA16" s="1"/>
      <c r="AB16" s="1"/>
    </row>
    <row r="17" spans="1:28" x14ac:dyDescent="0.25">
      <c r="A17">
        <v>2023</v>
      </c>
      <c r="B17">
        <v>4</v>
      </c>
      <c r="C17">
        <v>-53</v>
      </c>
      <c r="D17">
        <f t="shared" si="0"/>
        <v>731</v>
      </c>
      <c r="E17">
        <v>352</v>
      </c>
      <c r="F17">
        <f t="shared" si="0"/>
        <v>1556</v>
      </c>
      <c r="G17">
        <v>326</v>
      </c>
      <c r="H17">
        <f t="shared" ref="H17:J17" si="24">SUM(G14:G17)</f>
        <v>1260</v>
      </c>
      <c r="I17">
        <v>1817</v>
      </c>
      <c r="J17">
        <f t="shared" si="24"/>
        <v>9742</v>
      </c>
      <c r="K17">
        <v>1878</v>
      </c>
      <c r="L17">
        <f t="shared" ref="L17" si="25">SUM(K14:K17)</f>
        <v>9304</v>
      </c>
      <c r="M17">
        <v>167404</v>
      </c>
      <c r="N17" s="3">
        <f t="shared" si="3"/>
        <v>167085.75</v>
      </c>
      <c r="W17" s="1"/>
      <c r="AA17" s="1"/>
      <c r="AB17" s="1"/>
    </row>
    <row r="18" spans="1:28" x14ac:dyDescent="0.25">
      <c r="A18">
        <v>2024</v>
      </c>
      <c r="B18">
        <v>1</v>
      </c>
      <c r="C18">
        <v>68</v>
      </c>
      <c r="D18">
        <f t="shared" si="0"/>
        <v>549</v>
      </c>
      <c r="E18">
        <v>446</v>
      </c>
      <c r="F18">
        <f t="shared" si="0"/>
        <v>1609</v>
      </c>
      <c r="G18">
        <v>318</v>
      </c>
      <c r="H18">
        <f t="shared" ref="H18:J18" si="26">SUM(G15:G18)</f>
        <v>1229</v>
      </c>
      <c r="I18">
        <v>1921</v>
      </c>
      <c r="J18">
        <f t="shared" si="26"/>
        <v>9624</v>
      </c>
      <c r="K18">
        <v>1967</v>
      </c>
      <c r="L18">
        <f t="shared" ref="L18" si="27">SUM(K15:K18)</f>
        <v>9407</v>
      </c>
      <c r="M18">
        <v>167472</v>
      </c>
      <c r="N18" s="3">
        <f t="shared" si="3"/>
        <v>167223</v>
      </c>
      <c r="W18" s="1"/>
      <c r="AA18" s="1"/>
      <c r="AB18" s="1"/>
    </row>
    <row r="19" spans="1:28" x14ac:dyDescent="0.25">
      <c r="A19">
        <v>2024</v>
      </c>
      <c r="B19">
        <v>2</v>
      </c>
      <c r="C19">
        <v>-705</v>
      </c>
      <c r="D19">
        <f t="shared" si="0"/>
        <v>208</v>
      </c>
      <c r="E19">
        <v>411</v>
      </c>
      <c r="F19">
        <f t="shared" si="0"/>
        <v>1592</v>
      </c>
      <c r="G19">
        <v>274</v>
      </c>
      <c r="H19">
        <f t="shared" ref="H19:J19" si="28">SUM(G16:G19)</f>
        <v>1212</v>
      </c>
      <c r="I19">
        <v>1685</v>
      </c>
      <c r="J19">
        <f t="shared" si="28"/>
        <v>9493</v>
      </c>
      <c r="K19">
        <v>2516</v>
      </c>
      <c r="L19">
        <f t="shared" ref="L19" si="29">SUM(K16:K19)</f>
        <v>9619</v>
      </c>
      <c r="M19">
        <v>166767</v>
      </c>
      <c r="N19" s="3">
        <f t="shared" si="3"/>
        <v>167275</v>
      </c>
      <c r="W19" s="1"/>
      <c r="X19" s="1"/>
      <c r="AA19" s="1"/>
      <c r="AB19" s="1"/>
    </row>
    <row r="20" spans="1:28" x14ac:dyDescent="0.25">
      <c r="A20">
        <v>2024</v>
      </c>
      <c r="B20">
        <v>3</v>
      </c>
      <c r="C20">
        <v>1227</v>
      </c>
      <c r="D20">
        <f t="shared" si="0"/>
        <v>537</v>
      </c>
      <c r="E20">
        <v>412</v>
      </c>
      <c r="F20">
        <f t="shared" si="0"/>
        <v>1621</v>
      </c>
      <c r="G20">
        <v>272</v>
      </c>
      <c r="H20">
        <f t="shared" ref="H20:J20" si="30">SUM(G17:G20)</f>
        <v>1190</v>
      </c>
      <c r="I20">
        <v>4440</v>
      </c>
      <c r="J20">
        <f t="shared" si="30"/>
        <v>9863</v>
      </c>
      <c r="K20">
        <v>3364</v>
      </c>
      <c r="L20">
        <f t="shared" ref="L20" si="31">SUM(K17:K20)</f>
        <v>9725</v>
      </c>
      <c r="M20">
        <v>167994</v>
      </c>
      <c r="N20" s="3">
        <f t="shared" si="3"/>
        <v>167409.25</v>
      </c>
      <c r="W20" s="1"/>
      <c r="AA20" s="1"/>
      <c r="AB20" s="1"/>
    </row>
    <row r="21" spans="1:28" x14ac:dyDescent="0.25">
      <c r="A21">
        <v>2024</v>
      </c>
      <c r="B21">
        <v>4</v>
      </c>
      <c r="C21">
        <v>41</v>
      </c>
      <c r="D21">
        <f t="shared" si="0"/>
        <v>631</v>
      </c>
      <c r="E21">
        <v>332</v>
      </c>
      <c r="F21">
        <f t="shared" si="0"/>
        <v>1601</v>
      </c>
      <c r="G21">
        <v>313</v>
      </c>
      <c r="H21">
        <f t="shared" ref="H21:J21" si="32">SUM(G18:G21)</f>
        <v>1177</v>
      </c>
      <c r="I21">
        <v>1802</v>
      </c>
      <c r="J21">
        <f t="shared" si="32"/>
        <v>9848</v>
      </c>
      <c r="K21">
        <v>1781</v>
      </c>
      <c r="L21">
        <f t="shared" ref="L21" si="33">SUM(K18:K21)</f>
        <v>9628</v>
      </c>
      <c r="M21">
        <v>168035</v>
      </c>
      <c r="N21" s="3">
        <f t="shared" si="3"/>
        <v>167567</v>
      </c>
      <c r="W21" s="1"/>
      <c r="AA21" s="1"/>
      <c r="AB21" s="1"/>
    </row>
    <row r="22" spans="1:28" x14ac:dyDescent="0.25">
      <c r="A22">
        <v>2025</v>
      </c>
      <c r="B22">
        <v>1</v>
      </c>
      <c r="C22">
        <v>89</v>
      </c>
      <c r="D22">
        <f t="shared" si="0"/>
        <v>652</v>
      </c>
      <c r="E22">
        <v>343</v>
      </c>
      <c r="F22">
        <f t="shared" si="0"/>
        <v>1498</v>
      </c>
      <c r="G22">
        <v>349</v>
      </c>
      <c r="H22">
        <f t="shared" ref="H22:J22" si="34">SUM(G19:G22)</f>
        <v>1208</v>
      </c>
      <c r="I22">
        <v>1959</v>
      </c>
      <c r="J22">
        <f t="shared" si="34"/>
        <v>9886</v>
      </c>
      <c r="K22">
        <v>1880</v>
      </c>
      <c r="L22">
        <f t="shared" ref="L22" si="35">SUM(K19:K22)</f>
        <v>9541</v>
      </c>
      <c r="M22">
        <v>168124</v>
      </c>
      <c r="N22" s="3">
        <f t="shared" si="3"/>
        <v>167730</v>
      </c>
      <c r="W22" s="1"/>
      <c r="AA22" s="1"/>
      <c r="AB22" s="1"/>
    </row>
    <row r="23" spans="1:28" x14ac:dyDescent="0.25">
      <c r="A23">
        <v>2025</v>
      </c>
      <c r="B23">
        <v>2</v>
      </c>
      <c r="C23">
        <v>-685</v>
      </c>
      <c r="D23">
        <f t="shared" si="0"/>
        <v>672</v>
      </c>
      <c r="E23">
        <v>436</v>
      </c>
      <c r="F23">
        <f t="shared" si="0"/>
        <v>1523</v>
      </c>
      <c r="G23">
        <v>307</v>
      </c>
      <c r="H23">
        <f t="shared" ref="H23:J23" si="36">SUM(G20:G23)</f>
        <v>1241</v>
      </c>
      <c r="I23">
        <v>1647</v>
      </c>
      <c r="J23">
        <f t="shared" si="36"/>
        <v>9848</v>
      </c>
      <c r="K23">
        <v>2449</v>
      </c>
      <c r="L23">
        <f t="shared" ref="L23" si="37">SUM(K20:K23)</f>
        <v>9474</v>
      </c>
      <c r="M23">
        <v>167439</v>
      </c>
      <c r="N23" s="3">
        <f t="shared" si="3"/>
        <v>167898</v>
      </c>
      <c r="W23" s="1"/>
      <c r="X23" s="1"/>
      <c r="AA23" s="1"/>
      <c r="AB23" s="1"/>
    </row>
    <row r="24" spans="1:28" x14ac:dyDescent="0.25">
      <c r="A24">
        <v>2025</v>
      </c>
      <c r="B24">
        <v>3</v>
      </c>
      <c r="C24">
        <v>1298</v>
      </c>
      <c r="D24">
        <f t="shared" si="0"/>
        <v>743</v>
      </c>
      <c r="E24">
        <v>376</v>
      </c>
      <c r="F24">
        <f t="shared" si="0"/>
        <v>1487</v>
      </c>
      <c r="G24">
        <v>280</v>
      </c>
      <c r="H24">
        <f t="shared" ref="H24:J25" si="38">SUM(G21:G24)</f>
        <v>1249</v>
      </c>
      <c r="I24">
        <v>4476</v>
      </c>
      <c r="J24">
        <f t="shared" si="38"/>
        <v>9884</v>
      </c>
      <c r="K24">
        <v>3279</v>
      </c>
      <c r="L24">
        <f t="shared" ref="L24:L25" si="39">SUM(K21:K24)</f>
        <v>9389</v>
      </c>
      <c r="M24">
        <v>168737</v>
      </c>
      <c r="N24" s="3">
        <f t="shared" si="3"/>
        <v>168083.75</v>
      </c>
      <c r="W24" s="1"/>
      <c r="AA24" s="1"/>
      <c r="AB24" s="1"/>
    </row>
    <row r="25" spans="1:28" x14ac:dyDescent="0.25">
      <c r="A25">
        <v>2025</v>
      </c>
      <c r="B25">
        <v>4</v>
      </c>
      <c r="C25">
        <v>-24</v>
      </c>
      <c r="D25">
        <f t="shared" si="0"/>
        <v>678</v>
      </c>
      <c r="E25">
        <v>340</v>
      </c>
      <c r="F25">
        <f t="shared" si="0"/>
        <v>1495</v>
      </c>
      <c r="G25">
        <v>319</v>
      </c>
      <c r="H25">
        <f t="shared" si="38"/>
        <v>1255</v>
      </c>
      <c r="I25">
        <v>1842</v>
      </c>
      <c r="J25">
        <f t="shared" si="38"/>
        <v>9924</v>
      </c>
      <c r="K25">
        <v>1895</v>
      </c>
      <c r="L25">
        <f t="shared" si="39"/>
        <v>9503</v>
      </c>
      <c r="M25">
        <v>168713</v>
      </c>
      <c r="N25" s="3">
        <f t="shared" si="3"/>
        <v>168253.25</v>
      </c>
      <c r="W25" s="1"/>
      <c r="AA25" s="1"/>
      <c r="AB25" s="1"/>
    </row>
    <row r="26" spans="1:28" x14ac:dyDescent="0.25">
      <c r="W26" s="1"/>
      <c r="AA26" s="1"/>
      <c r="AB26" s="1"/>
    </row>
    <row r="27" spans="1:28" x14ac:dyDescent="0.25">
      <c r="W27" s="1"/>
      <c r="X27" s="1"/>
      <c r="AA27" s="1"/>
      <c r="AB27" s="1"/>
    </row>
    <row r="28" spans="1:28" x14ac:dyDescent="0.25">
      <c r="W28" s="1"/>
      <c r="AA28" s="1"/>
      <c r="AB28" s="1"/>
    </row>
    <row r="29" spans="1:28" x14ac:dyDescent="0.25">
      <c r="W29" s="1"/>
      <c r="AA29" s="1"/>
      <c r="AB29" s="1"/>
    </row>
    <row r="30" spans="1:28" x14ac:dyDescent="0.25">
      <c r="W30" s="1"/>
      <c r="AA30" s="1"/>
      <c r="AB30" s="1"/>
    </row>
    <row r="31" spans="1:28" x14ac:dyDescent="0.25">
      <c r="W31" s="1"/>
      <c r="AA31" s="1"/>
      <c r="AB31" s="1"/>
    </row>
    <row r="32" spans="1:28" x14ac:dyDescent="0.25">
      <c r="W32" s="1"/>
      <c r="AA32" s="1"/>
      <c r="AB32" s="1"/>
    </row>
    <row r="33" spans="23:28" x14ac:dyDescent="0.25">
      <c r="W33" s="1"/>
      <c r="AA33" s="1"/>
      <c r="AB33" s="1"/>
    </row>
    <row r="34" spans="23:28" x14ac:dyDescent="0.25">
      <c r="W34" s="1"/>
      <c r="AA34" s="1"/>
      <c r="AB34" s="1"/>
    </row>
    <row r="35" spans="23:28" x14ac:dyDescent="0.25">
      <c r="W35" s="1"/>
      <c r="X35" s="1"/>
      <c r="AA35" s="1"/>
      <c r="AB35" s="1"/>
    </row>
    <row r="36" spans="23:28" x14ac:dyDescent="0.25">
      <c r="W36" s="1"/>
      <c r="AA36" s="1"/>
      <c r="AB36" s="1"/>
    </row>
    <row r="37" spans="23:28" x14ac:dyDescent="0.25">
      <c r="W37" s="1"/>
      <c r="AA37" s="1"/>
      <c r="AB37" s="1"/>
    </row>
    <row r="38" spans="23:28" x14ac:dyDescent="0.25">
      <c r="W38" s="1"/>
      <c r="AA38" s="1"/>
      <c r="AB38" s="1"/>
    </row>
    <row r="39" spans="23:28" x14ac:dyDescent="0.25">
      <c r="W39" s="1"/>
      <c r="X39" s="1"/>
      <c r="AA39" s="1"/>
      <c r="AB39" s="1"/>
    </row>
    <row r="43" spans="23:28" x14ac:dyDescent="0.25">
      <c r="W43" s="1"/>
    </row>
    <row r="44" spans="23:28" x14ac:dyDescent="0.25">
      <c r="W44" s="1"/>
    </row>
    <row r="45" spans="23:28" x14ac:dyDescent="0.25">
      <c r="W45" s="1"/>
    </row>
    <row r="46" spans="23:28" x14ac:dyDescent="0.25">
      <c r="W46" s="1"/>
    </row>
    <row r="47" spans="23:28" x14ac:dyDescent="0.25">
      <c r="W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F59D-1FD4-4CB0-928D-EE65E23AFD77}">
  <dimension ref="A1:P25"/>
  <sheetViews>
    <sheetView tabSelected="1" workbookViewId="0"/>
  </sheetViews>
  <sheetFormatPr defaultRowHeight="15" x14ac:dyDescent="0.25"/>
  <cols>
    <col min="3" max="3" width="18.140625" bestFit="1" customWidth="1"/>
    <col min="4" max="4" width="15" bestFit="1" customWidth="1"/>
    <col min="5" max="5" width="18.85546875" bestFit="1" customWidth="1"/>
    <col min="6" max="6" width="15.7109375" bestFit="1" customWidth="1"/>
    <col min="7" max="7" width="14.5703125" bestFit="1" customWidth="1"/>
    <col min="8" max="8" width="11.42578125" bestFit="1" customWidth="1"/>
    <col min="9" max="9" width="10.85546875" bestFit="1" customWidth="1"/>
    <col min="10" max="10" width="7.85546875" bestFit="1" customWidth="1"/>
    <col min="11" max="11" width="17.7109375" bestFit="1" customWidth="1"/>
    <col min="12" max="12" width="14.5703125" bestFit="1" customWidth="1"/>
    <col min="13" max="13" width="20.42578125" bestFit="1" customWidth="1"/>
    <col min="14" max="14" width="17.42578125" bestFit="1" customWidth="1"/>
    <col min="15" max="15" width="27.42578125" bestFit="1" customWidth="1"/>
    <col min="16" max="16" width="24.28515625" bestFit="1" customWidth="1"/>
  </cols>
  <sheetData>
    <row r="1" spans="1:16" x14ac:dyDescent="0.25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26</v>
      </c>
      <c r="H1" t="s">
        <v>27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6" x14ac:dyDescent="0.25">
      <c r="A2">
        <v>2020</v>
      </c>
      <c r="B2">
        <v>1</v>
      </c>
      <c r="C2">
        <v>88921</v>
      </c>
      <c r="D2" s="4" t="s">
        <v>42</v>
      </c>
      <c r="E2">
        <v>11400</v>
      </c>
      <c r="F2" s="4" t="s">
        <v>42</v>
      </c>
      <c r="G2">
        <v>7647</v>
      </c>
      <c r="H2" s="4" t="s">
        <v>42</v>
      </c>
      <c r="I2">
        <v>5782</v>
      </c>
      <c r="J2" s="4" t="s">
        <v>42</v>
      </c>
      <c r="K2">
        <v>11653</v>
      </c>
      <c r="L2" s="4" t="s">
        <v>42</v>
      </c>
      <c r="M2">
        <v>15303</v>
      </c>
      <c r="N2" s="4" t="s">
        <v>42</v>
      </c>
      <c r="O2">
        <v>6513</v>
      </c>
      <c r="P2" s="4" t="s">
        <v>42</v>
      </c>
    </row>
    <row r="3" spans="1:16" x14ac:dyDescent="0.25">
      <c r="A3">
        <v>2020</v>
      </c>
      <c r="B3">
        <v>2</v>
      </c>
      <c r="C3">
        <v>88601</v>
      </c>
      <c r="D3" s="4" t="s">
        <v>42</v>
      </c>
      <c r="E3">
        <v>11435</v>
      </c>
      <c r="F3" s="4" t="s">
        <v>42</v>
      </c>
      <c r="G3">
        <v>7553</v>
      </c>
      <c r="H3" s="4" t="s">
        <v>42</v>
      </c>
      <c r="I3">
        <v>5835</v>
      </c>
      <c r="J3" s="4" t="s">
        <v>42</v>
      </c>
      <c r="K3">
        <v>11486</v>
      </c>
      <c r="L3" s="4" t="s">
        <v>42</v>
      </c>
      <c r="M3">
        <v>15483</v>
      </c>
      <c r="N3" s="4" t="s">
        <v>42</v>
      </c>
      <c r="O3">
        <v>6705</v>
      </c>
      <c r="P3" s="4" t="s">
        <v>42</v>
      </c>
    </row>
    <row r="4" spans="1:16" x14ac:dyDescent="0.25">
      <c r="A4">
        <v>2020</v>
      </c>
      <c r="B4">
        <v>3</v>
      </c>
      <c r="C4">
        <v>89753</v>
      </c>
      <c r="D4" s="4" t="s">
        <v>42</v>
      </c>
      <c r="E4">
        <v>11676</v>
      </c>
      <c r="F4" s="4" t="s">
        <v>42</v>
      </c>
      <c r="G4">
        <v>7775</v>
      </c>
      <c r="H4" s="4" t="s">
        <v>42</v>
      </c>
      <c r="I4">
        <v>5897</v>
      </c>
      <c r="J4" s="4" t="s">
        <v>42</v>
      </c>
      <c r="K4">
        <v>11166</v>
      </c>
      <c r="L4" s="4" t="s">
        <v>42</v>
      </c>
      <c r="M4">
        <v>16292</v>
      </c>
      <c r="N4" s="4" t="s">
        <v>42</v>
      </c>
      <c r="O4">
        <v>6825</v>
      </c>
      <c r="P4" s="4" t="s">
        <v>42</v>
      </c>
    </row>
    <row r="5" spans="1:16" x14ac:dyDescent="0.25">
      <c r="A5">
        <v>2020</v>
      </c>
      <c r="B5">
        <v>4</v>
      </c>
      <c r="C5">
        <v>88694</v>
      </c>
      <c r="D5" s="4" t="s">
        <v>42</v>
      </c>
      <c r="E5">
        <v>11368</v>
      </c>
      <c r="F5" s="4" t="s">
        <v>42</v>
      </c>
      <c r="G5">
        <v>7460</v>
      </c>
      <c r="H5" s="4" t="s">
        <v>42</v>
      </c>
      <c r="I5">
        <v>5829</v>
      </c>
      <c r="J5" s="4" t="s">
        <v>42</v>
      </c>
      <c r="K5">
        <v>11711</v>
      </c>
      <c r="L5" s="4" t="s">
        <v>42</v>
      </c>
      <c r="M5">
        <v>15775</v>
      </c>
      <c r="N5" s="4" t="s">
        <v>42</v>
      </c>
      <c r="O5">
        <v>6688</v>
      </c>
      <c r="P5" s="4" t="s">
        <v>42</v>
      </c>
    </row>
    <row r="6" spans="1:16" x14ac:dyDescent="0.25">
      <c r="A6">
        <v>2021</v>
      </c>
      <c r="B6">
        <v>1</v>
      </c>
      <c r="C6">
        <v>87811</v>
      </c>
      <c r="D6">
        <f>SUM(C6-C2)</f>
        <v>-1110</v>
      </c>
      <c r="E6">
        <v>11407</v>
      </c>
      <c r="F6">
        <f>SUM(E6-E2)</f>
        <v>7</v>
      </c>
      <c r="G6">
        <v>7465</v>
      </c>
      <c r="H6">
        <f>SUM(G6-G2)</f>
        <v>-182</v>
      </c>
      <c r="I6">
        <v>5892</v>
      </c>
      <c r="J6">
        <f>SUM(I6-I2)</f>
        <v>110</v>
      </c>
      <c r="K6">
        <v>11728</v>
      </c>
      <c r="L6">
        <f>SUM(K6-K2)</f>
        <v>75</v>
      </c>
      <c r="M6">
        <v>15580</v>
      </c>
      <c r="N6">
        <f>SUM(M6-M2)</f>
        <v>277</v>
      </c>
      <c r="O6">
        <v>6780</v>
      </c>
      <c r="P6">
        <f>SUM(O6-O2)</f>
        <v>267</v>
      </c>
    </row>
    <row r="7" spans="1:16" x14ac:dyDescent="0.25">
      <c r="A7">
        <v>2021</v>
      </c>
      <c r="B7">
        <v>2</v>
      </c>
      <c r="C7">
        <v>89733</v>
      </c>
      <c r="D7">
        <f t="shared" ref="D7:F25" si="0">SUM(C7-C3)</f>
        <v>1132</v>
      </c>
      <c r="E7">
        <v>11511</v>
      </c>
      <c r="F7">
        <f t="shared" si="0"/>
        <v>76</v>
      </c>
      <c r="G7">
        <v>7597</v>
      </c>
      <c r="H7">
        <f t="shared" ref="H7:J7" si="1">SUM(G7-G3)</f>
        <v>44</v>
      </c>
      <c r="I7">
        <v>6096</v>
      </c>
      <c r="J7">
        <f t="shared" si="1"/>
        <v>261</v>
      </c>
      <c r="K7">
        <v>11920</v>
      </c>
      <c r="L7">
        <f t="shared" ref="L7:N7" si="2">SUM(K7-K3)</f>
        <v>434</v>
      </c>
      <c r="M7">
        <v>15993</v>
      </c>
      <c r="N7">
        <f t="shared" si="2"/>
        <v>510</v>
      </c>
      <c r="O7">
        <v>6724</v>
      </c>
      <c r="P7">
        <f t="shared" ref="P7" si="3">SUM(O7-O3)</f>
        <v>19</v>
      </c>
    </row>
    <row r="8" spans="1:16" x14ac:dyDescent="0.25">
      <c r="A8">
        <v>2021</v>
      </c>
      <c r="B8">
        <v>3</v>
      </c>
      <c r="C8">
        <v>92764</v>
      </c>
      <c r="D8">
        <f t="shared" si="0"/>
        <v>3011</v>
      </c>
      <c r="E8">
        <v>11823</v>
      </c>
      <c r="F8">
        <f t="shared" si="0"/>
        <v>147</v>
      </c>
      <c r="G8">
        <v>8055</v>
      </c>
      <c r="H8">
        <f t="shared" ref="H8:J8" si="4">SUM(G8-G4)</f>
        <v>280</v>
      </c>
      <c r="I8">
        <v>6355</v>
      </c>
      <c r="J8">
        <f t="shared" si="4"/>
        <v>458</v>
      </c>
      <c r="K8">
        <v>11506</v>
      </c>
      <c r="L8">
        <f t="shared" ref="L8:N8" si="5">SUM(K8-K4)</f>
        <v>340</v>
      </c>
      <c r="M8">
        <v>17184</v>
      </c>
      <c r="N8">
        <f t="shared" si="5"/>
        <v>892</v>
      </c>
      <c r="O8">
        <v>6359</v>
      </c>
      <c r="P8">
        <f t="shared" ref="P8" si="6">SUM(O8-O4)</f>
        <v>-466</v>
      </c>
    </row>
    <row r="9" spans="1:16" x14ac:dyDescent="0.25">
      <c r="A9">
        <v>2021</v>
      </c>
      <c r="B9">
        <v>4</v>
      </c>
      <c r="C9">
        <v>91044</v>
      </c>
      <c r="D9">
        <f t="shared" si="0"/>
        <v>2350</v>
      </c>
      <c r="E9">
        <v>11417</v>
      </c>
      <c r="F9">
        <f t="shared" si="0"/>
        <v>49</v>
      </c>
      <c r="G9">
        <v>7652</v>
      </c>
      <c r="H9">
        <f t="shared" ref="H9:J9" si="7">SUM(G9-G5)</f>
        <v>192</v>
      </c>
      <c r="I9">
        <v>6341</v>
      </c>
      <c r="J9">
        <f t="shared" si="7"/>
        <v>512</v>
      </c>
      <c r="K9">
        <v>9474</v>
      </c>
      <c r="L9">
        <f t="shared" ref="L9:N9" si="8">SUM(K9-K5)</f>
        <v>-2237</v>
      </c>
      <c r="M9">
        <v>16231</v>
      </c>
      <c r="N9">
        <f t="shared" si="8"/>
        <v>456</v>
      </c>
      <c r="O9">
        <v>6309</v>
      </c>
      <c r="P9">
        <f t="shared" ref="P9" si="9">SUM(O9-O5)</f>
        <v>-379</v>
      </c>
    </row>
    <row r="10" spans="1:16" x14ac:dyDescent="0.25">
      <c r="A10">
        <v>2022</v>
      </c>
      <c r="B10">
        <v>1</v>
      </c>
      <c r="C10">
        <v>90515</v>
      </c>
      <c r="D10">
        <f t="shared" si="0"/>
        <v>2704</v>
      </c>
      <c r="E10">
        <v>11357</v>
      </c>
      <c r="F10">
        <f t="shared" si="0"/>
        <v>-50</v>
      </c>
      <c r="G10">
        <v>7690</v>
      </c>
      <c r="H10">
        <f t="shared" ref="H10:J10" si="10">SUM(G10-G6)</f>
        <v>225</v>
      </c>
      <c r="I10">
        <v>6390</v>
      </c>
      <c r="J10">
        <f t="shared" si="10"/>
        <v>498</v>
      </c>
      <c r="K10">
        <v>9512</v>
      </c>
      <c r="L10">
        <f t="shared" ref="L10:N10" si="11">SUM(K10-K6)</f>
        <v>-2216</v>
      </c>
      <c r="M10">
        <v>16128</v>
      </c>
      <c r="N10">
        <f t="shared" si="11"/>
        <v>548</v>
      </c>
      <c r="O10">
        <v>6364</v>
      </c>
      <c r="P10">
        <f t="shared" ref="P10" si="12">SUM(O10-O6)</f>
        <v>-416</v>
      </c>
    </row>
    <row r="11" spans="1:16" x14ac:dyDescent="0.25">
      <c r="A11">
        <v>2022</v>
      </c>
      <c r="B11">
        <v>2</v>
      </c>
      <c r="C11">
        <v>92139</v>
      </c>
      <c r="D11">
        <f t="shared" si="0"/>
        <v>2406</v>
      </c>
      <c r="E11">
        <v>11399</v>
      </c>
      <c r="F11">
        <f t="shared" si="0"/>
        <v>-112</v>
      </c>
      <c r="G11">
        <v>7866</v>
      </c>
      <c r="H11">
        <f t="shared" ref="H11:J11" si="13">SUM(G11-G7)</f>
        <v>269</v>
      </c>
      <c r="I11">
        <v>6467</v>
      </c>
      <c r="J11">
        <f t="shared" si="13"/>
        <v>371</v>
      </c>
      <c r="K11">
        <v>9642</v>
      </c>
      <c r="L11">
        <f t="shared" ref="L11:N11" si="14">SUM(K11-K7)</f>
        <v>-2278</v>
      </c>
      <c r="M11">
        <v>16311</v>
      </c>
      <c r="N11">
        <f t="shared" si="14"/>
        <v>318</v>
      </c>
      <c r="O11">
        <v>6448</v>
      </c>
      <c r="P11">
        <f t="shared" ref="P11" si="15">SUM(O11-O7)</f>
        <v>-276</v>
      </c>
    </row>
    <row r="12" spans="1:16" x14ac:dyDescent="0.25">
      <c r="A12">
        <v>2022</v>
      </c>
      <c r="B12">
        <v>3</v>
      </c>
      <c r="C12">
        <v>94503</v>
      </c>
      <c r="D12">
        <f t="shared" si="0"/>
        <v>1739</v>
      </c>
      <c r="E12">
        <v>11781</v>
      </c>
      <c r="F12">
        <f t="shared" si="0"/>
        <v>-42</v>
      </c>
      <c r="G12">
        <v>8272</v>
      </c>
      <c r="H12">
        <f t="shared" ref="H12:J12" si="16">SUM(G12-G8)</f>
        <v>217</v>
      </c>
      <c r="I12">
        <v>6655</v>
      </c>
      <c r="J12">
        <f t="shared" si="16"/>
        <v>300</v>
      </c>
      <c r="K12">
        <v>9189</v>
      </c>
      <c r="L12">
        <f t="shared" ref="L12:N12" si="17">SUM(K12-K8)</f>
        <v>-2317</v>
      </c>
      <c r="M12">
        <v>16993</v>
      </c>
      <c r="N12">
        <f t="shared" si="17"/>
        <v>-191</v>
      </c>
      <c r="O12">
        <v>6524</v>
      </c>
      <c r="P12">
        <f t="shared" ref="P12" si="18">SUM(O12-O8)</f>
        <v>165</v>
      </c>
    </row>
    <row r="13" spans="1:16" x14ac:dyDescent="0.25">
      <c r="A13">
        <v>2022</v>
      </c>
      <c r="B13">
        <v>4</v>
      </c>
      <c r="C13">
        <v>93215</v>
      </c>
      <c r="D13">
        <f t="shared" si="0"/>
        <v>2171</v>
      </c>
      <c r="E13">
        <v>11401</v>
      </c>
      <c r="F13">
        <f t="shared" si="0"/>
        <v>-16</v>
      </c>
      <c r="G13">
        <v>7709</v>
      </c>
      <c r="H13">
        <f t="shared" ref="H13:J13" si="19">SUM(G13-G9)</f>
        <v>57</v>
      </c>
      <c r="I13">
        <v>6769</v>
      </c>
      <c r="J13">
        <f t="shared" si="19"/>
        <v>428</v>
      </c>
      <c r="K13">
        <v>9445</v>
      </c>
      <c r="L13">
        <f t="shared" ref="L13:N13" si="20">SUM(K13-K9)</f>
        <v>-29</v>
      </c>
      <c r="M13">
        <v>16490</v>
      </c>
      <c r="N13">
        <f t="shared" si="20"/>
        <v>259</v>
      </c>
      <c r="O13">
        <v>6582</v>
      </c>
      <c r="P13">
        <f t="shared" ref="P13" si="21">SUM(O13-O9)</f>
        <v>273</v>
      </c>
    </row>
    <row r="14" spans="1:16" x14ac:dyDescent="0.25">
      <c r="A14">
        <v>2023</v>
      </c>
      <c r="B14">
        <v>1</v>
      </c>
      <c r="C14">
        <v>92984</v>
      </c>
      <c r="D14">
        <f t="shared" si="0"/>
        <v>2469</v>
      </c>
      <c r="E14">
        <v>11464</v>
      </c>
      <c r="F14">
        <f t="shared" si="0"/>
        <v>107</v>
      </c>
      <c r="G14">
        <v>7648</v>
      </c>
      <c r="H14">
        <f t="shared" ref="H14:J14" si="22">SUM(G14-G10)</f>
        <v>-42</v>
      </c>
      <c r="I14">
        <v>6904</v>
      </c>
      <c r="J14">
        <f t="shared" si="22"/>
        <v>514</v>
      </c>
      <c r="K14">
        <v>9428</v>
      </c>
      <c r="L14">
        <f t="shared" ref="L14:N14" si="23">SUM(K14-K10)</f>
        <v>-84</v>
      </c>
      <c r="M14">
        <v>16369</v>
      </c>
      <c r="N14">
        <f t="shared" si="23"/>
        <v>241</v>
      </c>
      <c r="O14">
        <v>6917</v>
      </c>
      <c r="P14">
        <f t="shared" ref="P14" si="24">SUM(O14-O10)</f>
        <v>553</v>
      </c>
    </row>
    <row r="15" spans="1:16" x14ac:dyDescent="0.25">
      <c r="A15">
        <v>2023</v>
      </c>
      <c r="B15">
        <v>2</v>
      </c>
      <c r="C15">
        <v>94406</v>
      </c>
      <c r="D15">
        <f t="shared" si="0"/>
        <v>2267</v>
      </c>
      <c r="E15">
        <v>11616</v>
      </c>
      <c r="F15">
        <f t="shared" si="0"/>
        <v>217</v>
      </c>
      <c r="G15">
        <v>7782</v>
      </c>
      <c r="H15">
        <f t="shared" ref="H15:J15" si="25">SUM(G15-G11)</f>
        <v>-84</v>
      </c>
      <c r="I15">
        <v>7048</v>
      </c>
      <c r="J15">
        <f t="shared" si="25"/>
        <v>581</v>
      </c>
      <c r="K15">
        <v>9539</v>
      </c>
      <c r="L15">
        <f t="shared" ref="L15:N15" si="26">SUM(K15-K11)</f>
        <v>-103</v>
      </c>
      <c r="M15">
        <v>16968</v>
      </c>
      <c r="N15">
        <f t="shared" si="26"/>
        <v>657</v>
      </c>
      <c r="O15">
        <v>6635</v>
      </c>
      <c r="P15">
        <f t="shared" ref="P15" si="27">SUM(O15-O11)</f>
        <v>187</v>
      </c>
    </row>
    <row r="16" spans="1:16" x14ac:dyDescent="0.25">
      <c r="A16">
        <v>2023</v>
      </c>
      <c r="B16">
        <v>3</v>
      </c>
      <c r="C16">
        <v>96814</v>
      </c>
      <c r="D16">
        <f t="shared" si="0"/>
        <v>2311</v>
      </c>
      <c r="E16">
        <v>12106</v>
      </c>
      <c r="F16">
        <f t="shared" si="0"/>
        <v>325</v>
      </c>
      <c r="G16">
        <v>8206</v>
      </c>
      <c r="H16">
        <f t="shared" ref="H16:J16" si="28">SUM(G16-G12)</f>
        <v>-66</v>
      </c>
      <c r="I16">
        <v>7308</v>
      </c>
      <c r="J16">
        <f t="shared" si="28"/>
        <v>653</v>
      </c>
      <c r="K16">
        <v>9028</v>
      </c>
      <c r="L16">
        <f t="shared" ref="L16:N16" si="29">SUM(K16-K12)</f>
        <v>-161</v>
      </c>
      <c r="M16">
        <v>17554</v>
      </c>
      <c r="N16">
        <f t="shared" si="29"/>
        <v>561</v>
      </c>
      <c r="O16">
        <v>7313</v>
      </c>
      <c r="P16">
        <f t="shared" ref="P16" si="30">SUM(O16-O12)</f>
        <v>789</v>
      </c>
    </row>
    <row r="17" spans="1:16" x14ac:dyDescent="0.25">
      <c r="A17">
        <v>2023</v>
      </c>
      <c r="B17">
        <v>4</v>
      </c>
      <c r="C17">
        <v>94964</v>
      </c>
      <c r="D17">
        <f t="shared" si="0"/>
        <v>1749</v>
      </c>
      <c r="E17">
        <v>11896</v>
      </c>
      <c r="F17">
        <f t="shared" si="0"/>
        <v>495</v>
      </c>
      <c r="G17">
        <v>7778</v>
      </c>
      <c r="H17">
        <f t="shared" ref="H17:J17" si="31">SUM(G17-G13)</f>
        <v>69</v>
      </c>
      <c r="I17">
        <v>7275</v>
      </c>
      <c r="J17">
        <f t="shared" si="31"/>
        <v>506</v>
      </c>
      <c r="K17">
        <v>8717</v>
      </c>
      <c r="L17">
        <f t="shared" ref="L17:N17" si="32">SUM(K17-K13)</f>
        <v>-728</v>
      </c>
      <c r="M17">
        <v>17105</v>
      </c>
      <c r="N17">
        <f t="shared" si="32"/>
        <v>615</v>
      </c>
      <c r="O17">
        <v>7027</v>
      </c>
      <c r="P17">
        <f t="shared" ref="P17" si="33">SUM(O17-O13)</f>
        <v>445</v>
      </c>
    </row>
    <row r="18" spans="1:16" x14ac:dyDescent="0.25">
      <c r="A18">
        <v>2024</v>
      </c>
      <c r="B18">
        <v>1</v>
      </c>
      <c r="C18">
        <v>94105</v>
      </c>
      <c r="D18">
        <f t="shared" si="0"/>
        <v>1121</v>
      </c>
      <c r="E18">
        <v>12031</v>
      </c>
      <c r="F18">
        <f t="shared" si="0"/>
        <v>567</v>
      </c>
      <c r="G18">
        <v>7710</v>
      </c>
      <c r="H18">
        <f t="shared" ref="H18:J18" si="34">SUM(G18-G14)</f>
        <v>62</v>
      </c>
      <c r="I18">
        <v>7193</v>
      </c>
      <c r="J18">
        <f t="shared" si="34"/>
        <v>289</v>
      </c>
      <c r="K18">
        <v>8378</v>
      </c>
      <c r="L18">
        <f t="shared" ref="L18:N18" si="35">SUM(K18-K14)</f>
        <v>-1050</v>
      </c>
      <c r="M18">
        <v>16868</v>
      </c>
      <c r="N18">
        <f t="shared" si="35"/>
        <v>499</v>
      </c>
      <c r="O18">
        <v>7203</v>
      </c>
      <c r="P18">
        <f t="shared" ref="P18" si="36">SUM(O18-O14)</f>
        <v>286</v>
      </c>
    </row>
    <row r="19" spans="1:16" x14ac:dyDescent="0.25">
      <c r="A19">
        <v>2024</v>
      </c>
      <c r="B19">
        <v>2</v>
      </c>
      <c r="C19">
        <v>94888</v>
      </c>
      <c r="D19">
        <f t="shared" si="0"/>
        <v>482</v>
      </c>
      <c r="E19">
        <v>12310</v>
      </c>
      <c r="F19">
        <f t="shared" si="0"/>
        <v>694</v>
      </c>
      <c r="G19">
        <v>7783</v>
      </c>
      <c r="H19">
        <f t="shared" ref="H19:J19" si="37">SUM(G19-G15)</f>
        <v>1</v>
      </c>
      <c r="I19">
        <v>7072</v>
      </c>
      <c r="J19">
        <f t="shared" si="37"/>
        <v>24</v>
      </c>
      <c r="K19">
        <v>8432</v>
      </c>
      <c r="L19">
        <f t="shared" ref="L19:N19" si="38">SUM(K19-K15)</f>
        <v>-1107</v>
      </c>
      <c r="M19">
        <v>16747</v>
      </c>
      <c r="N19">
        <f t="shared" si="38"/>
        <v>-221</v>
      </c>
      <c r="O19">
        <v>7447</v>
      </c>
      <c r="P19">
        <f t="shared" ref="P19" si="39">SUM(O19-O15)</f>
        <v>812</v>
      </c>
    </row>
    <row r="20" spans="1:16" x14ac:dyDescent="0.25">
      <c r="A20">
        <v>2024</v>
      </c>
      <c r="B20">
        <v>3</v>
      </c>
      <c r="C20">
        <v>96547</v>
      </c>
      <c r="D20">
        <f t="shared" si="0"/>
        <v>-267</v>
      </c>
      <c r="E20">
        <v>12786</v>
      </c>
      <c r="F20">
        <f t="shared" si="0"/>
        <v>680</v>
      </c>
      <c r="G20">
        <v>8167</v>
      </c>
      <c r="H20">
        <f t="shared" ref="H20:J20" si="40">SUM(G20-G16)</f>
        <v>-39</v>
      </c>
      <c r="I20">
        <v>7281</v>
      </c>
      <c r="J20">
        <f t="shared" si="40"/>
        <v>-27</v>
      </c>
      <c r="K20">
        <v>7980</v>
      </c>
      <c r="L20">
        <f t="shared" ref="L20:N20" si="41">SUM(K20-K16)</f>
        <v>-1048</v>
      </c>
      <c r="M20">
        <v>17561</v>
      </c>
      <c r="N20">
        <f t="shared" si="41"/>
        <v>7</v>
      </c>
      <c r="O20">
        <v>7487</v>
      </c>
      <c r="P20">
        <f t="shared" ref="P20" si="42">SUM(O20-O16)</f>
        <v>174</v>
      </c>
    </row>
    <row r="21" spans="1:16" x14ac:dyDescent="0.25">
      <c r="A21">
        <v>2024</v>
      </c>
      <c r="B21">
        <v>4</v>
      </c>
      <c r="C21">
        <v>93361</v>
      </c>
      <c r="D21">
        <f t="shared" si="0"/>
        <v>-1603</v>
      </c>
      <c r="E21">
        <v>12613</v>
      </c>
      <c r="F21">
        <f t="shared" si="0"/>
        <v>717</v>
      </c>
      <c r="G21">
        <v>7632</v>
      </c>
      <c r="H21">
        <f t="shared" ref="H21:J21" si="43">SUM(G21-G17)</f>
        <v>-146</v>
      </c>
      <c r="I21">
        <v>7141</v>
      </c>
      <c r="J21">
        <f t="shared" si="43"/>
        <v>-134</v>
      </c>
      <c r="K21">
        <v>8189</v>
      </c>
      <c r="L21">
        <f t="shared" ref="L21:N21" si="44">SUM(K21-K17)</f>
        <v>-528</v>
      </c>
      <c r="M21">
        <v>16308</v>
      </c>
      <c r="N21">
        <f t="shared" si="44"/>
        <v>-797</v>
      </c>
      <c r="O21">
        <v>7383</v>
      </c>
      <c r="P21">
        <f t="shared" ref="P21" si="45">SUM(O21-O17)</f>
        <v>356</v>
      </c>
    </row>
    <row r="22" spans="1:16" x14ac:dyDescent="0.25">
      <c r="A22">
        <v>2025</v>
      </c>
      <c r="B22">
        <v>1</v>
      </c>
      <c r="C22">
        <v>92511</v>
      </c>
      <c r="D22">
        <f t="shared" si="0"/>
        <v>-1594</v>
      </c>
      <c r="E22">
        <v>12815</v>
      </c>
      <c r="F22">
        <f t="shared" si="0"/>
        <v>784</v>
      </c>
      <c r="G22">
        <v>7641</v>
      </c>
      <c r="H22">
        <f t="shared" ref="H22:J22" si="46">SUM(G22-G18)</f>
        <v>-69</v>
      </c>
      <c r="I22">
        <v>7089</v>
      </c>
      <c r="J22">
        <f t="shared" si="46"/>
        <v>-104</v>
      </c>
      <c r="K22">
        <v>7876</v>
      </c>
      <c r="L22">
        <f t="shared" ref="L22:N22" si="47">SUM(K22-K18)</f>
        <v>-502</v>
      </c>
      <c r="M22">
        <v>16055</v>
      </c>
      <c r="N22">
        <f t="shared" si="47"/>
        <v>-813</v>
      </c>
      <c r="O22">
        <v>7689</v>
      </c>
      <c r="P22">
        <f t="shared" ref="P22" si="48">SUM(O22-O18)</f>
        <v>486</v>
      </c>
    </row>
    <row r="23" spans="1:16" x14ac:dyDescent="0.25">
      <c r="A23">
        <v>2025</v>
      </c>
      <c r="B23">
        <v>2</v>
      </c>
      <c r="C23">
        <v>94172</v>
      </c>
      <c r="D23">
        <f t="shared" si="0"/>
        <v>-716</v>
      </c>
      <c r="E23">
        <v>13004</v>
      </c>
      <c r="F23">
        <f t="shared" si="0"/>
        <v>694</v>
      </c>
      <c r="G23">
        <v>7820</v>
      </c>
      <c r="H23">
        <f t="shared" ref="H23:J23" si="49">SUM(G23-G19)</f>
        <v>37</v>
      </c>
      <c r="I23">
        <v>7074</v>
      </c>
      <c r="J23">
        <f t="shared" si="49"/>
        <v>2</v>
      </c>
      <c r="K23">
        <v>8003</v>
      </c>
      <c r="L23">
        <f t="shared" ref="L23:N23" si="50">SUM(K23-K19)</f>
        <v>-429</v>
      </c>
      <c r="M23">
        <v>16357</v>
      </c>
      <c r="N23">
        <f t="shared" si="50"/>
        <v>-390</v>
      </c>
      <c r="O23">
        <v>7748</v>
      </c>
      <c r="P23">
        <f t="shared" ref="P23" si="51">SUM(O23-O19)</f>
        <v>301</v>
      </c>
    </row>
    <row r="24" spans="1:16" x14ac:dyDescent="0.25">
      <c r="A24">
        <v>2025</v>
      </c>
      <c r="B24">
        <v>3</v>
      </c>
      <c r="C24">
        <v>97012</v>
      </c>
      <c r="D24">
        <f t="shared" si="0"/>
        <v>465</v>
      </c>
      <c r="E24">
        <v>13511</v>
      </c>
      <c r="F24">
        <f t="shared" si="0"/>
        <v>725</v>
      </c>
      <c r="G24">
        <v>8245</v>
      </c>
      <c r="H24">
        <f t="shared" ref="H24:J25" si="52">SUM(G24-G20)</f>
        <v>78</v>
      </c>
      <c r="I24">
        <v>7237</v>
      </c>
      <c r="J24">
        <f t="shared" si="52"/>
        <v>-44</v>
      </c>
      <c r="K24">
        <v>7670</v>
      </c>
      <c r="L24">
        <f t="shared" ref="L24:N25" si="53">SUM(K24-K20)</f>
        <v>-310</v>
      </c>
      <c r="M24">
        <v>17693</v>
      </c>
      <c r="N24">
        <f t="shared" si="53"/>
        <v>132</v>
      </c>
      <c r="O24">
        <v>7852</v>
      </c>
      <c r="P24">
        <f t="shared" ref="P24:P26" si="54">SUM(O24-O20)</f>
        <v>365</v>
      </c>
    </row>
    <row r="25" spans="1:16" x14ac:dyDescent="0.25">
      <c r="A25">
        <v>2025</v>
      </c>
      <c r="B25">
        <v>4</v>
      </c>
      <c r="C25">
        <v>95315</v>
      </c>
      <c r="D25">
        <f t="shared" si="0"/>
        <v>1954</v>
      </c>
      <c r="E25">
        <v>13459</v>
      </c>
      <c r="F25">
        <f t="shared" si="0"/>
        <v>846</v>
      </c>
      <c r="G25">
        <v>7664</v>
      </c>
      <c r="H25">
        <f t="shared" si="52"/>
        <v>32</v>
      </c>
      <c r="I25">
        <v>7201</v>
      </c>
      <c r="J25">
        <f t="shared" si="52"/>
        <v>60</v>
      </c>
      <c r="K25">
        <v>7961</v>
      </c>
      <c r="L25">
        <f t="shared" si="53"/>
        <v>-228</v>
      </c>
      <c r="M25">
        <v>16670</v>
      </c>
      <c r="N25">
        <f t="shared" si="53"/>
        <v>362</v>
      </c>
      <c r="O25">
        <v>7641</v>
      </c>
      <c r="P25">
        <f t="shared" si="54"/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2114-ADB6-40D8-A231-8ADF3262421D}">
  <dimension ref="A1:N25"/>
  <sheetViews>
    <sheetView workbookViewId="0"/>
  </sheetViews>
  <sheetFormatPr defaultRowHeight="15" x14ac:dyDescent="0.25"/>
  <cols>
    <col min="1" max="1" width="11.28515625" bestFit="1" customWidth="1"/>
    <col min="3" max="3" width="28.85546875" bestFit="1" customWidth="1"/>
    <col min="4" max="4" width="25.85546875" bestFit="1" customWidth="1"/>
    <col min="5" max="5" width="27.7109375" bestFit="1" customWidth="1"/>
    <col min="6" max="6" width="24.5703125" bestFit="1" customWidth="1"/>
    <col min="7" max="7" width="34.42578125" bestFit="1" customWidth="1"/>
    <col min="8" max="8" width="31.28515625" bestFit="1" customWidth="1"/>
    <col min="9" max="9" width="26.5703125" bestFit="1" customWidth="1"/>
    <col min="10" max="10" width="23.42578125" bestFit="1" customWidth="1"/>
    <col min="11" max="11" width="25.28515625" bestFit="1" customWidth="1"/>
    <col min="12" max="12" width="22.28515625" bestFit="1" customWidth="1"/>
    <col min="13" max="13" width="32" bestFit="1" customWidth="1"/>
    <col min="14" max="14" width="28.85546875" bestFit="1" customWidth="1"/>
  </cols>
  <sheetData>
    <row r="1" spans="1:14" x14ac:dyDescent="0.25">
      <c r="A1" t="s">
        <v>0</v>
      </c>
      <c r="B1" t="s">
        <v>1</v>
      </c>
      <c r="C1" t="s">
        <v>28</v>
      </c>
      <c r="D1" t="s">
        <v>29</v>
      </c>
      <c r="E1" t="s">
        <v>58</v>
      </c>
      <c r="F1" t="s">
        <v>59</v>
      </c>
      <c r="G1" t="s">
        <v>60</v>
      </c>
      <c r="H1" t="s">
        <v>61</v>
      </c>
      <c r="I1" t="s">
        <v>30</v>
      </c>
      <c r="J1" t="s">
        <v>31</v>
      </c>
      <c r="K1" t="s">
        <v>62</v>
      </c>
      <c r="L1" t="s">
        <v>63</v>
      </c>
      <c r="M1" t="s">
        <v>64</v>
      </c>
      <c r="N1" t="s">
        <v>65</v>
      </c>
    </row>
    <row r="2" spans="1:14" x14ac:dyDescent="0.25">
      <c r="A2">
        <v>2020</v>
      </c>
      <c r="B2">
        <v>1</v>
      </c>
      <c r="C2">
        <f>+E2+G2</f>
        <v>543</v>
      </c>
      <c r="D2">
        <v>1341</v>
      </c>
      <c r="E2">
        <v>29</v>
      </c>
      <c r="F2">
        <v>116</v>
      </c>
      <c r="G2">
        <v>514</v>
      </c>
      <c r="H2">
        <v>1225</v>
      </c>
      <c r="I2">
        <f>+K2+M2</f>
        <v>87</v>
      </c>
      <c r="J2">
        <v>1040</v>
      </c>
      <c r="K2">
        <v>43</v>
      </c>
      <c r="L2">
        <v>172</v>
      </c>
      <c r="M2">
        <v>44</v>
      </c>
      <c r="N2">
        <v>868</v>
      </c>
    </row>
    <row r="3" spans="1:14" x14ac:dyDescent="0.25">
      <c r="A3">
        <v>2020</v>
      </c>
      <c r="B3">
        <v>2</v>
      </c>
      <c r="C3">
        <f t="shared" ref="C3:C25" si="0">+E3+G3</f>
        <v>345</v>
      </c>
      <c r="D3">
        <v>1447</v>
      </c>
      <c r="E3">
        <v>29</v>
      </c>
      <c r="F3">
        <v>108</v>
      </c>
      <c r="G3">
        <v>316</v>
      </c>
      <c r="H3">
        <v>1339</v>
      </c>
      <c r="I3">
        <f t="shared" ref="I3:I21" si="1">+K3+M3</f>
        <v>450</v>
      </c>
      <c r="J3">
        <v>1276</v>
      </c>
      <c r="K3">
        <v>37</v>
      </c>
      <c r="L3">
        <v>177</v>
      </c>
      <c r="M3">
        <v>413</v>
      </c>
      <c r="N3">
        <v>1099</v>
      </c>
    </row>
    <row r="4" spans="1:14" x14ac:dyDescent="0.25">
      <c r="A4">
        <v>2020</v>
      </c>
      <c r="B4">
        <v>3</v>
      </c>
      <c r="C4">
        <f t="shared" si="0"/>
        <v>204</v>
      </c>
      <c r="D4">
        <v>1341</v>
      </c>
      <c r="E4">
        <v>46</v>
      </c>
      <c r="F4">
        <v>135</v>
      </c>
      <c r="G4">
        <v>158</v>
      </c>
      <c r="H4">
        <v>1206</v>
      </c>
      <c r="I4">
        <f t="shared" si="1"/>
        <v>133</v>
      </c>
      <c r="J4">
        <v>921</v>
      </c>
      <c r="K4">
        <v>27</v>
      </c>
      <c r="L4">
        <v>156</v>
      </c>
      <c r="M4">
        <v>106</v>
      </c>
      <c r="N4">
        <v>765</v>
      </c>
    </row>
    <row r="5" spans="1:14" x14ac:dyDescent="0.25">
      <c r="A5">
        <v>2020</v>
      </c>
      <c r="B5">
        <v>4</v>
      </c>
      <c r="C5">
        <f t="shared" si="0"/>
        <v>423</v>
      </c>
      <c r="D5">
        <f>SUM(C2:C5)</f>
        <v>1515</v>
      </c>
      <c r="E5">
        <v>58</v>
      </c>
      <c r="F5">
        <f>SUM(E2:E5)</f>
        <v>162</v>
      </c>
      <c r="G5">
        <v>365</v>
      </c>
      <c r="H5">
        <f>SUM(G2:G5)</f>
        <v>1353</v>
      </c>
      <c r="I5">
        <f t="shared" si="1"/>
        <v>84</v>
      </c>
      <c r="J5">
        <f t="shared" ref="H5:J6" si="2">SUM(I2:I5)</f>
        <v>754</v>
      </c>
      <c r="K5">
        <v>37</v>
      </c>
      <c r="L5">
        <f>SUM(K2:K5)</f>
        <v>144</v>
      </c>
      <c r="M5">
        <v>47</v>
      </c>
      <c r="N5">
        <f t="shared" ref="L5:N6" si="3">SUM(M2:M5)</f>
        <v>610</v>
      </c>
    </row>
    <row r="6" spans="1:14" x14ac:dyDescent="0.25">
      <c r="A6">
        <v>2021</v>
      </c>
      <c r="B6">
        <v>1</v>
      </c>
      <c r="C6">
        <f t="shared" si="0"/>
        <v>255</v>
      </c>
      <c r="D6">
        <f t="shared" ref="D6:F25" si="4">SUM(C3:C6)</f>
        <v>1227</v>
      </c>
      <c r="E6">
        <v>32</v>
      </c>
      <c r="F6">
        <f t="shared" si="4"/>
        <v>165</v>
      </c>
      <c r="G6">
        <v>223</v>
      </c>
      <c r="H6">
        <f t="shared" si="2"/>
        <v>1062</v>
      </c>
      <c r="I6">
        <f t="shared" si="1"/>
        <v>320</v>
      </c>
      <c r="J6">
        <f t="shared" si="2"/>
        <v>987</v>
      </c>
      <c r="K6">
        <v>28</v>
      </c>
      <c r="L6">
        <f t="shared" si="3"/>
        <v>129</v>
      </c>
      <c r="M6">
        <v>292</v>
      </c>
      <c r="N6">
        <f t="shared" si="3"/>
        <v>858</v>
      </c>
    </row>
    <row r="7" spans="1:14" x14ac:dyDescent="0.25">
      <c r="A7">
        <v>2021</v>
      </c>
      <c r="B7">
        <v>2</v>
      </c>
      <c r="C7">
        <f t="shared" si="0"/>
        <v>403</v>
      </c>
      <c r="D7">
        <f t="shared" si="4"/>
        <v>1285</v>
      </c>
      <c r="E7">
        <v>29</v>
      </c>
      <c r="F7">
        <f t="shared" si="4"/>
        <v>165</v>
      </c>
      <c r="G7">
        <v>374</v>
      </c>
      <c r="H7">
        <f t="shared" ref="H7:J7" si="5">SUM(G4:G7)</f>
        <v>1120</v>
      </c>
      <c r="I7">
        <f t="shared" si="1"/>
        <v>466</v>
      </c>
      <c r="J7">
        <f t="shared" si="5"/>
        <v>1003</v>
      </c>
      <c r="K7">
        <v>89</v>
      </c>
      <c r="L7">
        <f t="shared" ref="L7:N7" si="6">SUM(K4:K7)</f>
        <v>181</v>
      </c>
      <c r="M7">
        <v>377</v>
      </c>
      <c r="N7">
        <f t="shared" si="6"/>
        <v>822</v>
      </c>
    </row>
    <row r="8" spans="1:14" x14ac:dyDescent="0.25">
      <c r="A8">
        <v>2021</v>
      </c>
      <c r="B8">
        <v>3</v>
      </c>
      <c r="C8">
        <f t="shared" si="0"/>
        <v>80</v>
      </c>
      <c r="D8">
        <f t="shared" si="4"/>
        <v>1161</v>
      </c>
      <c r="E8">
        <v>25</v>
      </c>
      <c r="F8">
        <f t="shared" si="4"/>
        <v>144</v>
      </c>
      <c r="G8">
        <v>55</v>
      </c>
      <c r="H8">
        <f t="shared" ref="H8:J8" si="7">SUM(G5:G8)</f>
        <v>1017</v>
      </c>
      <c r="I8">
        <f t="shared" si="1"/>
        <v>156</v>
      </c>
      <c r="J8">
        <f t="shared" si="7"/>
        <v>1026</v>
      </c>
      <c r="K8">
        <v>50</v>
      </c>
      <c r="L8">
        <f t="shared" ref="L8:N8" si="8">SUM(K5:K8)</f>
        <v>204</v>
      </c>
      <c r="M8">
        <v>106</v>
      </c>
      <c r="N8">
        <f t="shared" si="8"/>
        <v>822</v>
      </c>
    </row>
    <row r="9" spans="1:14" x14ac:dyDescent="0.25">
      <c r="A9">
        <v>2021</v>
      </c>
      <c r="B9">
        <v>4</v>
      </c>
      <c r="C9">
        <f t="shared" si="0"/>
        <v>219</v>
      </c>
      <c r="D9">
        <f t="shared" si="4"/>
        <v>957</v>
      </c>
      <c r="E9">
        <v>68</v>
      </c>
      <c r="F9">
        <f t="shared" si="4"/>
        <v>154</v>
      </c>
      <c r="G9">
        <v>151</v>
      </c>
      <c r="H9">
        <f t="shared" ref="H9:J9" si="9">SUM(G6:G9)</f>
        <v>803</v>
      </c>
      <c r="I9">
        <f t="shared" si="1"/>
        <v>181</v>
      </c>
      <c r="J9">
        <f t="shared" si="9"/>
        <v>1123</v>
      </c>
      <c r="K9">
        <v>22</v>
      </c>
      <c r="L9">
        <f t="shared" ref="L9:N9" si="10">SUM(K6:K9)</f>
        <v>189</v>
      </c>
      <c r="M9">
        <v>159</v>
      </c>
      <c r="N9">
        <f t="shared" si="10"/>
        <v>934</v>
      </c>
    </row>
    <row r="10" spans="1:14" x14ac:dyDescent="0.25">
      <c r="A10">
        <v>2022</v>
      </c>
      <c r="B10">
        <v>1</v>
      </c>
      <c r="C10">
        <f t="shared" si="0"/>
        <v>395</v>
      </c>
      <c r="D10">
        <f t="shared" si="4"/>
        <v>1097</v>
      </c>
      <c r="E10">
        <v>36</v>
      </c>
      <c r="F10">
        <f t="shared" si="4"/>
        <v>158</v>
      </c>
      <c r="G10">
        <v>359</v>
      </c>
      <c r="H10">
        <f t="shared" ref="H10:J10" si="11">SUM(G7:G10)</f>
        <v>939</v>
      </c>
      <c r="I10">
        <f t="shared" si="1"/>
        <v>309</v>
      </c>
      <c r="J10">
        <f t="shared" si="11"/>
        <v>1112</v>
      </c>
      <c r="K10">
        <v>121</v>
      </c>
      <c r="L10">
        <f t="shared" ref="L10:N10" si="12">SUM(K7:K10)</f>
        <v>282</v>
      </c>
      <c r="M10">
        <v>188</v>
      </c>
      <c r="N10">
        <f t="shared" si="12"/>
        <v>830</v>
      </c>
    </row>
    <row r="11" spans="1:14" x14ac:dyDescent="0.25">
      <c r="A11">
        <v>2022</v>
      </c>
      <c r="B11">
        <v>2</v>
      </c>
      <c r="C11">
        <f t="shared" si="0"/>
        <v>323</v>
      </c>
      <c r="D11">
        <f t="shared" si="4"/>
        <v>1017</v>
      </c>
      <c r="E11">
        <v>82</v>
      </c>
      <c r="F11">
        <f t="shared" si="4"/>
        <v>211</v>
      </c>
      <c r="G11">
        <v>241</v>
      </c>
      <c r="H11">
        <f t="shared" ref="H11:J11" si="13">SUM(G8:G11)</f>
        <v>806</v>
      </c>
      <c r="I11">
        <f t="shared" si="1"/>
        <v>319</v>
      </c>
      <c r="J11">
        <f t="shared" si="13"/>
        <v>965</v>
      </c>
      <c r="K11">
        <v>116</v>
      </c>
      <c r="L11">
        <f t="shared" ref="L11:N11" si="14">SUM(K8:K11)</f>
        <v>309</v>
      </c>
      <c r="M11">
        <v>203</v>
      </c>
      <c r="N11">
        <f t="shared" si="14"/>
        <v>656</v>
      </c>
    </row>
    <row r="12" spans="1:14" x14ac:dyDescent="0.25">
      <c r="A12">
        <v>2022</v>
      </c>
      <c r="B12">
        <v>3</v>
      </c>
      <c r="C12">
        <f t="shared" si="0"/>
        <v>273</v>
      </c>
      <c r="D12">
        <f t="shared" si="4"/>
        <v>1210</v>
      </c>
      <c r="E12">
        <v>69</v>
      </c>
      <c r="F12">
        <f t="shared" si="4"/>
        <v>255</v>
      </c>
      <c r="G12">
        <v>204</v>
      </c>
      <c r="H12">
        <f t="shared" ref="H12:J12" si="15">SUM(G9:G12)</f>
        <v>955</v>
      </c>
      <c r="I12">
        <f t="shared" si="1"/>
        <v>43</v>
      </c>
      <c r="J12">
        <f t="shared" si="15"/>
        <v>852</v>
      </c>
      <c r="K12">
        <v>43</v>
      </c>
      <c r="L12">
        <f t="shared" ref="L12:N12" si="16">SUM(K9:K12)</f>
        <v>302</v>
      </c>
      <c r="M12">
        <v>0</v>
      </c>
      <c r="N12">
        <f t="shared" si="16"/>
        <v>550</v>
      </c>
    </row>
    <row r="13" spans="1:14" x14ac:dyDescent="0.25">
      <c r="A13">
        <v>2022</v>
      </c>
      <c r="B13">
        <v>4</v>
      </c>
      <c r="C13">
        <f t="shared" si="0"/>
        <v>321</v>
      </c>
      <c r="D13">
        <f t="shared" si="4"/>
        <v>1312</v>
      </c>
      <c r="E13">
        <v>68</v>
      </c>
      <c r="F13">
        <f t="shared" si="4"/>
        <v>255</v>
      </c>
      <c r="G13">
        <v>253</v>
      </c>
      <c r="H13">
        <f t="shared" ref="H13:J13" si="17">SUM(G10:G13)</f>
        <v>1057</v>
      </c>
      <c r="I13">
        <f t="shared" si="1"/>
        <v>43</v>
      </c>
      <c r="J13">
        <f t="shared" si="17"/>
        <v>714</v>
      </c>
      <c r="K13">
        <v>43</v>
      </c>
      <c r="L13">
        <f t="shared" ref="L13:N13" si="18">SUM(K10:K13)</f>
        <v>323</v>
      </c>
      <c r="M13">
        <v>0</v>
      </c>
      <c r="N13">
        <f t="shared" si="18"/>
        <v>391</v>
      </c>
    </row>
    <row r="14" spans="1:14" x14ac:dyDescent="0.25">
      <c r="A14">
        <v>2023</v>
      </c>
      <c r="B14">
        <v>1</v>
      </c>
      <c r="C14">
        <f t="shared" si="0"/>
        <v>272</v>
      </c>
      <c r="D14">
        <f t="shared" si="4"/>
        <v>1189</v>
      </c>
      <c r="E14">
        <v>54</v>
      </c>
      <c r="F14">
        <f t="shared" si="4"/>
        <v>273</v>
      </c>
      <c r="G14">
        <v>218</v>
      </c>
      <c r="H14">
        <f t="shared" ref="H14:J14" si="19">SUM(G11:G14)</f>
        <v>916</v>
      </c>
      <c r="I14">
        <f t="shared" si="1"/>
        <v>133</v>
      </c>
      <c r="J14">
        <f t="shared" si="19"/>
        <v>538</v>
      </c>
      <c r="K14">
        <v>20</v>
      </c>
      <c r="L14">
        <f t="shared" ref="L14:N14" si="20">SUM(K11:K14)</f>
        <v>222</v>
      </c>
      <c r="M14">
        <v>113</v>
      </c>
      <c r="N14">
        <f t="shared" si="20"/>
        <v>316</v>
      </c>
    </row>
    <row r="15" spans="1:14" x14ac:dyDescent="0.25">
      <c r="A15">
        <v>2023</v>
      </c>
      <c r="B15">
        <v>2</v>
      </c>
      <c r="C15">
        <f t="shared" si="0"/>
        <v>427</v>
      </c>
      <c r="D15">
        <f t="shared" si="4"/>
        <v>1293</v>
      </c>
      <c r="E15">
        <v>65</v>
      </c>
      <c r="F15">
        <f t="shared" si="4"/>
        <v>256</v>
      </c>
      <c r="G15">
        <v>362</v>
      </c>
      <c r="H15">
        <f t="shared" ref="H15:J15" si="21">SUM(G12:G15)</f>
        <v>1037</v>
      </c>
      <c r="I15">
        <f t="shared" si="1"/>
        <v>16</v>
      </c>
      <c r="J15">
        <f t="shared" si="21"/>
        <v>235</v>
      </c>
      <c r="K15">
        <v>10</v>
      </c>
      <c r="L15">
        <f t="shared" ref="L15:N15" si="22">SUM(K12:K15)</f>
        <v>116</v>
      </c>
      <c r="M15">
        <v>6</v>
      </c>
      <c r="N15">
        <f t="shared" si="22"/>
        <v>119</v>
      </c>
    </row>
    <row r="16" spans="1:14" x14ac:dyDescent="0.25">
      <c r="A16">
        <v>2023</v>
      </c>
      <c r="B16">
        <v>3</v>
      </c>
      <c r="C16">
        <f t="shared" si="0"/>
        <v>87</v>
      </c>
      <c r="D16">
        <f t="shared" si="4"/>
        <v>1107</v>
      </c>
      <c r="E16">
        <v>41</v>
      </c>
      <c r="F16">
        <f t="shared" si="4"/>
        <v>228</v>
      </c>
      <c r="G16">
        <v>46</v>
      </c>
      <c r="H16">
        <f t="shared" ref="H16:J16" si="23">SUM(G13:G16)</f>
        <v>879</v>
      </c>
      <c r="I16">
        <f t="shared" si="1"/>
        <v>147</v>
      </c>
      <c r="J16">
        <f t="shared" si="23"/>
        <v>339</v>
      </c>
      <c r="K16">
        <v>7</v>
      </c>
      <c r="L16">
        <f t="shared" ref="L16:N16" si="24">SUM(K13:K16)</f>
        <v>80</v>
      </c>
      <c r="M16">
        <v>140</v>
      </c>
      <c r="N16">
        <f t="shared" si="24"/>
        <v>259</v>
      </c>
    </row>
    <row r="17" spans="1:14" x14ac:dyDescent="0.25">
      <c r="A17">
        <v>2023</v>
      </c>
      <c r="B17">
        <v>4</v>
      </c>
      <c r="C17">
        <f t="shared" si="0"/>
        <v>166</v>
      </c>
      <c r="D17">
        <f t="shared" si="4"/>
        <v>952</v>
      </c>
      <c r="E17">
        <v>25</v>
      </c>
      <c r="F17">
        <f t="shared" si="4"/>
        <v>185</v>
      </c>
      <c r="G17">
        <v>141</v>
      </c>
      <c r="H17">
        <f t="shared" ref="H17:J17" si="25">SUM(G14:G17)</f>
        <v>767</v>
      </c>
      <c r="I17">
        <f t="shared" si="1"/>
        <v>445</v>
      </c>
      <c r="J17">
        <f t="shared" si="25"/>
        <v>741</v>
      </c>
      <c r="K17">
        <v>55</v>
      </c>
      <c r="L17">
        <f t="shared" ref="L17:N17" si="26">SUM(K14:K17)</f>
        <v>92</v>
      </c>
      <c r="M17">
        <v>390</v>
      </c>
      <c r="N17">
        <f t="shared" si="26"/>
        <v>649</v>
      </c>
    </row>
    <row r="18" spans="1:14" x14ac:dyDescent="0.25">
      <c r="A18">
        <v>2024</v>
      </c>
      <c r="B18">
        <v>1</v>
      </c>
      <c r="C18">
        <f t="shared" si="0"/>
        <v>116</v>
      </c>
      <c r="D18">
        <f t="shared" si="4"/>
        <v>796</v>
      </c>
      <c r="E18">
        <v>10</v>
      </c>
      <c r="F18">
        <f t="shared" si="4"/>
        <v>141</v>
      </c>
      <c r="G18">
        <v>106</v>
      </c>
      <c r="H18">
        <f t="shared" ref="H18:J18" si="27">SUM(G15:G18)</f>
        <v>655</v>
      </c>
      <c r="I18">
        <f t="shared" si="1"/>
        <v>329</v>
      </c>
      <c r="J18">
        <f t="shared" si="27"/>
        <v>937</v>
      </c>
      <c r="K18">
        <v>19</v>
      </c>
      <c r="L18">
        <f t="shared" ref="L18:N18" si="28">SUM(K15:K18)</f>
        <v>91</v>
      </c>
      <c r="M18">
        <v>310</v>
      </c>
      <c r="N18">
        <f t="shared" si="28"/>
        <v>846</v>
      </c>
    </row>
    <row r="19" spans="1:14" x14ac:dyDescent="0.25">
      <c r="A19">
        <v>2024</v>
      </c>
      <c r="B19">
        <v>2</v>
      </c>
      <c r="C19">
        <f t="shared" si="0"/>
        <v>64</v>
      </c>
      <c r="D19">
        <f t="shared" si="4"/>
        <v>433</v>
      </c>
      <c r="E19">
        <v>14</v>
      </c>
      <c r="F19">
        <f t="shared" si="4"/>
        <v>90</v>
      </c>
      <c r="G19">
        <v>50</v>
      </c>
      <c r="H19">
        <f t="shared" ref="H19:J19" si="29">SUM(G16:G19)</f>
        <v>343</v>
      </c>
      <c r="I19">
        <f t="shared" si="1"/>
        <v>111</v>
      </c>
      <c r="J19">
        <f t="shared" si="29"/>
        <v>1032</v>
      </c>
      <c r="K19">
        <v>17</v>
      </c>
      <c r="L19">
        <f t="shared" ref="L19:N19" si="30">SUM(K16:K19)</f>
        <v>98</v>
      </c>
      <c r="M19">
        <v>94</v>
      </c>
      <c r="N19">
        <f t="shared" si="30"/>
        <v>934</v>
      </c>
    </row>
    <row r="20" spans="1:14" x14ac:dyDescent="0.25">
      <c r="A20">
        <v>2024</v>
      </c>
      <c r="B20">
        <v>3</v>
      </c>
      <c r="C20">
        <f t="shared" si="0"/>
        <v>30</v>
      </c>
      <c r="D20">
        <f t="shared" si="4"/>
        <v>376</v>
      </c>
      <c r="E20">
        <v>18</v>
      </c>
      <c r="F20">
        <f t="shared" si="4"/>
        <v>67</v>
      </c>
      <c r="G20">
        <v>12</v>
      </c>
      <c r="H20">
        <f t="shared" ref="H20:J20" si="31">SUM(G17:G20)</f>
        <v>309</v>
      </c>
      <c r="I20">
        <f t="shared" si="1"/>
        <v>67</v>
      </c>
      <c r="J20">
        <f t="shared" si="31"/>
        <v>952</v>
      </c>
      <c r="K20">
        <v>67</v>
      </c>
      <c r="L20">
        <f t="shared" ref="L20:N20" si="32">SUM(K17:K20)</f>
        <v>158</v>
      </c>
      <c r="M20">
        <v>0</v>
      </c>
      <c r="N20">
        <f t="shared" si="32"/>
        <v>794</v>
      </c>
    </row>
    <row r="21" spans="1:14" x14ac:dyDescent="0.25">
      <c r="A21">
        <v>2024</v>
      </c>
      <c r="B21">
        <v>4</v>
      </c>
      <c r="C21">
        <f t="shared" si="0"/>
        <v>61</v>
      </c>
      <c r="D21">
        <f t="shared" si="4"/>
        <v>271</v>
      </c>
      <c r="E21">
        <v>61</v>
      </c>
      <c r="F21">
        <f t="shared" si="4"/>
        <v>103</v>
      </c>
      <c r="G21">
        <v>0</v>
      </c>
      <c r="H21">
        <f t="shared" ref="H21:J21" si="33">SUM(G18:G21)</f>
        <v>168</v>
      </c>
      <c r="I21">
        <f t="shared" si="1"/>
        <v>18</v>
      </c>
      <c r="J21">
        <f t="shared" si="33"/>
        <v>525</v>
      </c>
      <c r="K21">
        <v>18</v>
      </c>
      <c r="L21">
        <f t="shared" ref="L21:N21" si="34">SUM(K18:K21)</f>
        <v>121</v>
      </c>
      <c r="M21">
        <v>0</v>
      </c>
      <c r="N21">
        <f t="shared" si="34"/>
        <v>404</v>
      </c>
    </row>
    <row r="22" spans="1:14" x14ac:dyDescent="0.25">
      <c r="A22">
        <v>2025</v>
      </c>
      <c r="B22">
        <v>1</v>
      </c>
      <c r="C22">
        <f t="shared" si="0"/>
        <v>140</v>
      </c>
      <c r="D22">
        <f t="shared" si="4"/>
        <v>295</v>
      </c>
      <c r="E22">
        <v>26</v>
      </c>
      <c r="F22">
        <f t="shared" si="4"/>
        <v>119</v>
      </c>
      <c r="G22">
        <v>114</v>
      </c>
      <c r="H22">
        <f t="shared" ref="H22:J22" si="35">SUM(G19:G22)</f>
        <v>176</v>
      </c>
      <c r="I22">
        <v>207</v>
      </c>
      <c r="J22">
        <f t="shared" si="35"/>
        <v>403</v>
      </c>
      <c r="K22">
        <v>43</v>
      </c>
      <c r="L22">
        <f t="shared" ref="L22:N22" si="36">SUM(K19:K22)</f>
        <v>145</v>
      </c>
      <c r="M22">
        <v>164</v>
      </c>
      <c r="N22">
        <f t="shared" si="36"/>
        <v>258</v>
      </c>
    </row>
    <row r="23" spans="1:14" x14ac:dyDescent="0.25">
      <c r="A23">
        <v>2025</v>
      </c>
      <c r="B23">
        <v>2</v>
      </c>
      <c r="C23">
        <f t="shared" si="0"/>
        <v>223</v>
      </c>
      <c r="D23">
        <f t="shared" si="4"/>
        <v>454</v>
      </c>
      <c r="E23">
        <v>27</v>
      </c>
      <c r="F23">
        <f t="shared" si="4"/>
        <v>132</v>
      </c>
      <c r="G23">
        <v>196</v>
      </c>
      <c r="H23">
        <f t="shared" ref="H23:J23" si="37">SUM(G20:G23)</f>
        <v>322</v>
      </c>
      <c r="I23">
        <v>215</v>
      </c>
      <c r="J23">
        <f t="shared" si="37"/>
        <v>507</v>
      </c>
      <c r="K23">
        <v>49</v>
      </c>
      <c r="L23">
        <f t="shared" ref="L23:N23" si="38">SUM(K20:K23)</f>
        <v>177</v>
      </c>
      <c r="M23">
        <v>166</v>
      </c>
      <c r="N23">
        <f t="shared" si="38"/>
        <v>330</v>
      </c>
    </row>
    <row r="24" spans="1:14" x14ac:dyDescent="0.25">
      <c r="A24">
        <v>2025</v>
      </c>
      <c r="B24">
        <v>3</v>
      </c>
      <c r="C24">
        <f t="shared" si="0"/>
        <v>196</v>
      </c>
      <c r="D24">
        <f t="shared" si="4"/>
        <v>620</v>
      </c>
      <c r="E24">
        <v>33</v>
      </c>
      <c r="F24">
        <f t="shared" si="4"/>
        <v>147</v>
      </c>
      <c r="G24">
        <v>163</v>
      </c>
      <c r="H24">
        <f t="shared" ref="H24:J24" si="39">SUM(G21:G24)</f>
        <v>473</v>
      </c>
      <c r="I24">
        <v>115</v>
      </c>
      <c r="J24">
        <f t="shared" si="39"/>
        <v>555</v>
      </c>
      <c r="K24">
        <v>8</v>
      </c>
      <c r="L24">
        <f t="shared" ref="L24:N24" si="40">SUM(K21:K24)</f>
        <v>118</v>
      </c>
      <c r="M24">
        <v>107</v>
      </c>
      <c r="N24">
        <f t="shared" si="40"/>
        <v>437</v>
      </c>
    </row>
    <row r="25" spans="1:14" x14ac:dyDescent="0.25">
      <c r="A25">
        <v>2025</v>
      </c>
      <c r="B25">
        <v>4</v>
      </c>
      <c r="C25">
        <f t="shared" si="0"/>
        <v>240</v>
      </c>
      <c r="D25">
        <f t="shared" si="4"/>
        <v>799</v>
      </c>
      <c r="E25">
        <v>32</v>
      </c>
      <c r="F25">
        <f t="shared" si="4"/>
        <v>118</v>
      </c>
      <c r="G25">
        <v>208</v>
      </c>
      <c r="H25">
        <f t="shared" ref="H25:J25" si="41">SUM(G22:G25)</f>
        <v>681</v>
      </c>
      <c r="I25">
        <v>72</v>
      </c>
      <c r="J25">
        <f t="shared" si="41"/>
        <v>609</v>
      </c>
      <c r="K25">
        <v>23</v>
      </c>
      <c r="L25">
        <f t="shared" ref="L25:N25" si="42">SUM(K22:K25)</f>
        <v>123</v>
      </c>
      <c r="M25">
        <v>49</v>
      </c>
      <c r="N25">
        <f t="shared" si="42"/>
        <v>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BC73-7C49-4FAD-AF14-917CE53B6710}">
  <dimension ref="A1:W25"/>
  <sheetViews>
    <sheetView workbookViewId="0"/>
  </sheetViews>
  <sheetFormatPr defaultRowHeight="15" x14ac:dyDescent="0.25"/>
  <cols>
    <col min="3" max="3" width="26.85546875" bestFit="1" customWidth="1"/>
    <col min="4" max="4" width="23.7109375" bestFit="1" customWidth="1"/>
    <col min="5" max="5" width="31.140625" bestFit="1" customWidth="1"/>
    <col min="6" max="6" width="28" bestFit="1" customWidth="1"/>
    <col min="7" max="7" width="31.42578125" bestFit="1" customWidth="1"/>
    <col min="8" max="8" width="28.28515625" bestFit="1" customWidth="1"/>
    <col min="9" max="9" width="28" bestFit="1" customWidth="1"/>
    <col min="10" max="10" width="24.85546875" bestFit="1" customWidth="1"/>
    <col min="11" max="11" width="25" bestFit="1" customWidth="1"/>
    <col min="12" max="12" width="22" bestFit="1" customWidth="1"/>
    <col min="13" max="13" width="8.28515625" customWidth="1"/>
  </cols>
  <sheetData>
    <row r="1" spans="1:23" x14ac:dyDescent="0.25">
      <c r="A1" t="s">
        <v>0</v>
      </c>
      <c r="B1" t="s">
        <v>1</v>
      </c>
      <c r="C1" t="s">
        <v>33</v>
      </c>
      <c r="D1" t="s">
        <v>32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34</v>
      </c>
      <c r="L1" t="s">
        <v>35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</row>
    <row r="2" spans="1:23" x14ac:dyDescent="0.25">
      <c r="A2">
        <v>2020</v>
      </c>
      <c r="B2">
        <v>1</v>
      </c>
      <c r="C2">
        <v>5067</v>
      </c>
      <c r="D2">
        <v>523</v>
      </c>
      <c r="E2">
        <f>+C2-G2</f>
        <v>2088</v>
      </c>
      <c r="F2">
        <v>191</v>
      </c>
      <c r="G2">
        <v>2979</v>
      </c>
      <c r="H2">
        <v>332</v>
      </c>
      <c r="I2">
        <v>744</v>
      </c>
      <c r="J2">
        <v>165</v>
      </c>
      <c r="K2">
        <v>2141</v>
      </c>
      <c r="L2">
        <v>189</v>
      </c>
      <c r="M2" s="2">
        <v>6.4</v>
      </c>
      <c r="N2" s="2">
        <v>0.60000000000000053</v>
      </c>
      <c r="O2" s="2">
        <v>3.2</v>
      </c>
      <c r="P2" s="2">
        <v>0.20000000000000018</v>
      </c>
      <c r="Q2" s="2">
        <v>19.3</v>
      </c>
      <c r="R2" s="2">
        <v>0.69999999999999929</v>
      </c>
      <c r="S2" s="2">
        <v>8.1999999999999993</v>
      </c>
      <c r="T2" s="2">
        <v>1.9999999999999991</v>
      </c>
      <c r="U2" s="2">
        <f>SUM(K2/C2)*100</f>
        <v>42.253799092164989</v>
      </c>
      <c r="V2" s="2">
        <v>-0.70394738670825063</v>
      </c>
      <c r="W2" s="2"/>
    </row>
    <row r="3" spans="1:23" x14ac:dyDescent="0.25">
      <c r="A3">
        <v>2020</v>
      </c>
      <c r="B3">
        <v>2</v>
      </c>
      <c r="C3">
        <v>5608</v>
      </c>
      <c r="D3">
        <v>1146</v>
      </c>
      <c r="E3">
        <f t="shared" ref="E3:E25" si="0">+C3-G3</f>
        <v>2389</v>
      </c>
      <c r="F3">
        <v>596</v>
      </c>
      <c r="G3">
        <v>3219</v>
      </c>
      <c r="H3">
        <v>550</v>
      </c>
      <c r="I3">
        <v>816</v>
      </c>
      <c r="J3">
        <v>245</v>
      </c>
      <c r="K3">
        <v>2188</v>
      </c>
      <c r="L3">
        <v>238</v>
      </c>
      <c r="M3" s="2">
        <v>7</v>
      </c>
      <c r="N3" s="2">
        <v>1.2999999999999998</v>
      </c>
      <c r="O3" s="2">
        <v>3.7</v>
      </c>
      <c r="P3" s="2">
        <v>0.90000000000000036</v>
      </c>
      <c r="Q3" s="2">
        <v>20.5</v>
      </c>
      <c r="R3" s="2">
        <v>1.8000000000000007</v>
      </c>
      <c r="S3" s="2">
        <v>8.9</v>
      </c>
      <c r="T3" s="2">
        <v>2.7</v>
      </c>
      <c r="U3" s="2">
        <f t="shared" ref="U3:U25" si="1">SUM(K3/C3)*100</f>
        <v>39.015691868758914</v>
      </c>
      <c r="V3" s="2">
        <v>-4.6866837475566356</v>
      </c>
      <c r="W3" s="2"/>
    </row>
    <row r="4" spans="1:23" x14ac:dyDescent="0.25">
      <c r="A4">
        <v>2020</v>
      </c>
      <c r="B4">
        <v>3</v>
      </c>
      <c r="C4">
        <v>6231</v>
      </c>
      <c r="D4">
        <v>1474</v>
      </c>
      <c r="E4">
        <f t="shared" si="0"/>
        <v>2722</v>
      </c>
      <c r="F4">
        <v>745</v>
      </c>
      <c r="G4">
        <v>3509</v>
      </c>
      <c r="H4">
        <v>729</v>
      </c>
      <c r="I4">
        <v>1057</v>
      </c>
      <c r="J4">
        <v>358</v>
      </c>
      <c r="K4">
        <v>2250</v>
      </c>
      <c r="L4">
        <v>213</v>
      </c>
      <c r="M4" s="2">
        <v>7.7</v>
      </c>
      <c r="N4" s="2">
        <v>1.6000000000000005</v>
      </c>
      <c r="O4" s="2">
        <v>4.2</v>
      </c>
      <c r="P4" s="2">
        <v>1.1000000000000001</v>
      </c>
      <c r="Q4" s="2">
        <v>21.9</v>
      </c>
      <c r="R4" s="2">
        <v>2.5999999999999979</v>
      </c>
      <c r="S4" s="2">
        <v>11.2</v>
      </c>
      <c r="T4" s="2">
        <v>3.7999999999999989</v>
      </c>
      <c r="U4" s="2">
        <f t="shared" si="1"/>
        <v>36.109773712084738</v>
      </c>
      <c r="V4" s="2">
        <v>-6.7113320268263408</v>
      </c>
      <c r="W4" s="2"/>
    </row>
    <row r="5" spans="1:23" x14ac:dyDescent="0.25">
      <c r="A5">
        <v>2020</v>
      </c>
      <c r="B5">
        <v>4</v>
      </c>
      <c r="C5">
        <v>5872</v>
      </c>
      <c r="D5">
        <v>1136</v>
      </c>
      <c r="E5">
        <f t="shared" si="0"/>
        <v>2448</v>
      </c>
      <c r="F5">
        <v>492</v>
      </c>
      <c r="G5">
        <v>3424</v>
      </c>
      <c r="H5">
        <v>644</v>
      </c>
      <c r="I5">
        <v>890</v>
      </c>
      <c r="J5">
        <v>181</v>
      </c>
      <c r="K5">
        <v>2251</v>
      </c>
      <c r="L5">
        <v>191</v>
      </c>
      <c r="M5" s="2">
        <v>7.3</v>
      </c>
      <c r="N5" s="2">
        <v>1.2999999999999998</v>
      </c>
      <c r="O5" s="2">
        <v>3.8</v>
      </c>
      <c r="P5" s="2">
        <v>0.69999999999999973</v>
      </c>
      <c r="Q5" s="2">
        <v>21.5</v>
      </c>
      <c r="R5" s="2">
        <v>2.1999999999999993</v>
      </c>
      <c r="S5" s="2">
        <v>9.6</v>
      </c>
      <c r="T5" s="2">
        <v>2.0999999999999996</v>
      </c>
      <c r="U5" s="2">
        <f t="shared" si="1"/>
        <v>38.334468664850135</v>
      </c>
      <c r="V5" s="2">
        <v>-5.1621529567714859</v>
      </c>
      <c r="W5" s="2"/>
    </row>
    <row r="6" spans="1:23" x14ac:dyDescent="0.25">
      <c r="A6">
        <v>2021</v>
      </c>
      <c r="B6">
        <v>1</v>
      </c>
      <c r="C6">
        <v>5683</v>
      </c>
      <c r="D6">
        <f>+C6-C2</f>
        <v>616</v>
      </c>
      <c r="E6">
        <f t="shared" si="0"/>
        <v>2304</v>
      </c>
      <c r="F6">
        <f>+E6-E2</f>
        <v>216</v>
      </c>
      <c r="G6">
        <v>3379</v>
      </c>
      <c r="H6">
        <f>+G6-G2</f>
        <v>400</v>
      </c>
      <c r="I6">
        <v>822</v>
      </c>
      <c r="J6">
        <f>+I6-I2</f>
        <v>78</v>
      </c>
      <c r="K6">
        <v>2401</v>
      </c>
      <c r="L6">
        <f>+K6-K2</f>
        <v>260</v>
      </c>
      <c r="M6" s="2">
        <v>6.9</v>
      </c>
      <c r="N6" s="2">
        <f>+M6-M2</f>
        <v>0.5</v>
      </c>
      <c r="O6" s="2">
        <v>3.5</v>
      </c>
      <c r="P6" s="2">
        <f>+O6-O2</f>
        <v>0.29999999999999982</v>
      </c>
      <c r="Q6" s="2">
        <v>20</v>
      </c>
      <c r="R6" s="2">
        <f>+Q6-Q2</f>
        <v>0.69999999999999929</v>
      </c>
      <c r="S6" s="2">
        <v>8.9</v>
      </c>
      <c r="T6" s="2">
        <f>+S6-S2</f>
        <v>0.70000000000000107</v>
      </c>
      <c r="U6" s="2">
        <f t="shared" si="1"/>
        <v>42.248812247052612</v>
      </c>
      <c r="V6" s="2">
        <f>+U6-U2</f>
        <v>-4.9868451123771251E-3</v>
      </c>
      <c r="W6" s="2"/>
    </row>
    <row r="7" spans="1:23" x14ac:dyDescent="0.25">
      <c r="A7">
        <v>2021</v>
      </c>
      <c r="B7">
        <v>2</v>
      </c>
      <c r="C7">
        <v>5408</v>
      </c>
      <c r="D7">
        <f t="shared" ref="D7:F25" si="2">+C7-C3</f>
        <v>-200</v>
      </c>
      <c r="E7">
        <f t="shared" si="0"/>
        <v>2069</v>
      </c>
      <c r="F7">
        <f t="shared" si="2"/>
        <v>-320</v>
      </c>
      <c r="G7">
        <v>3339</v>
      </c>
      <c r="H7">
        <f t="shared" ref="H7:J7" si="3">+G7-G3</f>
        <v>120</v>
      </c>
      <c r="I7">
        <v>746</v>
      </c>
      <c r="J7">
        <f t="shared" si="3"/>
        <v>-70</v>
      </c>
      <c r="K7">
        <v>2535</v>
      </c>
      <c r="L7">
        <f t="shared" ref="L7" si="4">+K7-K3</f>
        <v>347</v>
      </c>
      <c r="M7" s="2">
        <v>6.6</v>
      </c>
      <c r="N7" s="2">
        <f t="shared" ref="N7:P7" si="5">+M7-M3</f>
        <v>-0.40000000000000036</v>
      </c>
      <c r="O7" s="2">
        <v>3.2</v>
      </c>
      <c r="P7" s="2">
        <f t="shared" si="5"/>
        <v>-0.5</v>
      </c>
      <c r="Q7" s="2">
        <v>19.8</v>
      </c>
      <c r="R7" s="2">
        <f t="shared" ref="R7:T25" si="6">+Q7-Q3</f>
        <v>-0.69999999999999929</v>
      </c>
      <c r="S7" s="2">
        <v>8.1999999999999993</v>
      </c>
      <c r="T7" s="2">
        <f t="shared" si="6"/>
        <v>-0.70000000000000107</v>
      </c>
      <c r="U7" s="2">
        <f t="shared" si="1"/>
        <v>46.875</v>
      </c>
      <c r="V7" s="2">
        <f t="shared" ref="V7" si="7">+U7-U3</f>
        <v>7.859308131241086</v>
      </c>
      <c r="W7" s="2"/>
    </row>
    <row r="8" spans="1:23" x14ac:dyDescent="0.25">
      <c r="A8">
        <v>2021</v>
      </c>
      <c r="B8">
        <v>3</v>
      </c>
      <c r="C8">
        <v>5454</v>
      </c>
      <c r="D8">
        <f t="shared" si="2"/>
        <v>-777</v>
      </c>
      <c r="E8">
        <f t="shared" si="0"/>
        <v>2039</v>
      </c>
      <c r="F8">
        <f t="shared" si="2"/>
        <v>-683</v>
      </c>
      <c r="G8">
        <v>3415</v>
      </c>
      <c r="H8">
        <f t="shared" ref="H8:J8" si="8">+G8-G4</f>
        <v>-94</v>
      </c>
      <c r="I8">
        <v>797</v>
      </c>
      <c r="J8">
        <f t="shared" si="8"/>
        <v>-260</v>
      </c>
      <c r="K8">
        <v>2701</v>
      </c>
      <c r="L8">
        <f t="shared" ref="L8" si="9">+K8-K4</f>
        <v>451</v>
      </c>
      <c r="M8" s="2">
        <v>6.7</v>
      </c>
      <c r="N8" s="2">
        <f t="shared" ref="N8:P8" si="10">+M8-M4</f>
        <v>-1</v>
      </c>
      <c r="O8" s="2">
        <v>3.1</v>
      </c>
      <c r="P8" s="2">
        <f t="shared" si="10"/>
        <v>-1.1000000000000001</v>
      </c>
      <c r="Q8" s="2">
        <v>20.100000000000001</v>
      </c>
      <c r="R8" s="2">
        <f t="shared" si="6"/>
        <v>-1.7999999999999972</v>
      </c>
      <c r="S8" s="2">
        <v>8.6999999999999993</v>
      </c>
      <c r="T8" s="2">
        <f t="shared" si="6"/>
        <v>-2.5</v>
      </c>
      <c r="U8" s="2">
        <f t="shared" si="1"/>
        <v>49.523285661899521</v>
      </c>
      <c r="V8" s="2">
        <f t="shared" ref="V8" si="11">+U8-U4</f>
        <v>13.413511949814783</v>
      </c>
      <c r="W8" s="2"/>
    </row>
    <row r="9" spans="1:23" x14ac:dyDescent="0.25">
      <c r="A9">
        <v>2021</v>
      </c>
      <c r="B9">
        <v>4</v>
      </c>
      <c r="C9">
        <v>5159</v>
      </c>
      <c r="D9">
        <f t="shared" si="2"/>
        <v>-713</v>
      </c>
      <c r="E9">
        <f t="shared" si="0"/>
        <v>1914</v>
      </c>
      <c r="F9">
        <f t="shared" si="2"/>
        <v>-534</v>
      </c>
      <c r="G9">
        <v>3245</v>
      </c>
      <c r="H9">
        <f t="shared" ref="H9:J9" si="12">+G9-G5</f>
        <v>-179</v>
      </c>
      <c r="I9">
        <v>730</v>
      </c>
      <c r="J9">
        <f t="shared" si="12"/>
        <v>-160</v>
      </c>
      <c r="K9">
        <v>2619</v>
      </c>
      <c r="L9">
        <f t="shared" ref="L9" si="13">+K9-K5</f>
        <v>368</v>
      </c>
      <c r="M9" s="2">
        <v>6.3</v>
      </c>
      <c r="N9" s="2">
        <f t="shared" ref="N9:P9" si="14">+M9-M5</f>
        <v>-1</v>
      </c>
      <c r="O9" s="2">
        <v>3</v>
      </c>
      <c r="P9" s="2">
        <f t="shared" si="14"/>
        <v>-0.79999999999999982</v>
      </c>
      <c r="Q9" s="2">
        <v>19.3</v>
      </c>
      <c r="R9" s="2">
        <f t="shared" si="6"/>
        <v>-2.1999999999999993</v>
      </c>
      <c r="S9" s="2">
        <v>8</v>
      </c>
      <c r="T9" s="2">
        <f t="shared" si="6"/>
        <v>-1.5999999999999996</v>
      </c>
      <c r="U9" s="2">
        <f t="shared" si="1"/>
        <v>50.765652258189576</v>
      </c>
      <c r="V9" s="2">
        <f t="shared" ref="V9" si="15">+U9-U5</f>
        <v>12.431183593339441</v>
      </c>
      <c r="W9" s="2"/>
    </row>
    <row r="10" spans="1:23" x14ac:dyDescent="0.25">
      <c r="A10">
        <v>2022</v>
      </c>
      <c r="B10">
        <v>1</v>
      </c>
      <c r="C10">
        <v>4836</v>
      </c>
      <c r="D10">
        <f t="shared" si="2"/>
        <v>-847</v>
      </c>
      <c r="E10">
        <f t="shared" si="0"/>
        <v>1754</v>
      </c>
      <c r="F10">
        <f t="shared" si="2"/>
        <v>-550</v>
      </c>
      <c r="G10">
        <v>3082</v>
      </c>
      <c r="H10">
        <f t="shared" ref="H10:J10" si="16">+G10-G6</f>
        <v>-297</v>
      </c>
      <c r="I10">
        <v>635</v>
      </c>
      <c r="J10">
        <f t="shared" si="16"/>
        <v>-187</v>
      </c>
      <c r="K10">
        <v>2461</v>
      </c>
      <c r="L10">
        <f t="shared" ref="L10" si="17">+K10-K6</f>
        <v>60</v>
      </c>
      <c r="M10" s="2">
        <v>6</v>
      </c>
      <c r="N10" s="2">
        <f t="shared" ref="N10:P10" si="18">+M10-M6</f>
        <v>-0.90000000000000036</v>
      </c>
      <c r="O10" s="2">
        <v>2.7</v>
      </c>
      <c r="P10" s="2">
        <f t="shared" si="18"/>
        <v>-0.79999999999999982</v>
      </c>
      <c r="Q10" s="2">
        <v>18.3</v>
      </c>
      <c r="R10" s="2">
        <f t="shared" si="6"/>
        <v>-1.6999999999999993</v>
      </c>
      <c r="S10" s="2">
        <v>7.3</v>
      </c>
      <c r="T10" s="2">
        <f t="shared" si="6"/>
        <v>-1.6000000000000005</v>
      </c>
      <c r="U10" s="2">
        <f t="shared" si="1"/>
        <v>50.889164598842015</v>
      </c>
      <c r="V10" s="2">
        <f t="shared" ref="V10" si="19">+U10-U6</f>
        <v>8.640352351789403</v>
      </c>
      <c r="W10" s="2"/>
    </row>
    <row r="11" spans="1:23" x14ac:dyDescent="0.25">
      <c r="A11">
        <v>2022</v>
      </c>
      <c r="B11">
        <v>2</v>
      </c>
      <c r="C11">
        <v>4641</v>
      </c>
      <c r="D11">
        <f t="shared" si="2"/>
        <v>-767</v>
      </c>
      <c r="E11">
        <f t="shared" si="0"/>
        <v>1660</v>
      </c>
      <c r="F11">
        <f t="shared" si="2"/>
        <v>-409</v>
      </c>
      <c r="G11">
        <v>2981</v>
      </c>
      <c r="H11">
        <f t="shared" ref="H11:J11" si="20">+G11-G7</f>
        <v>-358</v>
      </c>
      <c r="I11">
        <v>605</v>
      </c>
      <c r="J11">
        <f t="shared" si="20"/>
        <v>-141</v>
      </c>
      <c r="K11">
        <v>2349</v>
      </c>
      <c r="L11">
        <f t="shared" ref="L11" si="21">+K11-K7</f>
        <v>-186</v>
      </c>
      <c r="M11" s="2">
        <v>5.8</v>
      </c>
      <c r="N11" s="2">
        <f t="shared" ref="N11:P11" si="22">+M11-M7</f>
        <v>-0.79999999999999982</v>
      </c>
      <c r="O11" s="2">
        <v>2.6</v>
      </c>
      <c r="P11" s="2">
        <f t="shared" si="22"/>
        <v>-0.60000000000000009</v>
      </c>
      <c r="Q11" s="2">
        <v>17.8</v>
      </c>
      <c r="R11" s="2">
        <f t="shared" si="6"/>
        <v>-2</v>
      </c>
      <c r="S11" s="2">
        <v>7</v>
      </c>
      <c r="T11" s="2">
        <f t="shared" si="6"/>
        <v>-1.1999999999999993</v>
      </c>
      <c r="U11" s="2">
        <f t="shared" si="1"/>
        <v>50.614091790562377</v>
      </c>
      <c r="V11" s="2">
        <f t="shared" ref="V11" si="23">+U11-U7</f>
        <v>3.7390917905623766</v>
      </c>
      <c r="W11" s="2"/>
    </row>
    <row r="12" spans="1:23" x14ac:dyDescent="0.25">
      <c r="A12">
        <v>2022</v>
      </c>
      <c r="B12">
        <v>3</v>
      </c>
      <c r="C12">
        <v>4624</v>
      </c>
      <c r="D12">
        <f t="shared" si="2"/>
        <v>-830</v>
      </c>
      <c r="E12">
        <f t="shared" si="0"/>
        <v>1736</v>
      </c>
      <c r="F12">
        <f t="shared" si="2"/>
        <v>-303</v>
      </c>
      <c r="G12">
        <v>2888</v>
      </c>
      <c r="H12">
        <f t="shared" ref="H12:J12" si="24">+G12-G8</f>
        <v>-527</v>
      </c>
      <c r="I12">
        <v>649</v>
      </c>
      <c r="J12">
        <f t="shared" si="24"/>
        <v>-148</v>
      </c>
      <c r="K12">
        <v>2252</v>
      </c>
      <c r="L12">
        <f t="shared" ref="L12" si="25">+K12-K8</f>
        <v>-449</v>
      </c>
      <c r="M12" s="2">
        <v>5.9</v>
      </c>
      <c r="N12" s="2">
        <f t="shared" ref="N12:P12" si="26">+M12-M8</f>
        <v>-0.79999999999999982</v>
      </c>
      <c r="O12" s="2">
        <v>2.9</v>
      </c>
      <c r="P12" s="2">
        <f t="shared" si="26"/>
        <v>-0.20000000000000018</v>
      </c>
      <c r="Q12" s="2">
        <v>17.399999999999999</v>
      </c>
      <c r="R12" s="2">
        <f t="shared" si="6"/>
        <v>-2.7000000000000028</v>
      </c>
      <c r="S12" s="2">
        <v>7.5</v>
      </c>
      <c r="T12" s="2">
        <f t="shared" si="6"/>
        <v>-1.1999999999999993</v>
      </c>
      <c r="U12" s="2">
        <f t="shared" si="1"/>
        <v>48.702422145328725</v>
      </c>
      <c r="V12" s="2">
        <f t="shared" ref="V12" si="27">+U12-U8</f>
        <v>-0.82086351657079604</v>
      </c>
      <c r="W12" s="2"/>
    </row>
    <row r="13" spans="1:23" x14ac:dyDescent="0.25">
      <c r="A13">
        <v>2022</v>
      </c>
      <c r="B13">
        <v>4</v>
      </c>
      <c r="C13">
        <v>4734</v>
      </c>
      <c r="D13">
        <f t="shared" si="2"/>
        <v>-425</v>
      </c>
      <c r="E13">
        <f t="shared" si="0"/>
        <v>1751</v>
      </c>
      <c r="F13">
        <f t="shared" si="2"/>
        <v>-163</v>
      </c>
      <c r="G13">
        <v>2983</v>
      </c>
      <c r="H13">
        <f t="shared" ref="H13:J13" si="28">+G13-G9</f>
        <v>-262</v>
      </c>
      <c r="I13">
        <v>669</v>
      </c>
      <c r="J13">
        <f t="shared" si="28"/>
        <v>-61</v>
      </c>
      <c r="K13">
        <v>2270</v>
      </c>
      <c r="L13">
        <f t="shared" ref="L13" si="29">+K13-K9</f>
        <v>-349</v>
      </c>
      <c r="M13" s="2">
        <v>5.9</v>
      </c>
      <c r="N13" s="2">
        <f t="shared" ref="N13:P13" si="30">+M13-M9</f>
        <v>-0.39999999999999947</v>
      </c>
      <c r="O13" s="2">
        <v>2.7</v>
      </c>
      <c r="P13" s="2">
        <f t="shared" si="30"/>
        <v>-0.29999999999999982</v>
      </c>
      <c r="Q13" s="2">
        <v>17.899999999999999</v>
      </c>
      <c r="R13" s="2">
        <f t="shared" si="6"/>
        <v>-1.4000000000000021</v>
      </c>
      <c r="S13" s="2">
        <v>7.7</v>
      </c>
      <c r="T13" s="2">
        <f t="shared" si="6"/>
        <v>-0.29999999999999982</v>
      </c>
      <c r="U13" s="2">
        <f t="shared" si="1"/>
        <v>47.950992817912969</v>
      </c>
      <c r="V13" s="2">
        <f t="shared" ref="V13" si="31">+U13-U9</f>
        <v>-2.814659440276607</v>
      </c>
      <c r="W13" s="2"/>
    </row>
    <row r="14" spans="1:23" x14ac:dyDescent="0.25">
      <c r="A14">
        <v>2023</v>
      </c>
      <c r="B14">
        <v>1</v>
      </c>
      <c r="C14">
        <v>4699</v>
      </c>
      <c r="D14">
        <f t="shared" si="2"/>
        <v>-137</v>
      </c>
      <c r="E14">
        <f t="shared" si="0"/>
        <v>1714</v>
      </c>
      <c r="F14">
        <f t="shared" si="2"/>
        <v>-40</v>
      </c>
      <c r="G14">
        <v>2985</v>
      </c>
      <c r="H14">
        <f t="shared" ref="H14:J14" si="32">+G14-G10</f>
        <v>-97</v>
      </c>
      <c r="I14">
        <v>639</v>
      </c>
      <c r="J14">
        <f t="shared" si="32"/>
        <v>4</v>
      </c>
      <c r="K14">
        <v>2209</v>
      </c>
      <c r="L14">
        <f t="shared" ref="L14" si="33">+K14-K10</f>
        <v>-252</v>
      </c>
      <c r="M14" s="2">
        <v>5.6</v>
      </c>
      <c r="N14" s="2">
        <f t="shared" ref="N14:P14" si="34">+M14-M10</f>
        <v>-0.40000000000000036</v>
      </c>
      <c r="O14" s="2">
        <v>2.6</v>
      </c>
      <c r="P14" s="2">
        <f t="shared" si="34"/>
        <v>-0.10000000000000009</v>
      </c>
      <c r="Q14" s="2">
        <v>16.7</v>
      </c>
      <c r="R14" s="2">
        <f t="shared" si="6"/>
        <v>-1.6000000000000014</v>
      </c>
      <c r="S14" s="2">
        <v>6.2</v>
      </c>
      <c r="T14" s="2">
        <f t="shared" si="6"/>
        <v>-1.0999999999999996</v>
      </c>
      <c r="U14" s="2">
        <f t="shared" si="1"/>
        <v>47.010002128112369</v>
      </c>
      <c r="V14" s="2">
        <f t="shared" ref="V14" si="35">+U14-U10</f>
        <v>-3.8791624707296464</v>
      </c>
      <c r="W14" s="2"/>
    </row>
    <row r="15" spans="1:23" x14ac:dyDescent="0.25">
      <c r="A15">
        <v>2023</v>
      </c>
      <c r="B15">
        <v>2</v>
      </c>
      <c r="C15">
        <v>4613</v>
      </c>
      <c r="D15">
        <f t="shared" si="2"/>
        <v>-28</v>
      </c>
      <c r="E15">
        <f t="shared" si="0"/>
        <v>1651</v>
      </c>
      <c r="F15">
        <f t="shared" si="2"/>
        <v>-9</v>
      </c>
      <c r="G15">
        <v>2962</v>
      </c>
      <c r="H15">
        <f t="shared" ref="H15:J15" si="36">+G15-G11</f>
        <v>-19</v>
      </c>
      <c r="I15">
        <v>578</v>
      </c>
      <c r="J15">
        <f t="shared" si="36"/>
        <v>-27</v>
      </c>
      <c r="K15">
        <v>2173</v>
      </c>
      <c r="L15">
        <f t="shared" ref="L15" si="37">+K15-K11</f>
        <v>-176</v>
      </c>
      <c r="M15" s="2">
        <v>5.5</v>
      </c>
      <c r="N15" s="2">
        <f t="shared" ref="N15:P15" si="38">+M15-M11</f>
        <v>-0.29999999999999982</v>
      </c>
      <c r="O15" s="2">
        <v>2.5</v>
      </c>
      <c r="P15" s="2">
        <f t="shared" si="38"/>
        <v>-0.10000000000000009</v>
      </c>
      <c r="Q15" s="2">
        <v>16.5</v>
      </c>
      <c r="R15" s="2">
        <f t="shared" si="6"/>
        <v>-1.3000000000000007</v>
      </c>
      <c r="S15" s="2">
        <v>5.5</v>
      </c>
      <c r="T15" s="2">
        <f t="shared" si="6"/>
        <v>-1.5</v>
      </c>
      <c r="U15" s="2">
        <f t="shared" si="1"/>
        <v>47.106004769130713</v>
      </c>
      <c r="V15" s="2">
        <f t="shared" ref="V15" si="39">+U15-U11</f>
        <v>-3.5080870214316633</v>
      </c>
      <c r="W15" s="2"/>
    </row>
    <row r="16" spans="1:23" x14ac:dyDescent="0.25">
      <c r="A16">
        <v>2023</v>
      </c>
      <c r="B16">
        <v>3</v>
      </c>
      <c r="C16">
        <v>4810</v>
      </c>
      <c r="D16">
        <f t="shared" si="2"/>
        <v>186</v>
      </c>
      <c r="E16">
        <f t="shared" si="0"/>
        <v>1775</v>
      </c>
      <c r="F16">
        <f t="shared" si="2"/>
        <v>39</v>
      </c>
      <c r="G16">
        <v>3035</v>
      </c>
      <c r="H16">
        <f t="shared" ref="H16:J16" si="40">+G16-G12</f>
        <v>147</v>
      </c>
      <c r="I16">
        <v>684</v>
      </c>
      <c r="J16">
        <f t="shared" si="40"/>
        <v>35</v>
      </c>
      <c r="K16">
        <v>2122</v>
      </c>
      <c r="L16">
        <f t="shared" ref="L16" si="41">+K16-K12</f>
        <v>-130</v>
      </c>
      <c r="M16" s="2">
        <v>5.7</v>
      </c>
      <c r="N16" s="2">
        <f t="shared" ref="N16:P16" si="42">+M16-M12</f>
        <v>-0.20000000000000018</v>
      </c>
      <c r="O16" s="2">
        <v>2.7</v>
      </c>
      <c r="P16" s="2">
        <f t="shared" si="42"/>
        <v>-0.19999999999999973</v>
      </c>
      <c r="Q16" s="2">
        <v>16.7</v>
      </c>
      <c r="R16" s="2">
        <f t="shared" si="6"/>
        <v>-0.69999999999999929</v>
      </c>
      <c r="S16" s="2">
        <v>6.5</v>
      </c>
      <c r="T16" s="2">
        <f t="shared" si="6"/>
        <v>-1</v>
      </c>
      <c r="U16" s="2">
        <f t="shared" si="1"/>
        <v>44.11642411642412</v>
      </c>
      <c r="V16" s="2">
        <f t="shared" ref="V16" si="43">+U16-U12</f>
        <v>-4.585998028904605</v>
      </c>
      <c r="W16" s="2"/>
    </row>
    <row r="17" spans="1:23" x14ac:dyDescent="0.25">
      <c r="A17">
        <v>2023</v>
      </c>
      <c r="B17">
        <v>4</v>
      </c>
      <c r="C17">
        <v>4735</v>
      </c>
      <c r="D17">
        <f t="shared" si="2"/>
        <v>1</v>
      </c>
      <c r="E17">
        <f t="shared" si="0"/>
        <v>1728</v>
      </c>
      <c r="F17">
        <f t="shared" si="2"/>
        <v>-23</v>
      </c>
      <c r="G17">
        <v>3007</v>
      </c>
      <c r="H17">
        <f t="shared" ref="H17:J17" si="44">+G17-G13</f>
        <v>24</v>
      </c>
      <c r="I17">
        <v>667</v>
      </c>
      <c r="J17">
        <f t="shared" si="44"/>
        <v>-2</v>
      </c>
      <c r="K17">
        <v>2072</v>
      </c>
      <c r="L17">
        <f t="shared" ref="L17" si="45">+K17-K13</f>
        <v>-198</v>
      </c>
      <c r="M17" s="2">
        <v>5.6</v>
      </c>
      <c r="N17" s="2">
        <f t="shared" ref="N17:P17" si="46">+M17-M13</f>
        <v>-0.30000000000000071</v>
      </c>
      <c r="O17" s="2">
        <v>2.6</v>
      </c>
      <c r="P17" s="2">
        <f t="shared" si="46"/>
        <v>-0.10000000000000009</v>
      </c>
      <c r="Q17" s="2">
        <v>16.5</v>
      </c>
      <c r="R17" s="2">
        <f t="shared" si="6"/>
        <v>-1.3999999999999986</v>
      </c>
      <c r="S17" s="2">
        <v>6.3</v>
      </c>
      <c r="T17" s="2">
        <f t="shared" si="6"/>
        <v>-1.4000000000000004</v>
      </c>
      <c r="U17" s="2">
        <f t="shared" si="1"/>
        <v>43.75923970432946</v>
      </c>
      <c r="V17" s="2">
        <f t="shared" ref="V17" si="47">+U17-U13</f>
        <v>-4.1917531135835091</v>
      </c>
      <c r="W17" s="2"/>
    </row>
    <row r="18" spans="1:23" x14ac:dyDescent="0.25">
      <c r="A18">
        <v>2024</v>
      </c>
      <c r="B18">
        <v>1</v>
      </c>
      <c r="C18">
        <v>5004</v>
      </c>
      <c r="D18">
        <f t="shared" si="2"/>
        <v>305</v>
      </c>
      <c r="E18">
        <f t="shared" si="0"/>
        <v>1879</v>
      </c>
      <c r="F18">
        <f t="shared" si="2"/>
        <v>165</v>
      </c>
      <c r="G18">
        <v>3125</v>
      </c>
      <c r="H18">
        <f t="shared" ref="H18:J18" si="48">+G18-G14</f>
        <v>140</v>
      </c>
      <c r="I18">
        <v>647</v>
      </c>
      <c r="J18">
        <f t="shared" si="48"/>
        <v>8</v>
      </c>
      <c r="K18">
        <v>2125</v>
      </c>
      <c r="L18">
        <f t="shared" ref="L18" si="49">+K18-K14</f>
        <v>-84</v>
      </c>
      <c r="M18" s="2">
        <v>5.9</v>
      </c>
      <c r="N18" s="2">
        <f t="shared" ref="N18:P18" si="50">+M18-M14</f>
        <v>0.30000000000000071</v>
      </c>
      <c r="O18" s="2">
        <v>2.8</v>
      </c>
      <c r="P18" s="2">
        <f t="shared" si="50"/>
        <v>0.19999999999999973</v>
      </c>
      <c r="Q18" s="2">
        <v>16.899999999999999</v>
      </c>
      <c r="R18" s="2">
        <f t="shared" si="6"/>
        <v>0.19999999999999929</v>
      </c>
      <c r="S18" s="2">
        <v>6</v>
      </c>
      <c r="T18" s="2">
        <f t="shared" si="6"/>
        <v>-0.20000000000000018</v>
      </c>
      <c r="U18" s="2">
        <f t="shared" si="1"/>
        <v>42.466027178257391</v>
      </c>
      <c r="V18" s="2">
        <f t="shared" ref="V18" si="51">+U18-U14</f>
        <v>-4.5439749498549773</v>
      </c>
      <c r="W18" s="2"/>
    </row>
    <row r="19" spans="1:23" x14ac:dyDescent="0.25">
      <c r="A19">
        <v>2024</v>
      </c>
      <c r="B19">
        <v>2</v>
      </c>
      <c r="C19">
        <v>4823</v>
      </c>
      <c r="D19">
        <f t="shared" si="2"/>
        <v>210</v>
      </c>
      <c r="E19">
        <f t="shared" si="0"/>
        <v>1790</v>
      </c>
      <c r="F19">
        <f t="shared" si="2"/>
        <v>139</v>
      </c>
      <c r="G19">
        <v>3033</v>
      </c>
      <c r="H19">
        <f t="shared" ref="H19:J19" si="52">+G19-G15</f>
        <v>71</v>
      </c>
      <c r="I19">
        <v>607</v>
      </c>
      <c r="J19">
        <f t="shared" si="52"/>
        <v>29</v>
      </c>
      <c r="K19">
        <v>2065</v>
      </c>
      <c r="L19">
        <f t="shared" ref="L19" si="53">+K19-K15</f>
        <v>-108</v>
      </c>
      <c r="M19" s="2">
        <v>5.7</v>
      </c>
      <c r="N19" s="2">
        <f t="shared" ref="N19:P19" si="54">+M19-M15</f>
        <v>0.20000000000000018</v>
      </c>
      <c r="O19" s="2">
        <v>2.7</v>
      </c>
      <c r="P19" s="2">
        <f t="shared" si="54"/>
        <v>0.20000000000000018</v>
      </c>
      <c r="Q19" s="2">
        <v>16.3</v>
      </c>
      <c r="R19" s="2">
        <f t="shared" si="6"/>
        <v>-0.19999999999999929</v>
      </c>
      <c r="S19" s="2">
        <v>5.7</v>
      </c>
      <c r="T19" s="2">
        <f t="shared" si="6"/>
        <v>0.20000000000000018</v>
      </c>
      <c r="U19" s="2">
        <f t="shared" si="1"/>
        <v>42.815674891146585</v>
      </c>
      <c r="V19" s="2">
        <f t="shared" ref="V19" si="55">+U19-U15</f>
        <v>-4.2903298779841279</v>
      </c>
      <c r="W19" s="2"/>
    </row>
    <row r="20" spans="1:23" x14ac:dyDescent="0.25">
      <c r="A20">
        <v>2024</v>
      </c>
      <c r="B20">
        <v>3</v>
      </c>
      <c r="C20">
        <v>5118</v>
      </c>
      <c r="D20">
        <f t="shared" si="2"/>
        <v>308</v>
      </c>
      <c r="E20">
        <f t="shared" si="0"/>
        <v>2039</v>
      </c>
      <c r="F20">
        <f t="shared" si="2"/>
        <v>264</v>
      </c>
      <c r="G20">
        <v>3079</v>
      </c>
      <c r="H20">
        <f t="shared" ref="H20:J20" si="56">+G20-G16</f>
        <v>44</v>
      </c>
      <c r="I20">
        <v>781</v>
      </c>
      <c r="J20">
        <f t="shared" si="56"/>
        <v>97</v>
      </c>
      <c r="K20">
        <v>2160</v>
      </c>
      <c r="L20">
        <f t="shared" ref="L20" si="57">+K20-K16</f>
        <v>38</v>
      </c>
      <c r="M20" s="2">
        <v>6</v>
      </c>
      <c r="N20" s="2">
        <f t="shared" ref="N20:P20" si="58">+M20-M16</f>
        <v>0.29999999999999982</v>
      </c>
      <c r="O20" s="2">
        <v>3.1</v>
      </c>
      <c r="P20" s="2">
        <f t="shared" si="58"/>
        <v>0.39999999999999991</v>
      </c>
      <c r="Q20" s="2">
        <v>16.5</v>
      </c>
      <c r="R20" s="2">
        <f t="shared" si="6"/>
        <v>-0.19999999999999929</v>
      </c>
      <c r="S20" s="2">
        <v>7.3</v>
      </c>
      <c r="T20" s="2">
        <f t="shared" si="6"/>
        <v>0.79999999999999982</v>
      </c>
      <c r="U20" s="2">
        <f t="shared" si="1"/>
        <v>42.203985932004692</v>
      </c>
      <c r="V20" s="2">
        <f t="shared" ref="V20" si="59">+U20-U16</f>
        <v>-1.9124381844194289</v>
      </c>
      <c r="W20" s="2"/>
    </row>
    <row r="21" spans="1:23" x14ac:dyDescent="0.25">
      <c r="A21">
        <v>2024</v>
      </c>
      <c r="B21">
        <v>4</v>
      </c>
      <c r="C21">
        <v>5134</v>
      </c>
      <c r="D21">
        <f t="shared" si="2"/>
        <v>399</v>
      </c>
      <c r="E21">
        <f t="shared" si="0"/>
        <v>1990</v>
      </c>
      <c r="F21">
        <f t="shared" si="2"/>
        <v>262</v>
      </c>
      <c r="G21">
        <v>3144</v>
      </c>
      <c r="H21">
        <f t="shared" ref="H21:J21" si="60">+G21-G17</f>
        <v>137</v>
      </c>
      <c r="I21">
        <v>722</v>
      </c>
      <c r="J21">
        <f t="shared" si="60"/>
        <v>55</v>
      </c>
      <c r="K21">
        <v>2184</v>
      </c>
      <c r="L21">
        <f t="shared" ref="L21" si="61">+K21-K17</f>
        <v>112</v>
      </c>
      <c r="M21" s="2">
        <v>6</v>
      </c>
      <c r="N21" s="2">
        <f t="shared" ref="N21:P21" si="62">+M21-M17</f>
        <v>0.40000000000000036</v>
      </c>
      <c r="O21" s="2">
        <v>3</v>
      </c>
      <c r="P21" s="2">
        <f t="shared" si="62"/>
        <v>0.39999999999999991</v>
      </c>
      <c r="Q21" s="2">
        <v>16.8</v>
      </c>
      <c r="R21" s="2">
        <f t="shared" si="6"/>
        <v>0.30000000000000071</v>
      </c>
      <c r="S21" s="2">
        <v>6.8</v>
      </c>
      <c r="T21" s="2">
        <f t="shared" si="6"/>
        <v>0.5</v>
      </c>
      <c r="U21" s="2">
        <f t="shared" si="1"/>
        <v>42.539929879236468</v>
      </c>
      <c r="V21" s="2">
        <f t="shared" ref="V21" si="63">+U21-U17</f>
        <v>-1.2193098250929921</v>
      </c>
      <c r="W21" s="2"/>
    </row>
    <row r="22" spans="1:23" x14ac:dyDescent="0.25">
      <c r="A22">
        <v>2025</v>
      </c>
      <c r="B22">
        <v>1</v>
      </c>
      <c r="C22">
        <v>5312</v>
      </c>
      <c r="D22">
        <f t="shared" si="2"/>
        <v>308</v>
      </c>
      <c r="E22">
        <f t="shared" si="0"/>
        <v>2088</v>
      </c>
      <c r="F22">
        <f t="shared" si="2"/>
        <v>209</v>
      </c>
      <c r="G22">
        <v>3224</v>
      </c>
      <c r="H22">
        <f t="shared" ref="H22:J22" si="64">+G22-G18</f>
        <v>99</v>
      </c>
      <c r="I22">
        <v>680</v>
      </c>
      <c r="J22">
        <f t="shared" si="64"/>
        <v>33</v>
      </c>
      <c r="K22">
        <v>2318</v>
      </c>
      <c r="L22">
        <f t="shared" ref="L22" si="65">+K22-K18</f>
        <v>193</v>
      </c>
      <c r="M22" s="2">
        <v>6.2</v>
      </c>
      <c r="N22" s="2">
        <f t="shared" ref="N22:P22" si="66">+M22-M18</f>
        <v>0.29999999999999982</v>
      </c>
      <c r="O22" s="2">
        <v>3.1</v>
      </c>
      <c r="P22" s="2">
        <f t="shared" si="66"/>
        <v>0.30000000000000027</v>
      </c>
      <c r="Q22" s="2">
        <v>17.100000000000001</v>
      </c>
      <c r="R22" s="2">
        <f t="shared" si="6"/>
        <v>0.20000000000000284</v>
      </c>
      <c r="S22" s="2">
        <v>6.4</v>
      </c>
      <c r="T22" s="2">
        <f t="shared" si="6"/>
        <v>0.40000000000000036</v>
      </c>
      <c r="U22" s="2">
        <f t="shared" si="1"/>
        <v>43.637048192771083</v>
      </c>
      <c r="V22" s="2">
        <f t="shared" ref="V22" si="67">+U22-U18</f>
        <v>1.1710210145136912</v>
      </c>
      <c r="W22" s="2"/>
    </row>
    <row r="23" spans="1:23" x14ac:dyDescent="0.25">
      <c r="A23">
        <v>2025</v>
      </c>
      <c r="B23">
        <v>2</v>
      </c>
      <c r="C23">
        <v>5113</v>
      </c>
      <c r="D23">
        <f t="shared" si="2"/>
        <v>290</v>
      </c>
      <c r="E23">
        <f t="shared" si="0"/>
        <v>2009</v>
      </c>
      <c r="F23">
        <f t="shared" si="2"/>
        <v>219</v>
      </c>
      <c r="G23">
        <v>3104</v>
      </c>
      <c r="H23">
        <f t="shared" ref="H23:J23" si="68">+G23-G19</f>
        <v>71</v>
      </c>
      <c r="I23">
        <v>638</v>
      </c>
      <c r="J23">
        <f t="shared" si="68"/>
        <v>31</v>
      </c>
      <c r="K23">
        <v>2311</v>
      </c>
      <c r="L23">
        <f t="shared" ref="L23" si="69">+K23-K19</f>
        <v>246</v>
      </c>
      <c r="M23" s="2">
        <v>6</v>
      </c>
      <c r="N23" s="2">
        <f t="shared" ref="N23:P23" si="70">+M23-M19</f>
        <v>0.29999999999999982</v>
      </c>
      <c r="O23" s="2">
        <v>3</v>
      </c>
      <c r="P23" s="2">
        <f t="shared" si="70"/>
        <v>0.29999999999999982</v>
      </c>
      <c r="Q23" s="2">
        <v>16.399999999999999</v>
      </c>
      <c r="R23" s="2">
        <f t="shared" si="6"/>
        <v>9.9999999999997868E-2</v>
      </c>
      <c r="S23" s="2">
        <v>6</v>
      </c>
      <c r="T23" s="2">
        <f t="shared" si="6"/>
        <v>0.29999999999999982</v>
      </c>
      <c r="U23" s="2">
        <f t="shared" si="1"/>
        <v>45.198513592802655</v>
      </c>
      <c r="V23" s="2">
        <f t="shared" ref="V23" si="71">+U23-U19</f>
        <v>2.3828387016560697</v>
      </c>
      <c r="W23" s="2"/>
    </row>
    <row r="24" spans="1:23" x14ac:dyDescent="0.25">
      <c r="A24">
        <v>2025</v>
      </c>
      <c r="B24">
        <v>3</v>
      </c>
      <c r="C24">
        <v>5310</v>
      </c>
      <c r="D24">
        <f t="shared" si="2"/>
        <v>192</v>
      </c>
      <c r="E24">
        <f t="shared" si="0"/>
        <v>2221</v>
      </c>
      <c r="F24">
        <f t="shared" si="2"/>
        <v>182</v>
      </c>
      <c r="G24">
        <v>3089</v>
      </c>
      <c r="H24">
        <f t="shared" ref="H24:J24" si="72">+G24-G20</f>
        <v>10</v>
      </c>
      <c r="I24">
        <v>769</v>
      </c>
      <c r="J24">
        <f t="shared" si="72"/>
        <v>-12</v>
      </c>
      <c r="K24">
        <v>2335</v>
      </c>
      <c r="L24">
        <f t="shared" ref="L24" si="73">+K24-K20</f>
        <v>175</v>
      </c>
      <c r="M24" s="2">
        <v>6.2</v>
      </c>
      <c r="N24" s="2">
        <f t="shared" ref="N24:P24" si="74">+M24-M20</f>
        <v>0.20000000000000018</v>
      </c>
      <c r="O24" s="2">
        <v>3.3</v>
      </c>
      <c r="P24" s="2">
        <f t="shared" si="74"/>
        <v>0.19999999999999973</v>
      </c>
      <c r="Q24" s="2">
        <v>16.3</v>
      </c>
      <c r="R24" s="2">
        <f t="shared" si="6"/>
        <v>-0.19999999999999929</v>
      </c>
      <c r="S24" s="2">
        <v>7.2</v>
      </c>
      <c r="T24" s="2">
        <f t="shared" si="6"/>
        <v>-9.9999999999999645E-2</v>
      </c>
      <c r="U24" s="2">
        <f t="shared" si="1"/>
        <v>43.973634651600754</v>
      </c>
      <c r="V24" s="2">
        <f t="shared" ref="V24" si="75">+U24-U20</f>
        <v>1.7696487195960628</v>
      </c>
      <c r="W24" s="2"/>
    </row>
    <row r="25" spans="1:23" x14ac:dyDescent="0.25">
      <c r="A25">
        <v>2025</v>
      </c>
      <c r="B25">
        <v>4</v>
      </c>
      <c r="C25">
        <v>5106</v>
      </c>
      <c r="D25">
        <f t="shared" si="2"/>
        <v>-28</v>
      </c>
      <c r="E25">
        <f t="shared" si="0"/>
        <v>2158</v>
      </c>
      <c r="F25">
        <f t="shared" si="2"/>
        <v>168</v>
      </c>
      <c r="G25">
        <v>2948</v>
      </c>
      <c r="H25">
        <f t="shared" ref="H25:J25" si="76">+G25-G21</f>
        <v>-196</v>
      </c>
      <c r="I25">
        <v>724</v>
      </c>
      <c r="J25">
        <f t="shared" si="76"/>
        <v>2</v>
      </c>
      <c r="K25">
        <v>2316</v>
      </c>
      <c r="L25">
        <f t="shared" ref="L25" si="77">+K25-K21</f>
        <v>132</v>
      </c>
      <c r="M25" s="2">
        <v>6</v>
      </c>
      <c r="N25" s="2">
        <f t="shared" ref="N25:P25" si="78">+M25-M21</f>
        <v>0</v>
      </c>
      <c r="O25" s="2">
        <v>3.2</v>
      </c>
      <c r="P25" s="2">
        <f t="shared" si="78"/>
        <v>0.20000000000000018</v>
      </c>
      <c r="Q25" s="2">
        <v>15.5</v>
      </c>
      <c r="R25" s="2">
        <f t="shared" si="6"/>
        <v>-1.3000000000000007</v>
      </c>
      <c r="S25" s="2">
        <v>6.8</v>
      </c>
      <c r="T25" s="2">
        <f t="shared" si="6"/>
        <v>0</v>
      </c>
      <c r="U25" s="2">
        <f t="shared" si="1"/>
        <v>45.35840188014101</v>
      </c>
      <c r="V25" s="2">
        <f t="shared" ref="V25" si="79">+U25-U21</f>
        <v>2.8184720009045421</v>
      </c>
      <c r="W2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F90E-CE8C-45E1-8E7A-11FD8DC872F4}">
  <dimension ref="A1:B6"/>
  <sheetViews>
    <sheetView workbookViewId="0"/>
  </sheetViews>
  <sheetFormatPr defaultRowHeight="15" x14ac:dyDescent="0.25"/>
  <sheetData>
    <row r="1" spans="1:2" x14ac:dyDescent="0.25">
      <c r="A1" t="s">
        <v>47</v>
      </c>
    </row>
    <row r="3" spans="1:2" x14ac:dyDescent="0.25">
      <c r="A3">
        <v>1</v>
      </c>
      <c r="B3" t="s">
        <v>43</v>
      </c>
    </row>
    <row r="4" spans="1:2" x14ac:dyDescent="0.25">
      <c r="A4">
        <v>2</v>
      </c>
      <c r="B4" t="s">
        <v>44</v>
      </c>
    </row>
    <row r="5" spans="1:2" x14ac:dyDescent="0.25">
      <c r="A5">
        <v>3</v>
      </c>
      <c r="B5" t="s">
        <v>45</v>
      </c>
    </row>
    <row r="6" spans="1:2" x14ac:dyDescent="0.25">
      <c r="A6">
        <v>4</v>
      </c>
      <c r="B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Befolkningsförändring</vt:lpstr>
      <vt:lpstr>Sysselsättning</vt:lpstr>
      <vt:lpstr>Bostadsbyggande</vt:lpstr>
      <vt:lpstr>Arbetslöshet</vt:lpstr>
      <vt:lpstr>Info om filerna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2026-02-23T14:43:01Z</dcterms:created>
  <dcterms:modified xsi:type="dcterms:W3CDTF">2026-02-27T09:45:01Z</dcterms:modified>
</cp:coreProperties>
</file>