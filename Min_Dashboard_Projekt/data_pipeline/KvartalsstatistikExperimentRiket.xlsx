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_Dashboard\data_pipeline\"/>
    </mc:Choice>
  </mc:AlternateContent>
  <xr:revisionPtr revIDLastSave="0" documentId="13_ncr:1_{C15D9FCA-95AA-402B-810F-8FBF974C7842}" xr6:coauthVersionLast="36" xr6:coauthVersionMax="36" xr10:uidLastSave="{00000000-0000-0000-0000-000000000000}"/>
  <bookViews>
    <workbookView xWindow="0" yWindow="0" windowWidth="38400" windowHeight="17505" xr2:uid="{6F6955DC-932A-4AAA-98BE-72C70B55B343}"/>
  </bookViews>
  <sheets>
    <sheet name="Befolkningsförändring" sheetId="1" r:id="rId1"/>
    <sheet name="Sysselsättning" sheetId="3" r:id="rId2"/>
    <sheet name="Bostadsbyggande" sheetId="4" r:id="rId3"/>
    <sheet name="Arbetslöshet" sheetId="2" r:id="rId4"/>
    <sheet name="Info om filern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25" i="2" l="1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BA4" i="2"/>
  <c r="BA3" i="2"/>
  <c r="BA2" i="2"/>
  <c r="AR25" i="4" l="1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5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AK25" i="1" l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AY3" i="3"/>
  <c r="AY2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R5" i="3"/>
  <c r="AR4" i="3"/>
  <c r="AR3" i="3"/>
  <c r="AR2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AT25" i="3"/>
  <c r="AM25" i="3"/>
  <c r="AF25" i="3"/>
  <c r="Y25" i="3"/>
  <c r="R25" i="3"/>
  <c r="K25" i="3"/>
  <c r="D25" i="3"/>
  <c r="AT24" i="3"/>
  <c r="AM24" i="3"/>
  <c r="AF24" i="3"/>
  <c r="Y24" i="3"/>
  <c r="R24" i="3"/>
  <c r="K24" i="3"/>
  <c r="D24" i="3"/>
  <c r="AT23" i="3"/>
  <c r="AM23" i="3"/>
  <c r="AF23" i="3"/>
  <c r="Y23" i="3"/>
  <c r="R23" i="3"/>
  <c r="K23" i="3"/>
  <c r="D23" i="3"/>
  <c r="AT22" i="3"/>
  <c r="AM22" i="3"/>
  <c r="AF22" i="3"/>
  <c r="Y22" i="3"/>
  <c r="R22" i="3"/>
  <c r="K22" i="3"/>
  <c r="D22" i="3"/>
  <c r="AT21" i="3"/>
  <c r="AM21" i="3"/>
  <c r="AF21" i="3"/>
  <c r="Y21" i="3"/>
  <c r="R21" i="3"/>
  <c r="K21" i="3"/>
  <c r="D21" i="3"/>
  <c r="AT20" i="3"/>
  <c r="AM20" i="3"/>
  <c r="AF20" i="3"/>
  <c r="Y20" i="3"/>
  <c r="R20" i="3"/>
  <c r="K20" i="3"/>
  <c r="D20" i="3"/>
  <c r="AT19" i="3"/>
  <c r="AM19" i="3"/>
  <c r="AF19" i="3"/>
  <c r="Y19" i="3"/>
  <c r="R19" i="3"/>
  <c r="K19" i="3"/>
  <c r="D19" i="3"/>
  <c r="AT18" i="3"/>
  <c r="AM18" i="3"/>
  <c r="AF18" i="3"/>
  <c r="Y18" i="3"/>
  <c r="R18" i="3"/>
  <c r="K18" i="3"/>
  <c r="D18" i="3"/>
  <c r="AT17" i="3"/>
  <c r="AM17" i="3"/>
  <c r="AF17" i="3"/>
  <c r="Y17" i="3"/>
  <c r="R17" i="3"/>
  <c r="K17" i="3"/>
  <c r="D17" i="3"/>
  <c r="AT16" i="3"/>
  <c r="AM16" i="3"/>
  <c r="AF16" i="3"/>
  <c r="Y16" i="3"/>
  <c r="R16" i="3"/>
  <c r="K16" i="3"/>
  <c r="D16" i="3"/>
  <c r="AT15" i="3"/>
  <c r="AM15" i="3"/>
  <c r="AF15" i="3"/>
  <c r="Y15" i="3"/>
  <c r="R15" i="3"/>
  <c r="K15" i="3"/>
  <c r="D15" i="3"/>
  <c r="AT14" i="3"/>
  <c r="AM14" i="3"/>
  <c r="AF14" i="3"/>
  <c r="Y14" i="3"/>
  <c r="R14" i="3"/>
  <c r="K14" i="3"/>
  <c r="D14" i="3"/>
  <c r="AT13" i="3"/>
  <c r="AM13" i="3"/>
  <c r="AF13" i="3"/>
  <c r="Y13" i="3"/>
  <c r="R13" i="3"/>
  <c r="K13" i="3"/>
  <c r="D13" i="3"/>
  <c r="AT12" i="3"/>
  <c r="AM12" i="3"/>
  <c r="AF12" i="3"/>
  <c r="Y12" i="3"/>
  <c r="R12" i="3"/>
  <c r="K12" i="3"/>
  <c r="D12" i="3"/>
  <c r="AT11" i="3"/>
  <c r="AM11" i="3"/>
  <c r="AF11" i="3"/>
  <c r="Y11" i="3"/>
  <c r="R11" i="3"/>
  <c r="K11" i="3"/>
  <c r="D11" i="3"/>
  <c r="AT10" i="3"/>
  <c r="AM10" i="3"/>
  <c r="AF10" i="3"/>
  <c r="Y10" i="3"/>
  <c r="R10" i="3"/>
  <c r="K10" i="3"/>
  <c r="D10" i="3"/>
  <c r="AT9" i="3"/>
  <c r="AM9" i="3"/>
  <c r="AF9" i="3"/>
  <c r="Y9" i="3"/>
  <c r="R9" i="3"/>
  <c r="K9" i="3"/>
  <c r="D9" i="3"/>
  <c r="AT8" i="3"/>
  <c r="AM8" i="3"/>
  <c r="AF8" i="3"/>
  <c r="Y8" i="3"/>
  <c r="R8" i="3"/>
  <c r="K8" i="3"/>
  <c r="D8" i="3"/>
  <c r="AT7" i="3"/>
  <c r="AM7" i="3"/>
  <c r="AF7" i="3"/>
  <c r="Y7" i="3"/>
  <c r="R7" i="3"/>
  <c r="K7" i="3"/>
  <c r="D7" i="3"/>
  <c r="AT6" i="3"/>
  <c r="AM6" i="3"/>
  <c r="AF6" i="3"/>
  <c r="Y6" i="3"/>
  <c r="R6" i="3"/>
  <c r="K6" i="3"/>
  <c r="D6" i="3"/>
  <c r="AT5" i="3"/>
  <c r="AM5" i="3"/>
  <c r="AF5" i="3"/>
  <c r="Y5" i="3"/>
  <c r="R5" i="3"/>
  <c r="K5" i="3"/>
  <c r="D5" i="3"/>
  <c r="AT4" i="3"/>
  <c r="AM4" i="3"/>
  <c r="AF4" i="3"/>
  <c r="Y4" i="3"/>
  <c r="R4" i="3"/>
  <c r="K4" i="3"/>
  <c r="D4" i="3"/>
  <c r="AT3" i="3"/>
  <c r="AM3" i="3"/>
  <c r="AF3" i="3"/>
  <c r="Y3" i="3"/>
  <c r="R3" i="3"/>
  <c r="K3" i="3"/>
  <c r="D3" i="3"/>
  <c r="AT2" i="3"/>
  <c r="AM2" i="3"/>
  <c r="AF2" i="3"/>
  <c r="Y2" i="3"/>
  <c r="R2" i="3"/>
  <c r="K2" i="3"/>
  <c r="D2" i="3"/>
  <c r="AM25" i="1" l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  <c r="BO25" i="2" l="1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BO8" i="2"/>
  <c r="BO7" i="2"/>
  <c r="BO6" i="2"/>
  <c r="BO5" i="2"/>
  <c r="BO4" i="2"/>
  <c r="BO3" i="2"/>
  <c r="BO2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BH2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T2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M2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" i="2"/>
  <c r="K25" i="1" l="1"/>
  <c r="R25" i="1"/>
  <c r="Y25" i="1"/>
  <c r="AF25" i="1"/>
  <c r="AM5" i="4" l="1"/>
  <c r="AF5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X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" i="2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Y5" i="4" l="1"/>
  <c r="D5" i="4"/>
  <c r="D9" i="4"/>
  <c r="D13" i="4"/>
  <c r="D17" i="4"/>
  <c r="D21" i="4"/>
  <c r="D25" i="4"/>
  <c r="Y6" i="4"/>
  <c r="Y10" i="4"/>
  <c r="Y14" i="4"/>
  <c r="Y18" i="4"/>
  <c r="Y22" i="4"/>
  <c r="D6" i="4"/>
  <c r="D10" i="4"/>
  <c r="D14" i="4"/>
  <c r="D18" i="4"/>
  <c r="D22" i="4"/>
  <c r="Y7" i="4"/>
  <c r="Y11" i="4"/>
  <c r="Y15" i="4"/>
  <c r="Y19" i="4"/>
  <c r="Y23" i="4"/>
  <c r="D7" i="4"/>
  <c r="D11" i="4"/>
  <c r="D15" i="4"/>
  <c r="D19" i="4"/>
  <c r="D23" i="4"/>
  <c r="Y8" i="4"/>
  <c r="Y12" i="4"/>
  <c r="Y16" i="4"/>
  <c r="Y20" i="4"/>
  <c r="Y24" i="4"/>
  <c r="D8" i="4"/>
  <c r="D12" i="4"/>
  <c r="D16" i="4"/>
  <c r="D20" i="4"/>
  <c r="D24" i="4"/>
  <c r="Y9" i="4"/>
  <c r="Y13" i="4"/>
  <c r="Y17" i="4"/>
  <c r="Y21" i="4"/>
  <c r="Y25" i="4"/>
</calcChain>
</file>

<file path=xl/sharedStrings.xml><?xml version="1.0" encoding="utf-8"?>
<sst xmlns="http://schemas.openxmlformats.org/spreadsheetml/2006/main" count="1124" uniqueCount="212">
  <si>
    <t>År</t>
  </si>
  <si>
    <t>Kvartal</t>
  </si>
  <si>
    <t>Befolkningsförändring_Kvartal</t>
  </si>
  <si>
    <t>Födda_barn_Kvartal</t>
  </si>
  <si>
    <t>Döda_Kvartal</t>
  </si>
  <si>
    <t>Inflyttning_Kvartal</t>
  </si>
  <si>
    <t>Befolkningsförändring_R12</t>
  </si>
  <si>
    <t>Födda_barn_R12</t>
  </si>
  <si>
    <t>Döda_R12</t>
  </si>
  <si>
    <t>Inflyttning_R12</t>
  </si>
  <si>
    <t>Utflyttning_Kvartal</t>
  </si>
  <si>
    <t>Utflyttning_R12</t>
  </si>
  <si>
    <t>Befolkning_Kvartal</t>
  </si>
  <si>
    <t>Befolkning_R12</t>
  </si>
  <si>
    <t>Sysselsatta_Kvartal</t>
  </si>
  <si>
    <t>Sysselsatta_R12</t>
  </si>
  <si>
    <t>Tillverkning_Kvartal</t>
  </si>
  <si>
    <t>Tillverkning_R12</t>
  </si>
  <si>
    <t>IKT_Kvartal</t>
  </si>
  <si>
    <t>IKT_R12</t>
  </si>
  <si>
    <t>Utbildning_Kvartal</t>
  </si>
  <si>
    <t>Utbildning_R12</t>
  </si>
  <si>
    <t>Vård_Omsorg_Kvartal</t>
  </si>
  <si>
    <t>Vård_Omsorg_R12</t>
  </si>
  <si>
    <t>Offentlig_förvaltning_Kvartal</t>
  </si>
  <si>
    <t>Offentlig_förvaltning_R12</t>
  </si>
  <si>
    <t>Handel_Kvartal</t>
  </si>
  <si>
    <t>Handel_R12</t>
  </si>
  <si>
    <t>Färdigställda_bostäder_Kvartal</t>
  </si>
  <si>
    <t>Färdigställda_bostäder_R12</t>
  </si>
  <si>
    <t>Påbörjade_bostäder_Kvartal</t>
  </si>
  <si>
    <t>Påbörjade_bostäder_R12</t>
  </si>
  <si>
    <t>Inskrivna_arbetslösa_R12</t>
  </si>
  <si>
    <t>Inskrivna_arbetslösa_Kvartal</t>
  </si>
  <si>
    <t>Långtidsarbetslösa_Kvartal</t>
  </si>
  <si>
    <t>Långtidsarbetslösa_R12</t>
  </si>
  <si>
    <t>Inrikes_födda_arbetslösa_Kvartal</t>
  </si>
  <si>
    <t>Inrikes_födda_arbetslösa_R12</t>
  </si>
  <si>
    <t>Utrikes_födda_arbetslösa_Kvartal</t>
  </si>
  <si>
    <t>Utrikes_födda_arbetslösa_R12</t>
  </si>
  <si>
    <t>Ungdomar_arbetslösa_Kvartal</t>
  </si>
  <si>
    <t>Ungdomar_arbetslösa_R12</t>
  </si>
  <si>
    <t>..</t>
  </si>
  <si>
    <t>Mars</t>
  </si>
  <si>
    <t>Maj</t>
  </si>
  <si>
    <t>Augusti</t>
  </si>
  <si>
    <t>Oktober</t>
  </si>
  <si>
    <t>Använda månader för att beskriva resp. kvartal</t>
  </si>
  <si>
    <t>Inskrivna_arbetslösa_%_Kvartal</t>
  </si>
  <si>
    <t>Inskrivna_arbetslösa_%_R12</t>
  </si>
  <si>
    <t>Inrikes_födda_arbetslösa_%_Kvartal</t>
  </si>
  <si>
    <t>Inrikes_födda_arbetslösa_%_R12</t>
  </si>
  <si>
    <t>Ungdomar_arbetslösa_%_Kvartal</t>
  </si>
  <si>
    <t>Ungdomar_arbetslösa_%_R12</t>
  </si>
  <si>
    <t>Långtidsarbetslösa_%_Kvartal</t>
  </si>
  <si>
    <t>Långtidsarbetslösa_%_R12</t>
  </si>
  <si>
    <t>Färdigställda_småhus_Kvartal</t>
  </si>
  <si>
    <t>Färdigställda_småhus_R12</t>
  </si>
  <si>
    <t>Färdigställda_flerbostadshus_Kvartal</t>
  </si>
  <si>
    <t>Färdigställda_flerbostadshus_R12</t>
  </si>
  <si>
    <t>Påbörjade_småhus_Kvartal</t>
  </si>
  <si>
    <t>Påbörjade_småhus_R12</t>
  </si>
  <si>
    <t>Påbörjade_flerbostadshus_Kvartal</t>
  </si>
  <si>
    <t>Påbörjade_flerbostadshus_R12</t>
  </si>
  <si>
    <t>Befolkningsförändring_Prognos</t>
  </si>
  <si>
    <t>Födda_barn_Prognos</t>
  </si>
  <si>
    <t>Döda_Prognos</t>
  </si>
  <si>
    <t>Inflyttning_Prognos</t>
  </si>
  <si>
    <t>Utflyttning_Prognos</t>
  </si>
  <si>
    <t>Befolkning_Prognos</t>
  </si>
  <si>
    <t>Färdigställda_bostäder_Prognos</t>
  </si>
  <si>
    <t>Färdigställda_småhus_Prognos</t>
  </si>
  <si>
    <t>Färdigställda_flerbostadshus_Prognos</t>
  </si>
  <si>
    <t>Påbörjade_bostäder_Prognos</t>
  </si>
  <si>
    <t>Påbörjade_småhus_Prognos</t>
  </si>
  <si>
    <t>Påbörjade_flerbostadshus_Prognos</t>
  </si>
  <si>
    <t>Inskrivna_arbetslösa_Prognos</t>
  </si>
  <si>
    <t>Inrikes_födda_arbetslösa_Prognos</t>
  </si>
  <si>
    <t>Utrikes_födda_arbetslösa_Prognos</t>
  </si>
  <si>
    <t>Ungdomar_arbetslösa_Prognos</t>
  </si>
  <si>
    <t>Långtidsarbetslösa_Prognos</t>
  </si>
  <si>
    <t>Inskrivna_arbetslösa_%_Prognos</t>
  </si>
  <si>
    <t>Inrikes_födda_arbetslösa_%_Prognos</t>
  </si>
  <si>
    <t>Utrikes_födda_arbetslösa_%_Prognos</t>
  </si>
  <si>
    <t>Ungdomar_arbetslösa_%_Prognos</t>
  </si>
  <si>
    <t>Långtidsarbetslösa_%_Prognos</t>
  </si>
  <si>
    <t>Sysselsatta_Prognos</t>
  </si>
  <si>
    <t>Tillverkning_Prognos</t>
  </si>
  <si>
    <t>Handel_Prognos</t>
  </si>
  <si>
    <t>IKT_Prognos</t>
  </si>
  <si>
    <t>Utbildning_Prognos</t>
  </si>
  <si>
    <t>Vård_Omsorg_Prognos</t>
  </si>
  <si>
    <t>Offentlig_förvaltning_Prognos</t>
  </si>
  <si>
    <t>Befolkningsförändring_Polaritet</t>
  </si>
  <si>
    <t>Befolkningsförändring_Troskel</t>
  </si>
  <si>
    <t>Födda_barn_Polaritet</t>
  </si>
  <si>
    <t>Födda_barn_Troskel</t>
  </si>
  <si>
    <t>Döda_Polaritet</t>
  </si>
  <si>
    <t>Döda_Troskel</t>
  </si>
  <si>
    <t>Inflyttning_Polaritet</t>
  </si>
  <si>
    <t>Inflyttning_Troskel</t>
  </si>
  <si>
    <t>Utflyttning_Polaritet</t>
  </si>
  <si>
    <t>Utflyttning_Troskel</t>
  </si>
  <si>
    <t>Befolkning_Polaritet</t>
  </si>
  <si>
    <t>Befolkning_Troskel</t>
  </si>
  <si>
    <t>Sysselsatta_Polaritet</t>
  </si>
  <si>
    <t>Sysselsatta_Troskel</t>
  </si>
  <si>
    <t>Tillverkning_Polaritet</t>
  </si>
  <si>
    <t>Tillverkning_Troskel</t>
  </si>
  <si>
    <t>Handel_Polaritet</t>
  </si>
  <si>
    <t>Handel_Troskel</t>
  </si>
  <si>
    <t>IKT_Polaritet</t>
  </si>
  <si>
    <t>IKT_Troskel</t>
  </si>
  <si>
    <t>Utbildning_Polaritet</t>
  </si>
  <si>
    <t>Utbildning_Troskel</t>
  </si>
  <si>
    <t>Offentlig_förvaltning_Polaritet</t>
  </si>
  <si>
    <t>Offentlig_förvaltning_Troskel</t>
  </si>
  <si>
    <t>Färdigställda_bostäder_Polaritet</t>
  </si>
  <si>
    <t>Färdigställda_bostäder_Troskel</t>
  </si>
  <si>
    <t>Färdigställda_småhus_Polaritet</t>
  </si>
  <si>
    <t>Färdigställda_småhus_Troskel</t>
  </si>
  <si>
    <t>Färdigställda_flerbostadshus_Polaritet</t>
  </si>
  <si>
    <t>Färdigställda_flerbostadshus_Troskel</t>
  </si>
  <si>
    <t>Påbörjade_bostäder_Polaritet</t>
  </si>
  <si>
    <t>Påbörjade_bostäder_Troskel</t>
  </si>
  <si>
    <t>Påbörjade_småhus_Polaritet</t>
  </si>
  <si>
    <t>Påbörjade_småhus_Troskel</t>
  </si>
  <si>
    <t>Påbörjade_flerbostadshus_Polaritet</t>
  </si>
  <si>
    <t>Påbörjade_flerbostadshus_Troskel</t>
  </si>
  <si>
    <t>Inskrivna_arbetslösa_Polaritet</t>
  </si>
  <si>
    <t>Inskrivna_arbetslösa_Troskel</t>
  </si>
  <si>
    <t>Inrikes_födda_arbetslösa_Polaritet</t>
  </si>
  <si>
    <t>Inrikes_födda_arbetslösa_Troskel</t>
  </si>
  <si>
    <t>Utrikes_födda_arbetslösa_Polaritet</t>
  </si>
  <si>
    <t>Utrikes_födda_arbetslösa_Troskel</t>
  </si>
  <si>
    <t>Ungdomar_arbetslösa_Polaritet</t>
  </si>
  <si>
    <t>Ungdomar_arbetslösa_Troskel</t>
  </si>
  <si>
    <t>Långtidsarbetslösa_Polaritet</t>
  </si>
  <si>
    <t>Långtidsarbetslösa_Troskel</t>
  </si>
  <si>
    <t>Långtidsarbetslösa_%_Polaritet</t>
  </si>
  <si>
    <t>Långtidsarbetslösa_%_Troskel</t>
  </si>
  <si>
    <t>Inskrivna_arbetslösa_%_Polaritet</t>
  </si>
  <si>
    <t>Inskrivna_arbetslösa_%_Troskel</t>
  </si>
  <si>
    <t>Inrikes_födda_arbetslösa_%_Polaritet</t>
  </si>
  <si>
    <t>Inrikes_födda_arbetslösa_%_Troskel</t>
  </si>
  <si>
    <t>Utrikes_födda_arbetslösa_%_Polaritet</t>
  </si>
  <si>
    <t>Utrikes_födda_arbetslösa_%_Troskel</t>
  </si>
  <si>
    <t>Ungdomar_arbetslösa_%_Polaritet</t>
  </si>
  <si>
    <t>Ungdomar_arbetslösa_%_Troskel</t>
  </si>
  <si>
    <t>Låg</t>
  </si>
  <si>
    <t>Hög</t>
  </si>
  <si>
    <t>Vård_Omsorg_Polaritet</t>
  </si>
  <si>
    <t>Vård_Omsorg_Troskel</t>
  </si>
  <si>
    <t>Befolkningsförändring_Kvartal_Riket</t>
  </si>
  <si>
    <t>Befolkningsförändring_R12_Riket</t>
  </si>
  <si>
    <t>Befolkning_Kvartal_Riket</t>
  </si>
  <si>
    <t>Befolkning_R12_Riket</t>
  </si>
  <si>
    <t>Offentlig_förvaltning_Kvartal_Riket</t>
  </si>
  <si>
    <t>Offentlig_förvaltning_R12_Riket</t>
  </si>
  <si>
    <t>Inrikes_födda_arbetslösa_%_Kvartal_Riket</t>
  </si>
  <si>
    <t>Inrikes_födda_arbetslösa_%_R12_Riket</t>
  </si>
  <si>
    <t>Långtidsarbetslösa_%_Kvartal_Riket</t>
  </si>
  <si>
    <t>Långtidsarbetslösa_%_R12_Riket</t>
  </si>
  <si>
    <t>Utflyttning_Kvartal_Riket</t>
  </si>
  <si>
    <t>Utflyttning_R12_Riket</t>
  </si>
  <si>
    <t>Inflyttning_Kvartal_Riket</t>
  </si>
  <si>
    <t>Inflyttning_R12_Riket</t>
  </si>
  <si>
    <t>Döda_Kvartal_Riket</t>
  </si>
  <si>
    <t>Döda_R12_Riket</t>
  </si>
  <si>
    <t>Födda_barn_Kvartal_Riket</t>
  </si>
  <si>
    <t>Födda_barn_R12_Riket</t>
  </si>
  <si>
    <t>Sysselsatta_Kvartal_Riket</t>
  </si>
  <si>
    <t>Sysselsatta_R12_Riket</t>
  </si>
  <si>
    <t>Tillverkning_Kvartal_Riket</t>
  </si>
  <si>
    <t>Tillverkning_R12_Riket</t>
  </si>
  <si>
    <t>Handel_Kvartal_Riket</t>
  </si>
  <si>
    <t>Handel_R12_Riket</t>
  </si>
  <si>
    <t>IKT_Riket</t>
  </si>
  <si>
    <t>IKT_R12_Riket</t>
  </si>
  <si>
    <t>Utbildning_Kvartal_Riket</t>
  </si>
  <si>
    <t>Utbildning_R12_Riket</t>
  </si>
  <si>
    <t>Vård_Omsorg_Kvartal_Riket</t>
  </si>
  <si>
    <t>Vård_Omsorg_R12_Riket</t>
  </si>
  <si>
    <t>Färdigställda_bostäder_R12_Riket</t>
  </si>
  <si>
    <t>Färdigställda_småhus_R12_Riket</t>
  </si>
  <si>
    <t>Färdigställda_flerbostadshus_R12_Riket</t>
  </si>
  <si>
    <t>Påbörjade_bostäder_R12_Riket</t>
  </si>
  <si>
    <t>Påbörjade_småhus_Kvartal_Riket</t>
  </si>
  <si>
    <t>Påbörjade_småhus_R12_Riket</t>
  </si>
  <si>
    <t>Påbörjade_flerbostadshus_Kvartal_Riket</t>
  </si>
  <si>
    <t>Påbörjade_flerbostadshus_R12_Riket</t>
  </si>
  <si>
    <t>Inskrivna_arbetslösa_Kvartal_Riket</t>
  </si>
  <si>
    <t>Inskrivna_arbetslösa_R12_Riket</t>
  </si>
  <si>
    <t>Inrikes_födda_arbetslösa_Riket</t>
  </si>
  <si>
    <t>Inrikes_födda_arbetslösa_R12_Riket</t>
  </si>
  <si>
    <t>Utrikes_födda_arbetslösa_Kvartal_Riket</t>
  </si>
  <si>
    <t>Utrikes_födda_arbetslösa_R12_Riket</t>
  </si>
  <si>
    <t>Ungdomar_arbetslösa_Kvartal_Riket</t>
  </si>
  <si>
    <t>Ungdomar_arbetslösa_R12_Riket</t>
  </si>
  <si>
    <t>Långtidsarbetslösa_Kvartal_Riket</t>
  </si>
  <si>
    <t>Långtidsarbetslösa_R12_Riket</t>
  </si>
  <si>
    <t>Inskrivna_arbetslösa_%_Kvartal_Riket</t>
  </si>
  <si>
    <t>Inskrivna_arbetslösa_%_R12_Riket</t>
  </si>
  <si>
    <t>Ungdomar_arbetslösa_%_Kvartal_Riket</t>
  </si>
  <si>
    <t>Ungdomar_arbetslösa_%_R12_Riket</t>
  </si>
  <si>
    <t>Färdigställda_bostäder_Kvartal_Riket</t>
  </si>
  <si>
    <t>Färdigställda_småhus_Kvartal_Riket</t>
  </si>
  <si>
    <t>Färdigställda_flerbostadshus_Kvartal_Riket</t>
  </si>
  <si>
    <t>Påbörjade_bostäder_Kvartal_Riket</t>
  </si>
  <si>
    <t>3%</t>
  </si>
  <si>
    <t>Utrikes_födda_arbetslösa_%_Kvartal</t>
  </si>
  <si>
    <t>utrikes_födda_arbetslösa_%_R12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</si>
</sst>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7A0C-E5D8-4B2C-B731-4AFB2D241C55}">
  <dimension ref="A1:AY25"/>
  <sheetViews>
    <sheetView tabSelected="1" workbookViewId="0"/>
  </sheetViews>
  <sheetFormatPr defaultRowHeight="15" x14ac:dyDescent="0.25"/>
  <cols>
    <col min="3" max="3" width="28.42578125" bestFit="1" customWidth="1"/>
    <col min="4" max="4" width="25.28515625" bestFit="1" customWidth="1"/>
    <col min="5" max="9" width="25.28515625" customWidth="1"/>
    <col min="10" max="10" width="18.85546875" bestFit="1" customWidth="1"/>
    <col min="11" max="11" width="15.7109375" bestFit="1" customWidth="1"/>
    <col min="12" max="16" width="15.7109375" customWidth="1"/>
    <col min="17" max="17" width="12.7109375" bestFit="1" customWidth="1"/>
    <col min="18" max="18" width="9.7109375" bestFit="1" customWidth="1"/>
    <col min="19" max="23" width="9.7109375" customWidth="1"/>
    <col min="24" max="24" width="17.7109375" bestFit="1" customWidth="1"/>
    <col min="25" max="25" width="14.5703125" bestFit="1" customWidth="1"/>
    <col min="26" max="30" width="14.5703125" customWidth="1"/>
    <col min="31" max="31" width="18" bestFit="1" customWidth="1"/>
    <col min="32" max="32" width="14.85546875" bestFit="1" customWidth="1"/>
    <col min="33" max="37" width="14.85546875" customWidth="1"/>
    <col min="38" max="38" width="18" bestFit="1" customWidth="1"/>
    <col min="39" max="39" width="14.855468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6</v>
      </c>
      <c r="E1" t="s">
        <v>64</v>
      </c>
      <c r="F1" t="s">
        <v>93</v>
      </c>
      <c r="G1" t="s">
        <v>94</v>
      </c>
      <c r="H1" t="s">
        <v>153</v>
      </c>
      <c r="I1" t="s">
        <v>154</v>
      </c>
      <c r="J1" t="s">
        <v>3</v>
      </c>
      <c r="K1" t="s">
        <v>7</v>
      </c>
      <c r="L1" t="s">
        <v>65</v>
      </c>
      <c r="M1" t="s">
        <v>95</v>
      </c>
      <c r="N1" t="s">
        <v>96</v>
      </c>
      <c r="O1" t="s">
        <v>169</v>
      </c>
      <c r="P1" t="s">
        <v>170</v>
      </c>
      <c r="Q1" t="s">
        <v>4</v>
      </c>
      <c r="R1" t="s">
        <v>8</v>
      </c>
      <c r="S1" t="s">
        <v>66</v>
      </c>
      <c r="T1" t="s">
        <v>97</v>
      </c>
      <c r="U1" t="s">
        <v>98</v>
      </c>
      <c r="V1" t="s">
        <v>167</v>
      </c>
      <c r="W1" t="s">
        <v>168</v>
      </c>
      <c r="X1" t="s">
        <v>5</v>
      </c>
      <c r="Y1" t="s">
        <v>9</v>
      </c>
      <c r="Z1" t="s">
        <v>67</v>
      </c>
      <c r="AA1" t="s">
        <v>99</v>
      </c>
      <c r="AB1" t="s">
        <v>100</v>
      </c>
      <c r="AC1" t="s">
        <v>165</v>
      </c>
      <c r="AD1" t="s">
        <v>166</v>
      </c>
      <c r="AE1" t="s">
        <v>10</v>
      </c>
      <c r="AF1" t="s">
        <v>11</v>
      </c>
      <c r="AG1" t="s">
        <v>68</v>
      </c>
      <c r="AH1" t="s">
        <v>101</v>
      </c>
      <c r="AI1" t="s">
        <v>102</v>
      </c>
      <c r="AJ1" t="s">
        <v>163</v>
      </c>
      <c r="AK1" t="s">
        <v>164</v>
      </c>
      <c r="AL1" t="s">
        <v>12</v>
      </c>
      <c r="AM1" t="s">
        <v>13</v>
      </c>
      <c r="AN1" t="s">
        <v>69</v>
      </c>
      <c r="AO1" t="s">
        <v>103</v>
      </c>
      <c r="AP1" t="s">
        <v>104</v>
      </c>
      <c r="AQ1" t="s">
        <v>155</v>
      </c>
      <c r="AR1" t="s">
        <v>156</v>
      </c>
    </row>
    <row r="2" spans="1:51" x14ac:dyDescent="0.25">
      <c r="A2">
        <v>2020</v>
      </c>
      <c r="B2">
        <v>1</v>
      </c>
      <c r="C2">
        <v>274</v>
      </c>
      <c r="D2">
        <v>1826</v>
      </c>
      <c r="E2">
        <v>1840</v>
      </c>
      <c r="F2" t="s">
        <v>150</v>
      </c>
      <c r="G2">
        <v>100</v>
      </c>
      <c r="H2">
        <v>15814</v>
      </c>
      <c r="I2">
        <v>88301</v>
      </c>
      <c r="J2">
        <v>447</v>
      </c>
      <c r="K2">
        <v>1845</v>
      </c>
      <c r="L2">
        <v>1890</v>
      </c>
      <c r="M2" t="s">
        <v>150</v>
      </c>
      <c r="N2">
        <v>75</v>
      </c>
      <c r="O2">
        <v>28262</v>
      </c>
      <c r="P2">
        <v>114517</v>
      </c>
      <c r="Q2">
        <v>340</v>
      </c>
      <c r="R2">
        <v>1206</v>
      </c>
      <c r="S2">
        <v>1250</v>
      </c>
      <c r="T2" t="s">
        <v>149</v>
      </c>
      <c r="U2">
        <v>50</v>
      </c>
      <c r="V2">
        <v>24442</v>
      </c>
      <c r="W2">
        <v>89173</v>
      </c>
      <c r="X2">
        <v>2046</v>
      </c>
      <c r="Y2">
        <v>9561</v>
      </c>
      <c r="Z2">
        <v>9400</v>
      </c>
      <c r="AA2" t="s">
        <v>150</v>
      </c>
      <c r="AB2">
        <v>200</v>
      </c>
      <c r="AC2">
        <v>20828</v>
      </c>
      <c r="AD2">
        <v>99910</v>
      </c>
      <c r="AE2">
        <v>1887</v>
      </c>
      <c r="AF2">
        <v>8419</v>
      </c>
      <c r="AG2">
        <v>8200</v>
      </c>
      <c r="AH2" t="s">
        <v>149</v>
      </c>
      <c r="AI2">
        <v>200</v>
      </c>
      <c r="AJ2">
        <v>12001</v>
      </c>
      <c r="AK2">
        <v>47877</v>
      </c>
      <c r="AL2">
        <v>163325</v>
      </c>
      <c r="AM2">
        <f>+AL2</f>
        <v>163325</v>
      </c>
      <c r="AN2">
        <v>164890</v>
      </c>
      <c r="AO2" t="s">
        <v>150</v>
      </c>
      <c r="AP2" s="6" t="s">
        <v>209</v>
      </c>
      <c r="AQ2">
        <v>10343403</v>
      </c>
      <c r="AR2">
        <f>+AQ2</f>
        <v>10343403</v>
      </c>
    </row>
    <row r="3" spans="1:51" x14ac:dyDescent="0.25">
      <c r="A3">
        <v>2020</v>
      </c>
      <c r="B3">
        <v>2</v>
      </c>
      <c r="C3">
        <v>-244</v>
      </c>
      <c r="D3">
        <v>1710</v>
      </c>
      <c r="E3">
        <v>1840</v>
      </c>
      <c r="F3" t="s">
        <v>150</v>
      </c>
      <c r="G3">
        <v>100</v>
      </c>
      <c r="H3">
        <v>8987</v>
      </c>
      <c r="I3">
        <v>71201</v>
      </c>
      <c r="J3">
        <v>456</v>
      </c>
      <c r="K3">
        <v>1779</v>
      </c>
      <c r="L3">
        <v>1890</v>
      </c>
      <c r="M3" t="s">
        <v>150</v>
      </c>
      <c r="N3">
        <v>75</v>
      </c>
      <c r="O3">
        <v>29991</v>
      </c>
      <c r="P3">
        <v>114160</v>
      </c>
      <c r="Q3">
        <v>364</v>
      </c>
      <c r="R3">
        <v>1324</v>
      </c>
      <c r="S3">
        <v>1250</v>
      </c>
      <c r="T3" t="s">
        <v>149</v>
      </c>
      <c r="U3">
        <v>50</v>
      </c>
      <c r="V3">
        <v>26844</v>
      </c>
      <c r="W3">
        <v>94931</v>
      </c>
      <c r="X3">
        <v>1704</v>
      </c>
      <c r="Y3">
        <v>9575</v>
      </c>
      <c r="Z3">
        <v>9400</v>
      </c>
      <c r="AA3" t="s">
        <v>150</v>
      </c>
      <c r="AB3">
        <v>200</v>
      </c>
      <c r="AC3">
        <v>12607</v>
      </c>
      <c r="AD3">
        <v>88295</v>
      </c>
      <c r="AE3">
        <v>2041</v>
      </c>
      <c r="AF3">
        <v>8360</v>
      </c>
      <c r="AG3">
        <v>8200</v>
      </c>
      <c r="AH3" t="s">
        <v>149</v>
      </c>
      <c r="AI3">
        <v>200</v>
      </c>
      <c r="AJ3">
        <v>8971</v>
      </c>
      <c r="AK3">
        <v>46468</v>
      </c>
      <c r="AL3">
        <v>163081</v>
      </c>
      <c r="AM3">
        <f t="shared" ref="AM3:AM25" si="0">+AL3</f>
        <v>163081</v>
      </c>
      <c r="AN3">
        <v>164890</v>
      </c>
      <c r="AO3" t="s">
        <v>150</v>
      </c>
      <c r="AP3" s="6" t="s">
        <v>209</v>
      </c>
      <c r="AQ3">
        <v>10352390</v>
      </c>
      <c r="AR3">
        <f t="shared" ref="AR3:AR25" si="1">+AQ3</f>
        <v>10352390</v>
      </c>
    </row>
    <row r="4" spans="1:51" x14ac:dyDescent="0.25">
      <c r="A4">
        <v>2020</v>
      </c>
      <c r="B4">
        <v>3</v>
      </c>
      <c r="C4">
        <v>1392</v>
      </c>
      <c r="D4">
        <v>1716</v>
      </c>
      <c r="E4">
        <v>1840</v>
      </c>
      <c r="F4" t="s">
        <v>150</v>
      </c>
      <c r="G4">
        <v>100</v>
      </c>
      <c r="H4">
        <v>20835</v>
      </c>
      <c r="I4">
        <v>59778</v>
      </c>
      <c r="J4">
        <v>495</v>
      </c>
      <c r="K4">
        <v>1806</v>
      </c>
      <c r="L4">
        <v>1890</v>
      </c>
      <c r="M4" t="s">
        <v>150</v>
      </c>
      <c r="N4">
        <v>75</v>
      </c>
      <c r="O4">
        <v>29388</v>
      </c>
      <c r="P4">
        <v>113499</v>
      </c>
      <c r="Q4">
        <v>243</v>
      </c>
      <c r="R4">
        <v>1264</v>
      </c>
      <c r="S4">
        <v>1250</v>
      </c>
      <c r="T4" t="s">
        <v>149</v>
      </c>
      <c r="U4">
        <v>50</v>
      </c>
      <c r="V4">
        <v>20775</v>
      </c>
      <c r="W4">
        <v>94931</v>
      </c>
      <c r="X4">
        <v>3990</v>
      </c>
      <c r="Y4">
        <v>9553</v>
      </c>
      <c r="Z4">
        <v>9400</v>
      </c>
      <c r="AA4" t="s">
        <v>150</v>
      </c>
      <c r="AB4">
        <v>200</v>
      </c>
      <c r="AC4">
        <v>25059</v>
      </c>
      <c r="AD4">
        <v>79196</v>
      </c>
      <c r="AE4">
        <v>2862</v>
      </c>
      <c r="AF4">
        <v>8424</v>
      </c>
      <c r="AG4">
        <v>8200</v>
      </c>
      <c r="AH4" t="s">
        <v>149</v>
      </c>
      <c r="AI4">
        <v>200</v>
      </c>
      <c r="AJ4">
        <v>13516</v>
      </c>
      <c r="AK4">
        <v>46583</v>
      </c>
      <c r="AL4">
        <v>164473</v>
      </c>
      <c r="AM4">
        <f t="shared" si="0"/>
        <v>164473</v>
      </c>
      <c r="AN4">
        <v>164890</v>
      </c>
      <c r="AO4" t="s">
        <v>150</v>
      </c>
      <c r="AP4" s="6" t="s">
        <v>209</v>
      </c>
      <c r="AQ4">
        <v>10373225</v>
      </c>
      <c r="AR4">
        <f t="shared" si="1"/>
        <v>10373225</v>
      </c>
    </row>
    <row r="5" spans="1:51" x14ac:dyDescent="0.25">
      <c r="A5">
        <v>2020</v>
      </c>
      <c r="B5">
        <v>4</v>
      </c>
      <c r="C5">
        <v>143</v>
      </c>
      <c r="D5">
        <f>SUM(C2:C5)</f>
        <v>1565</v>
      </c>
      <c r="E5">
        <v>1840</v>
      </c>
      <c r="F5" t="s">
        <v>150</v>
      </c>
      <c r="G5">
        <v>100</v>
      </c>
      <c r="H5">
        <v>6070</v>
      </c>
      <c r="I5">
        <f>SUM(H2:H5)</f>
        <v>51706</v>
      </c>
      <c r="J5">
        <v>388</v>
      </c>
      <c r="K5">
        <f>SUM(J2:J5)</f>
        <v>1786</v>
      </c>
      <c r="L5">
        <v>1890</v>
      </c>
      <c r="M5" t="s">
        <v>150</v>
      </c>
      <c r="N5">
        <v>75</v>
      </c>
      <c r="O5">
        <v>25401</v>
      </c>
      <c r="P5">
        <f>SUM(O2:O5)</f>
        <v>113042</v>
      </c>
      <c r="Q5">
        <v>387</v>
      </c>
      <c r="R5">
        <f>SUM(Q2:Q5)</f>
        <v>1334</v>
      </c>
      <c r="S5">
        <v>1250</v>
      </c>
      <c r="T5" t="s">
        <v>149</v>
      </c>
      <c r="U5">
        <v>50</v>
      </c>
      <c r="V5">
        <v>25688</v>
      </c>
      <c r="W5">
        <f>SUM(V2:V5)</f>
        <v>97749</v>
      </c>
      <c r="X5">
        <v>1874</v>
      </c>
      <c r="Y5">
        <f>SUM(X2:X5)</f>
        <v>9614</v>
      </c>
      <c r="Z5">
        <v>9400</v>
      </c>
      <c r="AA5" t="s">
        <v>150</v>
      </c>
      <c r="AB5">
        <v>200</v>
      </c>
      <c r="AC5">
        <v>15085</v>
      </c>
      <c r="AD5">
        <f>SUM(AC2:AC5)</f>
        <v>73579</v>
      </c>
      <c r="AE5">
        <v>1846</v>
      </c>
      <c r="AF5">
        <f>SUM(AE2:AE5)</f>
        <v>8636</v>
      </c>
      <c r="AG5">
        <v>8200</v>
      </c>
      <c r="AH5" t="s">
        <v>149</v>
      </c>
      <c r="AI5">
        <v>200</v>
      </c>
      <c r="AJ5">
        <v>13388</v>
      </c>
      <c r="AK5">
        <f>SUM(AJ2:AJ5)</f>
        <v>47876</v>
      </c>
      <c r="AL5">
        <v>164616</v>
      </c>
      <c r="AM5">
        <f t="shared" si="0"/>
        <v>164616</v>
      </c>
      <c r="AN5">
        <v>164890</v>
      </c>
      <c r="AO5" t="s">
        <v>150</v>
      </c>
      <c r="AP5" s="6" t="s">
        <v>209</v>
      </c>
      <c r="AQ5">
        <v>10379295</v>
      </c>
      <c r="AR5">
        <f t="shared" si="1"/>
        <v>10379295</v>
      </c>
    </row>
    <row r="6" spans="1:51" x14ac:dyDescent="0.25">
      <c r="A6">
        <v>2021</v>
      </c>
      <c r="B6">
        <v>1</v>
      </c>
      <c r="C6">
        <v>68</v>
      </c>
      <c r="D6">
        <f t="shared" ref="D6:K25" si="2">SUM(C3:C6)</f>
        <v>1359</v>
      </c>
      <c r="E6">
        <v>1320</v>
      </c>
      <c r="F6" t="s">
        <v>150</v>
      </c>
      <c r="G6">
        <v>100</v>
      </c>
      <c r="H6">
        <v>10511</v>
      </c>
      <c r="I6">
        <f t="shared" si="2"/>
        <v>46403</v>
      </c>
      <c r="J6">
        <v>454</v>
      </c>
      <c r="K6">
        <f t="shared" si="2"/>
        <v>1793</v>
      </c>
      <c r="L6">
        <v>1830</v>
      </c>
      <c r="M6" t="s">
        <v>150</v>
      </c>
      <c r="N6">
        <v>75</v>
      </c>
      <c r="O6">
        <v>28097</v>
      </c>
      <c r="P6">
        <f t="shared" ref="P6:P25" si="3">SUM(O3:O6)</f>
        <v>112877</v>
      </c>
      <c r="Q6">
        <v>348</v>
      </c>
      <c r="R6">
        <f t="shared" ref="R6:Y6" si="4">SUM(Q3:Q6)</f>
        <v>1342</v>
      </c>
      <c r="S6">
        <v>1230</v>
      </c>
      <c r="T6" t="s">
        <v>149</v>
      </c>
      <c r="U6">
        <v>50</v>
      </c>
      <c r="V6">
        <v>25538</v>
      </c>
      <c r="W6">
        <f t="shared" si="4"/>
        <v>98845</v>
      </c>
      <c r="X6">
        <v>1808</v>
      </c>
      <c r="Y6">
        <f t="shared" si="4"/>
        <v>9376</v>
      </c>
      <c r="Z6">
        <v>8760</v>
      </c>
      <c r="AA6" t="s">
        <v>150</v>
      </c>
      <c r="AB6">
        <v>200</v>
      </c>
      <c r="AC6">
        <v>12982</v>
      </c>
      <c r="AD6">
        <f t="shared" ref="AD6:AD25" si="5">SUM(AC3:AC6)</f>
        <v>65733</v>
      </c>
      <c r="AE6">
        <v>1977</v>
      </c>
      <c r="AF6">
        <f t="shared" ref="AF6" si="6">SUM(AE3:AE6)</f>
        <v>8726</v>
      </c>
      <c r="AG6">
        <v>8050</v>
      </c>
      <c r="AH6" t="s">
        <v>149</v>
      </c>
      <c r="AI6">
        <v>200</v>
      </c>
      <c r="AJ6">
        <v>11907</v>
      </c>
      <c r="AK6">
        <f t="shared" ref="AK6:AK25" si="7">SUM(AJ3:AJ6)</f>
        <v>47782</v>
      </c>
      <c r="AL6">
        <v>164684</v>
      </c>
      <c r="AM6">
        <f t="shared" si="0"/>
        <v>164684</v>
      </c>
      <c r="AN6">
        <v>165930</v>
      </c>
      <c r="AO6" t="s">
        <v>150</v>
      </c>
      <c r="AP6" s="6" t="s">
        <v>209</v>
      </c>
      <c r="AQ6">
        <v>10389806</v>
      </c>
      <c r="AR6">
        <f t="shared" si="1"/>
        <v>10389806</v>
      </c>
    </row>
    <row r="7" spans="1:51" x14ac:dyDescent="0.25">
      <c r="A7">
        <v>2021</v>
      </c>
      <c r="B7">
        <v>2</v>
      </c>
      <c r="C7">
        <v>-441</v>
      </c>
      <c r="D7">
        <f t="shared" si="2"/>
        <v>1162</v>
      </c>
      <c r="E7">
        <v>1320</v>
      </c>
      <c r="F7" t="s">
        <v>150</v>
      </c>
      <c r="G7">
        <v>100</v>
      </c>
      <c r="H7">
        <v>19442</v>
      </c>
      <c r="I7">
        <f t="shared" si="2"/>
        <v>56858</v>
      </c>
      <c r="J7">
        <v>496</v>
      </c>
      <c r="K7">
        <f t="shared" si="2"/>
        <v>1833</v>
      </c>
      <c r="L7">
        <v>1830</v>
      </c>
      <c r="M7" t="s">
        <v>150</v>
      </c>
      <c r="N7">
        <v>75</v>
      </c>
      <c r="O7">
        <v>30344</v>
      </c>
      <c r="P7">
        <f t="shared" si="3"/>
        <v>113230</v>
      </c>
      <c r="Q7">
        <v>267</v>
      </c>
      <c r="R7">
        <f t="shared" ref="R7:Y7" si="8">SUM(Q4:Q7)</f>
        <v>1245</v>
      </c>
      <c r="S7">
        <v>1230</v>
      </c>
      <c r="T7" t="s">
        <v>149</v>
      </c>
      <c r="U7">
        <v>50</v>
      </c>
      <c r="V7">
        <v>21118</v>
      </c>
      <c r="W7">
        <f t="shared" si="8"/>
        <v>93119</v>
      </c>
      <c r="X7">
        <v>1580</v>
      </c>
      <c r="Y7">
        <f t="shared" si="8"/>
        <v>9252</v>
      </c>
      <c r="Z7">
        <v>8760</v>
      </c>
      <c r="AA7" t="s">
        <v>150</v>
      </c>
      <c r="AB7">
        <v>200</v>
      </c>
      <c r="AC7">
        <v>13921</v>
      </c>
      <c r="AD7">
        <f t="shared" si="5"/>
        <v>67047</v>
      </c>
      <c r="AE7">
        <v>2340</v>
      </c>
      <c r="AF7">
        <f t="shared" ref="AF7" si="9">SUM(AE4:AE7)</f>
        <v>9025</v>
      </c>
      <c r="AG7">
        <v>8050</v>
      </c>
      <c r="AH7" t="s">
        <v>149</v>
      </c>
      <c r="AI7">
        <v>200</v>
      </c>
      <c r="AJ7">
        <v>10984</v>
      </c>
      <c r="AK7">
        <f t="shared" si="7"/>
        <v>49795</v>
      </c>
      <c r="AL7">
        <v>164243</v>
      </c>
      <c r="AM7">
        <f t="shared" si="0"/>
        <v>164243</v>
      </c>
      <c r="AN7">
        <v>165930</v>
      </c>
      <c r="AO7" t="s">
        <v>150</v>
      </c>
      <c r="AP7" s="6" t="s">
        <v>209</v>
      </c>
      <c r="AQ7">
        <v>10409248</v>
      </c>
      <c r="AR7">
        <f t="shared" si="1"/>
        <v>10409248</v>
      </c>
    </row>
    <row r="8" spans="1:51" x14ac:dyDescent="0.25">
      <c r="A8">
        <v>2021</v>
      </c>
      <c r="B8">
        <v>3</v>
      </c>
      <c r="C8">
        <v>1165</v>
      </c>
      <c r="D8">
        <f t="shared" si="2"/>
        <v>935</v>
      </c>
      <c r="E8">
        <v>1320</v>
      </c>
      <c r="F8" t="s">
        <v>150</v>
      </c>
      <c r="G8">
        <v>100</v>
      </c>
      <c r="H8">
        <v>26199</v>
      </c>
      <c r="I8">
        <f t="shared" si="2"/>
        <v>62222</v>
      </c>
      <c r="J8">
        <v>465</v>
      </c>
      <c r="K8">
        <f t="shared" si="2"/>
        <v>1803</v>
      </c>
      <c r="L8">
        <v>1830</v>
      </c>
      <c r="M8" t="s">
        <v>150</v>
      </c>
      <c r="N8">
        <v>75</v>
      </c>
      <c r="O8">
        <v>29812</v>
      </c>
      <c r="P8">
        <f t="shared" si="3"/>
        <v>113654</v>
      </c>
      <c r="Q8">
        <v>312</v>
      </c>
      <c r="R8">
        <f t="shared" ref="R8:Y8" si="10">SUM(Q5:Q8)</f>
        <v>1314</v>
      </c>
      <c r="S8">
        <v>1230</v>
      </c>
      <c r="T8" t="s">
        <v>149</v>
      </c>
      <c r="U8">
        <v>50</v>
      </c>
      <c r="V8">
        <v>21147</v>
      </c>
      <c r="W8">
        <f t="shared" si="10"/>
        <v>93491</v>
      </c>
      <c r="X8">
        <v>4117</v>
      </c>
      <c r="Y8">
        <f t="shared" si="10"/>
        <v>9379</v>
      </c>
      <c r="Z8">
        <v>8760</v>
      </c>
      <c r="AA8" t="s">
        <v>150</v>
      </c>
      <c r="AB8">
        <v>200</v>
      </c>
      <c r="AC8">
        <v>24433</v>
      </c>
      <c r="AD8">
        <f t="shared" si="5"/>
        <v>66421</v>
      </c>
      <c r="AE8">
        <v>3213</v>
      </c>
      <c r="AF8">
        <f t="shared" ref="AF8" si="11">SUM(AE5:AE8)</f>
        <v>9376</v>
      </c>
      <c r="AG8">
        <v>8050</v>
      </c>
      <c r="AH8" t="s">
        <v>149</v>
      </c>
      <c r="AI8">
        <v>200</v>
      </c>
      <c r="AJ8">
        <v>13140</v>
      </c>
      <c r="AK8">
        <f t="shared" si="7"/>
        <v>49419</v>
      </c>
      <c r="AL8">
        <v>165408</v>
      </c>
      <c r="AM8">
        <f t="shared" si="0"/>
        <v>165408</v>
      </c>
      <c r="AN8">
        <v>165930</v>
      </c>
      <c r="AO8" t="s">
        <v>150</v>
      </c>
      <c r="AP8" s="6" t="s">
        <v>209</v>
      </c>
      <c r="AQ8">
        <v>10435447</v>
      </c>
      <c r="AR8">
        <f t="shared" si="1"/>
        <v>10435447</v>
      </c>
    </row>
    <row r="9" spans="1:51" x14ac:dyDescent="0.25">
      <c r="A9">
        <v>2021</v>
      </c>
      <c r="B9">
        <v>4</v>
      </c>
      <c r="C9">
        <v>119</v>
      </c>
      <c r="D9">
        <f t="shared" si="2"/>
        <v>911</v>
      </c>
      <c r="E9">
        <v>1320</v>
      </c>
      <c r="F9" t="s">
        <v>150</v>
      </c>
      <c r="G9">
        <v>100</v>
      </c>
      <c r="H9">
        <v>16879</v>
      </c>
      <c r="I9">
        <f t="shared" si="2"/>
        <v>73031</v>
      </c>
      <c r="J9">
        <v>426</v>
      </c>
      <c r="K9">
        <f t="shared" si="2"/>
        <v>1841</v>
      </c>
      <c r="L9">
        <v>1830</v>
      </c>
      <c r="M9" t="s">
        <v>150</v>
      </c>
      <c r="N9">
        <v>75</v>
      </c>
      <c r="O9">
        <v>25949</v>
      </c>
      <c r="P9">
        <f t="shared" si="3"/>
        <v>114202</v>
      </c>
      <c r="Q9">
        <v>346</v>
      </c>
      <c r="R9">
        <f t="shared" ref="R9:Y9" si="12">SUM(Q6:Q9)</f>
        <v>1273</v>
      </c>
      <c r="S9">
        <v>1230</v>
      </c>
      <c r="T9" t="s">
        <v>149</v>
      </c>
      <c r="U9">
        <v>50</v>
      </c>
      <c r="V9">
        <v>23715</v>
      </c>
      <c r="W9">
        <f t="shared" si="12"/>
        <v>91518</v>
      </c>
      <c r="X9">
        <v>1885</v>
      </c>
      <c r="Y9">
        <f t="shared" si="12"/>
        <v>9390</v>
      </c>
      <c r="Z9">
        <v>8760</v>
      </c>
      <c r="AA9" t="s">
        <v>150</v>
      </c>
      <c r="AB9">
        <v>200</v>
      </c>
      <c r="AC9">
        <v>17036</v>
      </c>
      <c r="AD9">
        <f t="shared" si="5"/>
        <v>68372</v>
      </c>
      <c r="AE9">
        <v>2067</v>
      </c>
      <c r="AF9">
        <f t="shared" ref="AF9" si="13">SUM(AE6:AE9)</f>
        <v>9597</v>
      </c>
      <c r="AG9">
        <v>8050</v>
      </c>
      <c r="AH9" t="s">
        <v>149</v>
      </c>
      <c r="AI9">
        <v>200</v>
      </c>
      <c r="AJ9">
        <v>11411</v>
      </c>
      <c r="AK9">
        <f t="shared" si="7"/>
        <v>47442</v>
      </c>
      <c r="AL9">
        <v>165527</v>
      </c>
      <c r="AM9">
        <f t="shared" si="0"/>
        <v>165527</v>
      </c>
      <c r="AN9">
        <v>165930</v>
      </c>
      <c r="AO9" t="s">
        <v>150</v>
      </c>
      <c r="AP9" s="6" t="s">
        <v>209</v>
      </c>
      <c r="AQ9">
        <v>10452326</v>
      </c>
      <c r="AR9">
        <f t="shared" si="1"/>
        <v>10452326</v>
      </c>
    </row>
    <row r="10" spans="1:51" x14ac:dyDescent="0.25">
      <c r="A10">
        <v>2022</v>
      </c>
      <c r="B10">
        <v>1</v>
      </c>
      <c r="C10">
        <v>30</v>
      </c>
      <c r="D10">
        <f t="shared" si="2"/>
        <v>873</v>
      </c>
      <c r="E10">
        <v>880</v>
      </c>
      <c r="F10" t="s">
        <v>150</v>
      </c>
      <c r="G10">
        <v>100</v>
      </c>
      <c r="H10">
        <v>16156</v>
      </c>
      <c r="I10">
        <f t="shared" si="2"/>
        <v>78676</v>
      </c>
      <c r="J10">
        <v>403</v>
      </c>
      <c r="K10">
        <f t="shared" si="2"/>
        <v>1790</v>
      </c>
      <c r="L10">
        <v>1840</v>
      </c>
      <c r="M10" t="s">
        <v>150</v>
      </c>
      <c r="N10">
        <v>75</v>
      </c>
      <c r="O10">
        <v>26644</v>
      </c>
      <c r="P10">
        <f t="shared" si="3"/>
        <v>112749</v>
      </c>
      <c r="Q10">
        <v>360</v>
      </c>
      <c r="R10">
        <f t="shared" ref="R10:Y10" si="14">SUM(Q7:Q10)</f>
        <v>1285</v>
      </c>
      <c r="S10">
        <v>1330</v>
      </c>
      <c r="T10" t="s">
        <v>149</v>
      </c>
      <c r="U10">
        <v>50</v>
      </c>
      <c r="V10">
        <v>25453</v>
      </c>
      <c r="W10">
        <f t="shared" si="14"/>
        <v>91433</v>
      </c>
      <c r="X10">
        <v>1935</v>
      </c>
      <c r="Y10">
        <f t="shared" si="14"/>
        <v>9517</v>
      </c>
      <c r="Z10">
        <v>9950</v>
      </c>
      <c r="AA10" t="s">
        <v>150</v>
      </c>
      <c r="AB10">
        <v>200</v>
      </c>
      <c r="AC10">
        <v>18374</v>
      </c>
      <c r="AD10">
        <f t="shared" si="5"/>
        <v>73764</v>
      </c>
      <c r="AE10">
        <v>2030</v>
      </c>
      <c r="AF10">
        <f t="shared" ref="AF10" si="15">SUM(AE7:AE10)</f>
        <v>9650</v>
      </c>
      <c r="AG10">
        <v>9580</v>
      </c>
      <c r="AH10" t="s">
        <v>149</v>
      </c>
      <c r="AI10">
        <v>200</v>
      </c>
      <c r="AJ10">
        <v>10522</v>
      </c>
      <c r="AK10">
        <f t="shared" si="7"/>
        <v>46057</v>
      </c>
      <c r="AL10">
        <v>165557</v>
      </c>
      <c r="AM10">
        <f t="shared" si="0"/>
        <v>165557</v>
      </c>
      <c r="AN10">
        <v>166410</v>
      </c>
      <c r="AO10" t="s">
        <v>150</v>
      </c>
      <c r="AP10" s="6" t="s">
        <v>209</v>
      </c>
      <c r="AQ10">
        <v>10468482</v>
      </c>
      <c r="AR10">
        <f t="shared" si="1"/>
        <v>10468482</v>
      </c>
    </row>
    <row r="11" spans="1:51" x14ac:dyDescent="0.25">
      <c r="A11">
        <v>2022</v>
      </c>
      <c r="B11">
        <v>2</v>
      </c>
      <c r="C11">
        <v>-524</v>
      </c>
      <c r="D11">
        <f t="shared" si="2"/>
        <v>790</v>
      </c>
      <c r="E11">
        <v>880</v>
      </c>
      <c r="F11" t="s">
        <v>150</v>
      </c>
      <c r="G11">
        <v>100</v>
      </c>
      <c r="H11">
        <v>19377</v>
      </c>
      <c r="I11">
        <f t="shared" si="2"/>
        <v>78611</v>
      </c>
      <c r="J11">
        <v>422</v>
      </c>
      <c r="K11">
        <f t="shared" si="2"/>
        <v>1716</v>
      </c>
      <c r="L11">
        <v>1840</v>
      </c>
      <c r="M11" t="s">
        <v>150</v>
      </c>
      <c r="N11">
        <v>75</v>
      </c>
      <c r="O11">
        <v>27902</v>
      </c>
      <c r="P11">
        <f t="shared" si="3"/>
        <v>110307</v>
      </c>
      <c r="Q11">
        <v>267</v>
      </c>
      <c r="R11">
        <f t="shared" ref="R11:Y11" si="16">SUM(Q8:Q11)</f>
        <v>1285</v>
      </c>
      <c r="S11">
        <v>1330</v>
      </c>
      <c r="T11" t="s">
        <v>149</v>
      </c>
      <c r="U11">
        <v>50</v>
      </c>
      <c r="V11">
        <v>21602</v>
      </c>
      <c r="W11">
        <f t="shared" si="16"/>
        <v>91917</v>
      </c>
      <c r="X11">
        <v>1771</v>
      </c>
      <c r="Y11">
        <f t="shared" si="16"/>
        <v>9708</v>
      </c>
      <c r="Z11">
        <v>9950</v>
      </c>
      <c r="AA11" t="s">
        <v>150</v>
      </c>
      <c r="AB11">
        <v>200</v>
      </c>
      <c r="AC11">
        <v>19362</v>
      </c>
      <c r="AD11">
        <f t="shared" si="5"/>
        <v>79205</v>
      </c>
      <c r="AE11">
        <v>2449</v>
      </c>
      <c r="AF11">
        <f t="shared" ref="AF11" si="17">SUM(AE8:AE11)</f>
        <v>9759</v>
      </c>
      <c r="AG11">
        <v>9580</v>
      </c>
      <c r="AH11" t="s">
        <v>149</v>
      </c>
      <c r="AI11">
        <v>200</v>
      </c>
      <c r="AJ11">
        <v>10483</v>
      </c>
      <c r="AK11">
        <f t="shared" si="7"/>
        <v>45556</v>
      </c>
      <c r="AL11">
        <v>165033</v>
      </c>
      <c r="AM11">
        <f t="shared" si="0"/>
        <v>165033</v>
      </c>
      <c r="AN11">
        <v>166410</v>
      </c>
      <c r="AO11" t="s">
        <v>150</v>
      </c>
      <c r="AP11" s="6" t="s">
        <v>209</v>
      </c>
      <c r="AQ11">
        <v>10487859</v>
      </c>
      <c r="AR11">
        <f t="shared" si="1"/>
        <v>10487859</v>
      </c>
    </row>
    <row r="12" spans="1:51" x14ac:dyDescent="0.25">
      <c r="A12">
        <v>2022</v>
      </c>
      <c r="B12">
        <v>3</v>
      </c>
      <c r="C12">
        <v>1179</v>
      </c>
      <c r="D12">
        <f t="shared" si="2"/>
        <v>804</v>
      </c>
      <c r="E12">
        <v>880</v>
      </c>
      <c r="F12" t="s">
        <v>150</v>
      </c>
      <c r="G12">
        <v>100</v>
      </c>
      <c r="H12">
        <v>20810</v>
      </c>
      <c r="I12">
        <f t="shared" si="2"/>
        <v>73222</v>
      </c>
      <c r="J12">
        <v>419</v>
      </c>
      <c r="K12">
        <f t="shared" si="2"/>
        <v>1670</v>
      </c>
      <c r="L12">
        <v>1840</v>
      </c>
      <c r="M12" t="s">
        <v>150</v>
      </c>
      <c r="N12">
        <v>75</v>
      </c>
      <c r="O12">
        <v>26968</v>
      </c>
      <c r="P12">
        <f t="shared" si="3"/>
        <v>107463</v>
      </c>
      <c r="Q12">
        <v>269</v>
      </c>
      <c r="R12">
        <f t="shared" ref="R12:Y12" si="18">SUM(Q9:Q12)</f>
        <v>1242</v>
      </c>
      <c r="S12">
        <v>1330</v>
      </c>
      <c r="T12" t="s">
        <v>149</v>
      </c>
      <c r="U12">
        <v>50</v>
      </c>
      <c r="V12">
        <v>22266</v>
      </c>
      <c r="W12">
        <f t="shared" si="18"/>
        <v>93036</v>
      </c>
      <c r="X12">
        <v>4200</v>
      </c>
      <c r="Y12">
        <f t="shared" si="18"/>
        <v>9791</v>
      </c>
      <c r="Z12">
        <v>9950</v>
      </c>
      <c r="AA12" t="s">
        <v>150</v>
      </c>
      <c r="AB12">
        <v>200</v>
      </c>
      <c r="AC12">
        <v>27233</v>
      </c>
      <c r="AD12">
        <f t="shared" si="5"/>
        <v>82005</v>
      </c>
      <c r="AE12">
        <v>3225</v>
      </c>
      <c r="AF12">
        <f t="shared" ref="AF12" si="19">SUM(AE9:AE12)</f>
        <v>9771</v>
      </c>
      <c r="AG12">
        <v>9580</v>
      </c>
      <c r="AH12" t="s">
        <v>149</v>
      </c>
      <c r="AI12">
        <v>200</v>
      </c>
      <c r="AJ12">
        <v>15711</v>
      </c>
      <c r="AK12">
        <f t="shared" si="7"/>
        <v>48127</v>
      </c>
      <c r="AL12">
        <v>166212</v>
      </c>
      <c r="AM12">
        <f t="shared" si="0"/>
        <v>166212</v>
      </c>
      <c r="AN12">
        <v>166410</v>
      </c>
      <c r="AO12" t="s">
        <v>150</v>
      </c>
      <c r="AP12" s="6" t="s">
        <v>209</v>
      </c>
      <c r="AQ12">
        <v>10508669</v>
      </c>
      <c r="AR12">
        <f t="shared" si="1"/>
        <v>10508669</v>
      </c>
    </row>
    <row r="13" spans="1:51" x14ac:dyDescent="0.25">
      <c r="A13">
        <v>2022</v>
      </c>
      <c r="B13">
        <v>4</v>
      </c>
      <c r="C13">
        <v>461</v>
      </c>
      <c r="D13">
        <f t="shared" si="2"/>
        <v>1146</v>
      </c>
      <c r="E13">
        <v>880</v>
      </c>
      <c r="F13" t="s">
        <v>150</v>
      </c>
      <c r="G13">
        <v>100</v>
      </c>
      <c r="H13">
        <v>12887</v>
      </c>
      <c r="I13">
        <f t="shared" si="2"/>
        <v>69230</v>
      </c>
      <c r="J13">
        <v>365</v>
      </c>
      <c r="K13">
        <f t="shared" si="2"/>
        <v>1609</v>
      </c>
      <c r="L13">
        <v>1840</v>
      </c>
      <c r="M13" t="s">
        <v>150</v>
      </c>
      <c r="N13">
        <v>75</v>
      </c>
      <c r="O13">
        <v>23175</v>
      </c>
      <c r="P13">
        <f t="shared" si="3"/>
        <v>104689</v>
      </c>
      <c r="Q13">
        <v>349</v>
      </c>
      <c r="R13">
        <f t="shared" ref="R13:Y13" si="20">SUM(Q10:Q13)</f>
        <v>1245</v>
      </c>
      <c r="S13">
        <v>1330</v>
      </c>
      <c r="T13" t="s">
        <v>149</v>
      </c>
      <c r="U13">
        <v>50</v>
      </c>
      <c r="V13">
        <v>25006</v>
      </c>
      <c r="W13">
        <f t="shared" si="20"/>
        <v>94327</v>
      </c>
      <c r="X13">
        <v>2080</v>
      </c>
      <c r="Y13">
        <f t="shared" si="20"/>
        <v>9986</v>
      </c>
      <c r="Z13">
        <v>9950</v>
      </c>
      <c r="AA13" t="s">
        <v>150</v>
      </c>
      <c r="AB13">
        <v>200</v>
      </c>
      <c r="AC13">
        <v>20366</v>
      </c>
      <c r="AD13">
        <f t="shared" si="5"/>
        <v>85335</v>
      </c>
      <c r="AE13">
        <v>1751</v>
      </c>
      <c r="AF13">
        <f t="shared" ref="AF13" si="21">SUM(AE10:AE13)</f>
        <v>9455</v>
      </c>
      <c r="AG13">
        <v>9580</v>
      </c>
      <c r="AH13" t="s">
        <v>149</v>
      </c>
      <c r="AI13">
        <v>200</v>
      </c>
      <c r="AJ13">
        <v>12422</v>
      </c>
      <c r="AK13">
        <f t="shared" si="7"/>
        <v>49138</v>
      </c>
      <c r="AL13">
        <v>166673</v>
      </c>
      <c r="AM13">
        <f t="shared" si="0"/>
        <v>166673</v>
      </c>
      <c r="AN13">
        <v>166410</v>
      </c>
      <c r="AO13" t="s">
        <v>150</v>
      </c>
      <c r="AP13" s="6" t="s">
        <v>209</v>
      </c>
      <c r="AQ13">
        <v>10521556</v>
      </c>
      <c r="AR13">
        <f t="shared" si="1"/>
        <v>10521556</v>
      </c>
      <c r="AT13" s="1"/>
      <c r="AX13" s="1"/>
      <c r="AY13" s="1"/>
    </row>
    <row r="14" spans="1:51" x14ac:dyDescent="0.25">
      <c r="A14">
        <v>2023</v>
      </c>
      <c r="B14">
        <v>1</v>
      </c>
      <c r="C14">
        <v>250</v>
      </c>
      <c r="D14">
        <f t="shared" si="2"/>
        <v>1366</v>
      </c>
      <c r="E14">
        <v>1360</v>
      </c>
      <c r="F14" t="s">
        <v>150</v>
      </c>
      <c r="G14">
        <v>100</v>
      </c>
      <c r="H14">
        <v>11711</v>
      </c>
      <c r="I14">
        <f t="shared" si="2"/>
        <v>64785</v>
      </c>
      <c r="J14">
        <v>393</v>
      </c>
      <c r="K14">
        <f t="shared" si="2"/>
        <v>1599</v>
      </c>
      <c r="L14">
        <v>1640</v>
      </c>
      <c r="M14" t="s">
        <v>150</v>
      </c>
      <c r="N14">
        <v>75</v>
      </c>
      <c r="O14">
        <v>24924</v>
      </c>
      <c r="P14">
        <f t="shared" si="3"/>
        <v>102969</v>
      </c>
      <c r="Q14">
        <v>349</v>
      </c>
      <c r="R14">
        <f t="shared" ref="R14:Y14" si="22">SUM(Q11:Q14)</f>
        <v>1234</v>
      </c>
      <c r="S14">
        <v>1270</v>
      </c>
      <c r="T14" t="s">
        <v>149</v>
      </c>
      <c r="U14">
        <v>50</v>
      </c>
      <c r="V14">
        <v>24972</v>
      </c>
      <c r="W14">
        <f t="shared" si="22"/>
        <v>93846</v>
      </c>
      <c r="X14">
        <v>2039</v>
      </c>
      <c r="Y14">
        <f t="shared" si="22"/>
        <v>10090</v>
      </c>
      <c r="Z14">
        <v>10240</v>
      </c>
      <c r="AA14" t="s">
        <v>150</v>
      </c>
      <c r="AB14">
        <v>200</v>
      </c>
      <c r="AC14">
        <v>20440</v>
      </c>
      <c r="AD14">
        <f t="shared" si="5"/>
        <v>87401</v>
      </c>
      <c r="AE14">
        <v>1864</v>
      </c>
      <c r="AF14">
        <f t="shared" ref="AF14" si="23">SUM(AE11:AE14)</f>
        <v>9289</v>
      </c>
      <c r="AG14">
        <v>9240</v>
      </c>
      <c r="AH14" t="s">
        <v>149</v>
      </c>
      <c r="AI14">
        <v>200</v>
      </c>
      <c r="AJ14">
        <v>12582</v>
      </c>
      <c r="AK14">
        <f t="shared" si="7"/>
        <v>51198</v>
      </c>
      <c r="AL14">
        <v>166923</v>
      </c>
      <c r="AM14">
        <f t="shared" si="0"/>
        <v>166923</v>
      </c>
      <c r="AN14">
        <v>168040</v>
      </c>
      <c r="AO14" t="s">
        <v>150</v>
      </c>
      <c r="AP14" s="6" t="s">
        <v>209</v>
      </c>
      <c r="AQ14">
        <v>10533267</v>
      </c>
      <c r="AR14">
        <f t="shared" si="1"/>
        <v>10533267</v>
      </c>
      <c r="AT14" s="1"/>
      <c r="AX14" s="1"/>
      <c r="AY14" s="1"/>
    </row>
    <row r="15" spans="1:51" x14ac:dyDescent="0.25">
      <c r="A15">
        <v>2023</v>
      </c>
      <c r="B15">
        <v>2</v>
      </c>
      <c r="C15">
        <v>-364</v>
      </c>
      <c r="D15">
        <f t="shared" si="2"/>
        <v>1526</v>
      </c>
      <c r="E15">
        <v>1360</v>
      </c>
      <c r="F15" t="s">
        <v>150</v>
      </c>
      <c r="G15">
        <v>100</v>
      </c>
      <c r="H15">
        <v>12043</v>
      </c>
      <c r="I15">
        <f t="shared" si="2"/>
        <v>57451</v>
      </c>
      <c r="J15">
        <v>428</v>
      </c>
      <c r="K15">
        <f t="shared" si="2"/>
        <v>1605</v>
      </c>
      <c r="L15">
        <v>1640</v>
      </c>
      <c r="M15" t="s">
        <v>150</v>
      </c>
      <c r="N15">
        <v>75</v>
      </c>
      <c r="O15">
        <v>26652</v>
      </c>
      <c r="P15">
        <f t="shared" si="3"/>
        <v>101719</v>
      </c>
      <c r="Q15">
        <v>291</v>
      </c>
      <c r="R15">
        <f t="shared" ref="R15:Y15" si="24">SUM(Q12:Q15)</f>
        <v>1258</v>
      </c>
      <c r="S15">
        <v>1270</v>
      </c>
      <c r="T15" t="s">
        <v>149</v>
      </c>
      <c r="U15">
        <v>50</v>
      </c>
      <c r="V15">
        <v>21871</v>
      </c>
      <c r="W15">
        <f t="shared" si="24"/>
        <v>94115</v>
      </c>
      <c r="X15">
        <v>1816</v>
      </c>
      <c r="Y15">
        <f t="shared" si="24"/>
        <v>10135</v>
      </c>
      <c r="Z15">
        <v>10240</v>
      </c>
      <c r="AA15" t="s">
        <v>150</v>
      </c>
      <c r="AB15">
        <v>200</v>
      </c>
      <c r="AC15">
        <v>19210</v>
      </c>
      <c r="AD15">
        <f t="shared" si="5"/>
        <v>87249</v>
      </c>
      <c r="AE15">
        <v>2304</v>
      </c>
      <c r="AF15">
        <f t="shared" ref="AF15" si="25">SUM(AE12:AE15)</f>
        <v>9144</v>
      </c>
      <c r="AG15">
        <v>9240</v>
      </c>
      <c r="AH15" t="s">
        <v>149</v>
      </c>
      <c r="AI15">
        <v>200</v>
      </c>
      <c r="AJ15">
        <v>12271</v>
      </c>
      <c r="AK15">
        <f t="shared" si="7"/>
        <v>52986</v>
      </c>
      <c r="AL15">
        <v>166559</v>
      </c>
      <c r="AM15">
        <f t="shared" si="0"/>
        <v>166559</v>
      </c>
      <c r="AN15">
        <v>168040</v>
      </c>
      <c r="AO15" t="s">
        <v>150</v>
      </c>
      <c r="AP15" s="6" t="s">
        <v>209</v>
      </c>
      <c r="AQ15">
        <v>10545310</v>
      </c>
      <c r="AR15">
        <f t="shared" si="1"/>
        <v>10545310</v>
      </c>
      <c r="AT15" s="1"/>
      <c r="AU15" s="1"/>
      <c r="AX15" s="1"/>
      <c r="AY15" s="1"/>
    </row>
    <row r="16" spans="1:51" x14ac:dyDescent="0.25">
      <c r="A16">
        <v>2023</v>
      </c>
      <c r="B16">
        <v>3</v>
      </c>
      <c r="C16">
        <v>898</v>
      </c>
      <c r="D16">
        <f t="shared" si="2"/>
        <v>1245</v>
      </c>
      <c r="E16">
        <v>1360</v>
      </c>
      <c r="F16" t="s">
        <v>150</v>
      </c>
      <c r="G16">
        <v>100</v>
      </c>
      <c r="H16">
        <v>12512</v>
      </c>
      <c r="I16">
        <f t="shared" si="2"/>
        <v>49153</v>
      </c>
      <c r="J16">
        <v>383</v>
      </c>
      <c r="K16">
        <f t="shared" si="2"/>
        <v>1569</v>
      </c>
      <c r="L16">
        <v>1640</v>
      </c>
      <c r="M16" t="s">
        <v>150</v>
      </c>
      <c r="N16">
        <v>75</v>
      </c>
      <c r="O16">
        <v>25670</v>
      </c>
      <c r="P16">
        <f t="shared" si="3"/>
        <v>100421</v>
      </c>
      <c r="Q16">
        <v>294</v>
      </c>
      <c r="R16">
        <f t="shared" ref="R16:Y16" si="26">SUM(Q13:Q16)</f>
        <v>1283</v>
      </c>
      <c r="S16">
        <v>1270</v>
      </c>
      <c r="T16" t="s">
        <v>149</v>
      </c>
      <c r="U16">
        <v>50</v>
      </c>
      <c r="V16">
        <v>20938</v>
      </c>
      <c r="W16">
        <f t="shared" si="26"/>
        <v>92787</v>
      </c>
      <c r="X16">
        <v>4070</v>
      </c>
      <c r="Y16">
        <f t="shared" si="26"/>
        <v>10005</v>
      </c>
      <c r="Z16">
        <v>10240</v>
      </c>
      <c r="AA16" t="s">
        <v>150</v>
      </c>
      <c r="AB16">
        <v>200</v>
      </c>
      <c r="AC16">
        <v>31267</v>
      </c>
      <c r="AD16">
        <f t="shared" si="5"/>
        <v>91283</v>
      </c>
      <c r="AE16">
        <v>3258</v>
      </c>
      <c r="AF16">
        <f t="shared" ref="AF16" si="27">SUM(AE13:AE16)</f>
        <v>9177</v>
      </c>
      <c r="AG16">
        <v>9240</v>
      </c>
      <c r="AH16" t="s">
        <v>149</v>
      </c>
      <c r="AI16">
        <v>200</v>
      </c>
      <c r="AJ16">
        <v>23356</v>
      </c>
      <c r="AK16">
        <f t="shared" si="7"/>
        <v>60631</v>
      </c>
      <c r="AL16">
        <v>167457</v>
      </c>
      <c r="AM16">
        <f t="shared" si="0"/>
        <v>167457</v>
      </c>
      <c r="AN16">
        <v>168040</v>
      </c>
      <c r="AO16" t="s">
        <v>150</v>
      </c>
      <c r="AP16" s="6" t="s">
        <v>209</v>
      </c>
      <c r="AQ16">
        <v>10557822</v>
      </c>
      <c r="AR16">
        <f t="shared" si="1"/>
        <v>10557822</v>
      </c>
      <c r="AT16" s="1"/>
      <c r="AX16" s="1"/>
      <c r="AY16" s="1"/>
    </row>
    <row r="17" spans="1:51" x14ac:dyDescent="0.25">
      <c r="A17">
        <v>2023</v>
      </c>
      <c r="B17">
        <v>4</v>
      </c>
      <c r="C17">
        <v>-53</v>
      </c>
      <c r="D17">
        <f t="shared" si="2"/>
        <v>731</v>
      </c>
      <c r="E17">
        <v>1360</v>
      </c>
      <c r="F17" t="s">
        <v>150</v>
      </c>
      <c r="G17">
        <v>100</v>
      </c>
      <c r="H17">
        <v>-6115</v>
      </c>
      <c r="I17">
        <f t="shared" si="2"/>
        <v>30151</v>
      </c>
      <c r="J17">
        <v>352</v>
      </c>
      <c r="K17">
        <f t="shared" si="2"/>
        <v>1556</v>
      </c>
      <c r="L17">
        <v>1640</v>
      </c>
      <c r="M17" t="s">
        <v>150</v>
      </c>
      <c r="N17">
        <v>75</v>
      </c>
      <c r="O17">
        <v>22780</v>
      </c>
      <c r="P17">
        <f t="shared" si="3"/>
        <v>100026</v>
      </c>
      <c r="Q17">
        <v>326</v>
      </c>
      <c r="R17">
        <f t="shared" ref="R17:Y17" si="28">SUM(Q14:Q17)</f>
        <v>1260</v>
      </c>
      <c r="S17">
        <v>1270</v>
      </c>
      <c r="T17" t="s">
        <v>149</v>
      </c>
      <c r="U17">
        <v>50</v>
      </c>
      <c r="V17">
        <v>26225</v>
      </c>
      <c r="W17">
        <f t="shared" si="28"/>
        <v>94006</v>
      </c>
      <c r="X17">
        <v>1817</v>
      </c>
      <c r="Y17">
        <f t="shared" si="28"/>
        <v>9742</v>
      </c>
      <c r="Z17">
        <v>10240</v>
      </c>
      <c r="AA17" t="s">
        <v>150</v>
      </c>
      <c r="AB17">
        <v>200</v>
      </c>
      <c r="AC17">
        <v>19190</v>
      </c>
      <c r="AD17">
        <f t="shared" si="5"/>
        <v>90107</v>
      </c>
      <c r="AE17">
        <v>1878</v>
      </c>
      <c r="AF17">
        <f t="shared" ref="AF17" si="29">SUM(AE14:AE17)</f>
        <v>9304</v>
      </c>
      <c r="AG17">
        <v>9240</v>
      </c>
      <c r="AH17" t="s">
        <v>149</v>
      </c>
      <c r="AI17">
        <v>200</v>
      </c>
      <c r="AJ17">
        <v>20615</v>
      </c>
      <c r="AK17">
        <f t="shared" si="7"/>
        <v>68824</v>
      </c>
      <c r="AL17">
        <v>167404</v>
      </c>
      <c r="AM17">
        <f t="shared" si="0"/>
        <v>167404</v>
      </c>
      <c r="AN17">
        <v>168040</v>
      </c>
      <c r="AO17" t="s">
        <v>150</v>
      </c>
      <c r="AP17" s="6" t="s">
        <v>209</v>
      </c>
      <c r="AQ17">
        <v>10551707</v>
      </c>
      <c r="AR17">
        <f t="shared" si="1"/>
        <v>10551707</v>
      </c>
      <c r="AT17" s="1"/>
      <c r="AX17" s="1"/>
      <c r="AY17" s="1"/>
    </row>
    <row r="18" spans="1:51" x14ac:dyDescent="0.25">
      <c r="A18">
        <v>2024</v>
      </c>
      <c r="B18">
        <v>1</v>
      </c>
      <c r="C18">
        <v>68</v>
      </c>
      <c r="D18">
        <f t="shared" si="2"/>
        <v>549</v>
      </c>
      <c r="E18">
        <v>950</v>
      </c>
      <c r="F18" t="s">
        <v>150</v>
      </c>
      <c r="G18">
        <v>100</v>
      </c>
      <c r="H18">
        <v>-2885</v>
      </c>
      <c r="I18">
        <f t="shared" si="2"/>
        <v>15555</v>
      </c>
      <c r="J18">
        <v>446</v>
      </c>
      <c r="K18">
        <f t="shared" si="2"/>
        <v>1609</v>
      </c>
      <c r="L18">
        <v>1600</v>
      </c>
      <c r="M18" t="s">
        <v>150</v>
      </c>
      <c r="N18">
        <v>75</v>
      </c>
      <c r="O18">
        <v>24622</v>
      </c>
      <c r="P18">
        <f t="shared" si="3"/>
        <v>99724</v>
      </c>
      <c r="Q18">
        <v>318</v>
      </c>
      <c r="R18">
        <f t="shared" ref="R18:Y18" si="30">SUM(Q15:Q18)</f>
        <v>1229</v>
      </c>
      <c r="S18">
        <v>1250</v>
      </c>
      <c r="T18" t="s">
        <v>149</v>
      </c>
      <c r="U18">
        <v>50</v>
      </c>
      <c r="V18">
        <v>24234</v>
      </c>
      <c r="W18">
        <f t="shared" si="30"/>
        <v>93268</v>
      </c>
      <c r="X18">
        <v>1921</v>
      </c>
      <c r="Y18">
        <f t="shared" si="30"/>
        <v>9624</v>
      </c>
      <c r="Z18">
        <v>9930</v>
      </c>
      <c r="AA18" t="s">
        <v>150</v>
      </c>
      <c r="AB18">
        <v>200</v>
      </c>
      <c r="AC18">
        <v>18291</v>
      </c>
      <c r="AD18">
        <f t="shared" si="5"/>
        <v>87958</v>
      </c>
      <c r="AE18">
        <v>1967</v>
      </c>
      <c r="AF18">
        <f t="shared" ref="AF18" si="31">SUM(AE15:AE18)</f>
        <v>9407</v>
      </c>
      <c r="AG18">
        <v>9330</v>
      </c>
      <c r="AH18" t="s">
        <v>149</v>
      </c>
      <c r="AI18">
        <v>200</v>
      </c>
      <c r="AJ18">
        <v>21076</v>
      </c>
      <c r="AK18">
        <f t="shared" si="7"/>
        <v>77318</v>
      </c>
      <c r="AL18">
        <v>167472</v>
      </c>
      <c r="AM18">
        <f t="shared" si="0"/>
        <v>167472</v>
      </c>
      <c r="AN18">
        <v>168350</v>
      </c>
      <c r="AO18" t="s">
        <v>150</v>
      </c>
      <c r="AP18" s="6" t="s">
        <v>209</v>
      </c>
      <c r="AQ18">
        <v>10548822</v>
      </c>
      <c r="AR18">
        <f t="shared" si="1"/>
        <v>10548822</v>
      </c>
      <c r="AT18" s="1"/>
      <c r="AX18" s="1"/>
      <c r="AY18" s="1"/>
    </row>
    <row r="19" spans="1:51" x14ac:dyDescent="0.25">
      <c r="A19">
        <v>2024</v>
      </c>
      <c r="B19">
        <v>2</v>
      </c>
      <c r="C19">
        <v>-705</v>
      </c>
      <c r="D19">
        <f t="shared" si="2"/>
        <v>208</v>
      </c>
      <c r="E19">
        <v>950</v>
      </c>
      <c r="F19" t="s">
        <v>150</v>
      </c>
      <c r="G19">
        <v>100</v>
      </c>
      <c r="H19">
        <v>4519</v>
      </c>
      <c r="I19">
        <f t="shared" si="2"/>
        <v>8031</v>
      </c>
      <c r="J19">
        <v>411</v>
      </c>
      <c r="K19">
        <f t="shared" si="2"/>
        <v>1592</v>
      </c>
      <c r="L19">
        <v>1600</v>
      </c>
      <c r="M19" t="s">
        <v>150</v>
      </c>
      <c r="N19">
        <v>75</v>
      </c>
      <c r="O19">
        <v>25917</v>
      </c>
      <c r="P19">
        <f t="shared" si="3"/>
        <v>98989</v>
      </c>
      <c r="Q19">
        <v>274</v>
      </c>
      <c r="R19">
        <f t="shared" ref="R19:Y19" si="32">SUM(Q16:Q19)</f>
        <v>1212</v>
      </c>
      <c r="S19">
        <v>1250</v>
      </c>
      <c r="T19" t="s">
        <v>149</v>
      </c>
      <c r="U19">
        <v>50</v>
      </c>
      <c r="V19">
        <v>21217</v>
      </c>
      <c r="W19">
        <f t="shared" si="32"/>
        <v>92614</v>
      </c>
      <c r="X19">
        <v>1685</v>
      </c>
      <c r="Y19">
        <f t="shared" si="32"/>
        <v>9493</v>
      </c>
      <c r="Z19">
        <v>9930</v>
      </c>
      <c r="AA19" t="s">
        <v>150</v>
      </c>
      <c r="AB19">
        <v>200</v>
      </c>
      <c r="AC19">
        <v>22800</v>
      </c>
      <c r="AD19">
        <f t="shared" si="5"/>
        <v>91548</v>
      </c>
      <c r="AE19">
        <v>2516</v>
      </c>
      <c r="AF19">
        <f t="shared" ref="AF19" si="33">SUM(AE16:AE19)</f>
        <v>9619</v>
      </c>
      <c r="AG19">
        <v>9330</v>
      </c>
      <c r="AH19" t="s">
        <v>149</v>
      </c>
      <c r="AI19">
        <v>200</v>
      </c>
      <c r="AJ19">
        <v>22691</v>
      </c>
      <c r="AK19">
        <f t="shared" si="7"/>
        <v>87738</v>
      </c>
      <c r="AL19">
        <v>166767</v>
      </c>
      <c r="AM19">
        <f t="shared" si="0"/>
        <v>166767</v>
      </c>
      <c r="AN19">
        <v>168350</v>
      </c>
      <c r="AO19" t="s">
        <v>150</v>
      </c>
      <c r="AP19" s="6" t="s">
        <v>209</v>
      </c>
      <c r="AQ19">
        <v>10553341</v>
      </c>
      <c r="AR19">
        <f t="shared" si="1"/>
        <v>10553341</v>
      </c>
      <c r="AT19" s="1"/>
      <c r="AU19" s="1"/>
      <c r="AX19" s="1"/>
      <c r="AY19" s="1"/>
    </row>
    <row r="20" spans="1:51" x14ac:dyDescent="0.25">
      <c r="A20">
        <v>2024</v>
      </c>
      <c r="B20">
        <v>3</v>
      </c>
      <c r="C20">
        <v>1227</v>
      </c>
      <c r="D20">
        <f t="shared" si="2"/>
        <v>537</v>
      </c>
      <c r="E20">
        <v>950</v>
      </c>
      <c r="F20" t="s">
        <v>150</v>
      </c>
      <c r="G20">
        <v>100</v>
      </c>
      <c r="H20">
        <v>29235</v>
      </c>
      <c r="I20">
        <f t="shared" si="2"/>
        <v>24754</v>
      </c>
      <c r="J20">
        <v>412</v>
      </c>
      <c r="K20">
        <f t="shared" si="2"/>
        <v>1621</v>
      </c>
      <c r="L20">
        <v>1600</v>
      </c>
      <c r="M20" t="s">
        <v>150</v>
      </c>
      <c r="N20">
        <v>75</v>
      </c>
      <c r="O20">
        <v>25474</v>
      </c>
      <c r="P20">
        <f t="shared" si="3"/>
        <v>98793</v>
      </c>
      <c r="Q20">
        <v>272</v>
      </c>
      <c r="R20">
        <f t="shared" ref="R20:Y20" si="34">SUM(Q17:Q20)</f>
        <v>1190</v>
      </c>
      <c r="S20">
        <v>1250</v>
      </c>
      <c r="T20" t="s">
        <v>149</v>
      </c>
      <c r="U20">
        <v>50</v>
      </c>
      <c r="V20">
        <v>21637</v>
      </c>
      <c r="W20">
        <f t="shared" si="34"/>
        <v>93313</v>
      </c>
      <c r="X20">
        <v>4440</v>
      </c>
      <c r="Y20">
        <f t="shared" si="34"/>
        <v>9863</v>
      </c>
      <c r="Z20">
        <v>9930</v>
      </c>
      <c r="AA20" t="s">
        <v>150</v>
      </c>
      <c r="AB20">
        <v>200</v>
      </c>
      <c r="AC20">
        <v>45689</v>
      </c>
      <c r="AD20">
        <f t="shared" si="5"/>
        <v>105970</v>
      </c>
      <c r="AE20">
        <v>3364</v>
      </c>
      <c r="AF20">
        <f t="shared" ref="AF20" si="35">SUM(AE17:AE20)</f>
        <v>9725</v>
      </c>
      <c r="AG20">
        <v>9330</v>
      </c>
      <c r="AH20" t="s">
        <v>149</v>
      </c>
      <c r="AI20">
        <v>200</v>
      </c>
      <c r="AJ20">
        <v>21131</v>
      </c>
      <c r="AK20">
        <f t="shared" si="7"/>
        <v>85513</v>
      </c>
      <c r="AL20">
        <v>167994</v>
      </c>
      <c r="AM20">
        <f t="shared" si="0"/>
        <v>167994</v>
      </c>
      <c r="AN20">
        <v>168350</v>
      </c>
      <c r="AO20" t="s">
        <v>150</v>
      </c>
      <c r="AP20" s="6" t="s">
        <v>209</v>
      </c>
      <c r="AQ20">
        <v>10582576</v>
      </c>
      <c r="AR20">
        <f t="shared" si="1"/>
        <v>10582576</v>
      </c>
      <c r="AT20" s="1"/>
      <c r="AX20" s="1"/>
      <c r="AY20" s="1"/>
    </row>
    <row r="21" spans="1:51" x14ac:dyDescent="0.25">
      <c r="A21">
        <v>2024</v>
      </c>
      <c r="B21">
        <v>4</v>
      </c>
      <c r="C21">
        <v>41</v>
      </c>
      <c r="D21">
        <f t="shared" si="2"/>
        <v>631</v>
      </c>
      <c r="E21">
        <v>950</v>
      </c>
      <c r="F21" t="s">
        <v>150</v>
      </c>
      <c r="G21">
        <v>100</v>
      </c>
      <c r="H21">
        <v>5134</v>
      </c>
      <c r="I21">
        <f t="shared" si="2"/>
        <v>36003</v>
      </c>
      <c r="J21">
        <v>332</v>
      </c>
      <c r="K21">
        <f t="shared" si="2"/>
        <v>1601</v>
      </c>
      <c r="L21">
        <v>1600</v>
      </c>
      <c r="M21" t="s">
        <v>150</v>
      </c>
      <c r="N21">
        <v>75</v>
      </c>
      <c r="O21">
        <v>22419</v>
      </c>
      <c r="P21">
        <f t="shared" si="3"/>
        <v>98432</v>
      </c>
      <c r="Q21">
        <v>313</v>
      </c>
      <c r="R21">
        <f t="shared" ref="R21:Y21" si="36">SUM(Q18:Q21)</f>
        <v>1177</v>
      </c>
      <c r="S21">
        <v>1250</v>
      </c>
      <c r="T21" t="s">
        <v>149</v>
      </c>
      <c r="U21">
        <v>50</v>
      </c>
      <c r="V21">
        <v>23803</v>
      </c>
      <c r="W21">
        <f t="shared" si="36"/>
        <v>90891</v>
      </c>
      <c r="X21">
        <v>1802</v>
      </c>
      <c r="Y21">
        <f t="shared" si="36"/>
        <v>9848</v>
      </c>
      <c r="Z21">
        <v>9930</v>
      </c>
      <c r="AA21" t="s">
        <v>150</v>
      </c>
      <c r="AB21">
        <v>200</v>
      </c>
      <c r="AC21">
        <v>26203</v>
      </c>
      <c r="AD21">
        <f t="shared" si="5"/>
        <v>112983</v>
      </c>
      <c r="AE21">
        <v>1781</v>
      </c>
      <c r="AF21">
        <f t="shared" ref="AF21" si="37">SUM(AE18:AE21)</f>
        <v>9628</v>
      </c>
      <c r="AG21">
        <v>9330</v>
      </c>
      <c r="AH21" t="s">
        <v>149</v>
      </c>
      <c r="AI21">
        <v>200</v>
      </c>
      <c r="AJ21">
        <v>20291</v>
      </c>
      <c r="AK21">
        <f t="shared" si="7"/>
        <v>85189</v>
      </c>
      <c r="AL21">
        <v>168035</v>
      </c>
      <c r="AM21">
        <f t="shared" si="0"/>
        <v>168035</v>
      </c>
      <c r="AN21">
        <v>168350</v>
      </c>
      <c r="AO21" t="s">
        <v>150</v>
      </c>
      <c r="AP21" s="6" t="s">
        <v>209</v>
      </c>
      <c r="AQ21">
        <v>10587710</v>
      </c>
      <c r="AR21">
        <f t="shared" si="1"/>
        <v>10587710</v>
      </c>
      <c r="AT21" s="1"/>
      <c r="AX21" s="1"/>
      <c r="AY21" s="1"/>
    </row>
    <row r="22" spans="1:51" x14ac:dyDescent="0.25">
      <c r="A22">
        <v>2025</v>
      </c>
      <c r="B22">
        <v>1</v>
      </c>
      <c r="C22">
        <v>89</v>
      </c>
      <c r="D22">
        <f t="shared" si="2"/>
        <v>652</v>
      </c>
      <c r="E22">
        <v>750</v>
      </c>
      <c r="F22" t="s">
        <v>150</v>
      </c>
      <c r="G22">
        <v>100</v>
      </c>
      <c r="H22">
        <v>-12</v>
      </c>
      <c r="I22">
        <f t="shared" si="2"/>
        <v>38876</v>
      </c>
      <c r="J22">
        <v>343</v>
      </c>
      <c r="K22">
        <f t="shared" si="2"/>
        <v>1498</v>
      </c>
      <c r="L22">
        <v>1580</v>
      </c>
      <c r="M22" t="s">
        <v>150</v>
      </c>
      <c r="N22">
        <v>75</v>
      </c>
      <c r="O22">
        <v>23906</v>
      </c>
      <c r="P22">
        <f t="shared" si="3"/>
        <v>97716</v>
      </c>
      <c r="Q22">
        <v>349</v>
      </c>
      <c r="R22">
        <f t="shared" ref="R22:Y22" si="38">SUM(Q19:Q22)</f>
        <v>1208</v>
      </c>
      <c r="S22">
        <v>1280</v>
      </c>
      <c r="T22" t="s">
        <v>149</v>
      </c>
      <c r="U22">
        <v>50</v>
      </c>
      <c r="V22">
        <v>24828</v>
      </c>
      <c r="W22">
        <f t="shared" si="38"/>
        <v>91485</v>
      </c>
      <c r="X22">
        <v>1959</v>
      </c>
      <c r="Y22">
        <f t="shared" si="38"/>
        <v>9886</v>
      </c>
      <c r="Z22">
        <v>9720</v>
      </c>
      <c r="AA22" t="s">
        <v>150</v>
      </c>
      <c r="AB22">
        <v>200</v>
      </c>
      <c r="AC22">
        <v>18720</v>
      </c>
      <c r="AD22">
        <f t="shared" si="5"/>
        <v>113412</v>
      </c>
      <c r="AE22">
        <v>1880</v>
      </c>
      <c r="AF22">
        <f t="shared" ref="AF22" si="39">SUM(AE19:AE22)</f>
        <v>9541</v>
      </c>
      <c r="AG22">
        <v>9270</v>
      </c>
      <c r="AH22" t="s">
        <v>149</v>
      </c>
      <c r="AI22">
        <v>200</v>
      </c>
      <c r="AJ22">
        <v>18676</v>
      </c>
      <c r="AK22">
        <f t="shared" si="7"/>
        <v>82789</v>
      </c>
      <c r="AL22">
        <v>168124</v>
      </c>
      <c r="AM22">
        <f t="shared" si="0"/>
        <v>168124</v>
      </c>
      <c r="AN22">
        <v>168780</v>
      </c>
      <c r="AO22" t="s">
        <v>150</v>
      </c>
      <c r="AP22" s="6" t="s">
        <v>209</v>
      </c>
      <c r="AQ22">
        <v>10587696</v>
      </c>
      <c r="AR22">
        <f t="shared" si="1"/>
        <v>10587696</v>
      </c>
      <c r="AT22" s="1"/>
      <c r="AX22" s="1"/>
      <c r="AY22" s="1"/>
    </row>
    <row r="23" spans="1:51" x14ac:dyDescent="0.25">
      <c r="A23">
        <v>2025</v>
      </c>
      <c r="B23">
        <v>2</v>
      </c>
      <c r="C23">
        <v>-685</v>
      </c>
      <c r="D23">
        <f t="shared" si="2"/>
        <v>672</v>
      </c>
      <c r="E23">
        <v>750</v>
      </c>
      <c r="F23" t="s">
        <v>150</v>
      </c>
      <c r="G23">
        <v>100</v>
      </c>
      <c r="H23">
        <v>4990</v>
      </c>
      <c r="I23">
        <f t="shared" si="2"/>
        <v>39347</v>
      </c>
      <c r="J23">
        <v>436</v>
      </c>
      <c r="K23">
        <f t="shared" si="2"/>
        <v>1523</v>
      </c>
      <c r="L23">
        <v>1580</v>
      </c>
      <c r="M23" t="s">
        <v>150</v>
      </c>
      <c r="N23">
        <v>75</v>
      </c>
      <c r="O23">
        <v>25793</v>
      </c>
      <c r="P23">
        <f t="shared" si="3"/>
        <v>97592</v>
      </c>
      <c r="Q23">
        <v>307</v>
      </c>
      <c r="R23">
        <f t="shared" ref="R23:Y23" si="40">SUM(Q20:Q23)</f>
        <v>1241</v>
      </c>
      <c r="S23">
        <v>1280</v>
      </c>
      <c r="T23" t="s">
        <v>149</v>
      </c>
      <c r="U23">
        <v>50</v>
      </c>
      <c r="V23">
        <v>22037</v>
      </c>
      <c r="W23">
        <f t="shared" si="40"/>
        <v>92305</v>
      </c>
      <c r="X23">
        <v>1647</v>
      </c>
      <c r="Y23">
        <f t="shared" si="40"/>
        <v>9848</v>
      </c>
      <c r="Z23">
        <v>9720</v>
      </c>
      <c r="AA23" t="s">
        <v>150</v>
      </c>
      <c r="AB23">
        <v>200</v>
      </c>
      <c r="AC23">
        <v>18050</v>
      </c>
      <c r="AD23">
        <f t="shared" si="5"/>
        <v>108662</v>
      </c>
      <c r="AE23">
        <v>2449</v>
      </c>
      <c r="AF23">
        <f t="shared" ref="AF23" si="41">SUM(AE20:AE23)</f>
        <v>9474</v>
      </c>
      <c r="AG23">
        <v>9270</v>
      </c>
      <c r="AH23" t="s">
        <v>149</v>
      </c>
      <c r="AI23">
        <v>200</v>
      </c>
      <c r="AJ23">
        <v>16625</v>
      </c>
      <c r="AK23">
        <f t="shared" si="7"/>
        <v>76723</v>
      </c>
      <c r="AL23">
        <v>167439</v>
      </c>
      <c r="AM23">
        <f t="shared" si="0"/>
        <v>167439</v>
      </c>
      <c r="AN23">
        <v>168780</v>
      </c>
      <c r="AO23" t="s">
        <v>150</v>
      </c>
      <c r="AP23" s="6" t="s">
        <v>209</v>
      </c>
      <c r="AQ23">
        <v>10592686</v>
      </c>
      <c r="AR23">
        <f t="shared" si="1"/>
        <v>10592686</v>
      </c>
      <c r="AT23" s="1"/>
      <c r="AU23" s="1"/>
      <c r="AX23" s="1"/>
      <c r="AY23" s="1"/>
    </row>
    <row r="24" spans="1:51" x14ac:dyDescent="0.25">
      <c r="A24">
        <v>2025</v>
      </c>
      <c r="B24">
        <v>3</v>
      </c>
      <c r="C24">
        <v>1298</v>
      </c>
      <c r="D24">
        <f t="shared" si="2"/>
        <v>743</v>
      </c>
      <c r="E24">
        <v>750</v>
      </c>
      <c r="F24" t="s">
        <v>150</v>
      </c>
      <c r="G24">
        <v>100</v>
      </c>
      <c r="H24">
        <v>16774</v>
      </c>
      <c r="I24">
        <f t="shared" si="2"/>
        <v>26886</v>
      </c>
      <c r="J24">
        <v>376</v>
      </c>
      <c r="K24">
        <f t="shared" si="2"/>
        <v>1487</v>
      </c>
      <c r="L24">
        <v>1580</v>
      </c>
      <c r="M24" t="s">
        <v>150</v>
      </c>
      <c r="N24">
        <v>75</v>
      </c>
      <c r="O24">
        <v>25689</v>
      </c>
      <c r="P24">
        <f t="shared" si="3"/>
        <v>97807</v>
      </c>
      <c r="Q24">
        <v>280</v>
      </c>
      <c r="R24">
        <f t="shared" ref="R24:Y25" si="42">SUM(Q21:Q24)</f>
        <v>1249</v>
      </c>
      <c r="S24">
        <v>1280</v>
      </c>
      <c r="T24" t="s">
        <v>149</v>
      </c>
      <c r="U24">
        <v>50</v>
      </c>
      <c r="V24">
        <v>21335</v>
      </c>
      <c r="W24">
        <f t="shared" si="42"/>
        <v>92003</v>
      </c>
      <c r="X24">
        <v>4476</v>
      </c>
      <c r="Y24">
        <f t="shared" si="42"/>
        <v>9884</v>
      </c>
      <c r="Z24">
        <v>9720</v>
      </c>
      <c r="AA24" t="s">
        <v>150</v>
      </c>
      <c r="AB24">
        <v>200</v>
      </c>
      <c r="AC24">
        <v>32664</v>
      </c>
      <c r="AD24">
        <f t="shared" si="5"/>
        <v>95637</v>
      </c>
      <c r="AE24">
        <v>3279</v>
      </c>
      <c r="AF24">
        <f t="shared" ref="AF24:AF25" si="43">SUM(AE21:AE24)</f>
        <v>9389</v>
      </c>
      <c r="AG24">
        <v>9270</v>
      </c>
      <c r="AH24" t="s">
        <v>149</v>
      </c>
      <c r="AI24">
        <v>200</v>
      </c>
      <c r="AJ24">
        <v>21104</v>
      </c>
      <c r="AK24">
        <f t="shared" si="7"/>
        <v>76696</v>
      </c>
      <c r="AL24">
        <v>168737</v>
      </c>
      <c r="AM24">
        <f t="shared" si="0"/>
        <v>168737</v>
      </c>
      <c r="AN24">
        <v>168780</v>
      </c>
      <c r="AO24" t="s">
        <v>150</v>
      </c>
      <c r="AP24" s="6" t="s">
        <v>209</v>
      </c>
      <c r="AQ24">
        <v>10609460</v>
      </c>
      <c r="AR24">
        <f t="shared" si="1"/>
        <v>10609460</v>
      </c>
      <c r="AT24" s="1"/>
      <c r="AX24" s="1"/>
      <c r="AY24" s="1"/>
    </row>
    <row r="25" spans="1:51" x14ac:dyDescent="0.25">
      <c r="A25">
        <v>2025</v>
      </c>
      <c r="B25">
        <v>4</v>
      </c>
      <c r="C25">
        <v>-24</v>
      </c>
      <c r="D25">
        <f t="shared" si="2"/>
        <v>678</v>
      </c>
      <c r="E25">
        <v>750</v>
      </c>
      <c r="F25" t="s">
        <v>150</v>
      </c>
      <c r="G25">
        <v>100</v>
      </c>
      <c r="H25">
        <v>-3931</v>
      </c>
      <c r="I25">
        <f t="shared" si="2"/>
        <v>17821</v>
      </c>
      <c r="J25">
        <v>340</v>
      </c>
      <c r="K25">
        <f t="shared" si="2"/>
        <v>1495</v>
      </c>
      <c r="L25">
        <v>1580</v>
      </c>
      <c r="M25" t="s">
        <v>150</v>
      </c>
      <c r="N25">
        <v>75</v>
      </c>
      <c r="O25">
        <v>22086</v>
      </c>
      <c r="P25">
        <f t="shared" si="3"/>
        <v>97474</v>
      </c>
      <c r="Q25">
        <v>319</v>
      </c>
      <c r="R25">
        <f t="shared" si="42"/>
        <v>1255</v>
      </c>
      <c r="S25">
        <v>1280</v>
      </c>
      <c r="T25" t="s">
        <v>149</v>
      </c>
      <c r="U25">
        <v>50</v>
      </c>
      <c r="V25">
        <v>23599</v>
      </c>
      <c r="W25">
        <f t="shared" si="42"/>
        <v>91799</v>
      </c>
      <c r="X25">
        <v>1842</v>
      </c>
      <c r="Y25">
        <f t="shared" si="42"/>
        <v>9924</v>
      </c>
      <c r="Z25">
        <v>9720</v>
      </c>
      <c r="AA25" t="s">
        <v>150</v>
      </c>
      <c r="AB25">
        <v>200</v>
      </c>
      <c r="AC25">
        <v>16898</v>
      </c>
      <c r="AD25">
        <f t="shared" si="5"/>
        <v>86332</v>
      </c>
      <c r="AE25">
        <v>1895</v>
      </c>
      <c r="AF25">
        <f t="shared" si="43"/>
        <v>9503</v>
      </c>
      <c r="AG25">
        <v>9270</v>
      </c>
      <c r="AH25" t="s">
        <v>149</v>
      </c>
      <c r="AI25">
        <v>200</v>
      </c>
      <c r="AJ25">
        <v>19947</v>
      </c>
      <c r="AK25">
        <f t="shared" si="7"/>
        <v>76352</v>
      </c>
      <c r="AL25">
        <v>168713</v>
      </c>
      <c r="AM25">
        <f t="shared" si="0"/>
        <v>168713</v>
      </c>
      <c r="AN25">
        <v>168780</v>
      </c>
      <c r="AO25" t="s">
        <v>150</v>
      </c>
      <c r="AP25" s="6" t="s">
        <v>209</v>
      </c>
      <c r="AQ25">
        <v>10605529</v>
      </c>
      <c r="AR25">
        <f t="shared" si="1"/>
        <v>10605529</v>
      </c>
      <c r="AT25" s="1"/>
      <c r="AX25" s="1"/>
      <c r="AY2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F59D-1FD4-4CB0-928D-EE65E23AFD77}">
  <dimension ref="A1:AY25"/>
  <sheetViews>
    <sheetView workbookViewId="0"/>
  </sheetViews>
  <sheetFormatPr defaultRowHeight="15" x14ac:dyDescent="0.25"/>
  <cols>
    <col min="3" max="3" width="18.140625" bestFit="1" customWidth="1"/>
    <col min="4" max="4" width="15" bestFit="1" customWidth="1"/>
    <col min="5" max="9" width="15" customWidth="1"/>
    <col min="10" max="10" width="18.85546875" bestFit="1" customWidth="1"/>
    <col min="11" max="11" width="15.7109375" bestFit="1" customWidth="1"/>
    <col min="12" max="16" width="15.7109375" customWidth="1"/>
    <col min="17" max="17" width="14.5703125" bestFit="1" customWidth="1"/>
    <col min="18" max="18" width="11.42578125" bestFit="1" customWidth="1"/>
    <col min="19" max="23" width="11.42578125" customWidth="1"/>
    <col min="24" max="24" width="10.85546875" bestFit="1" customWidth="1"/>
    <col min="25" max="25" width="7.85546875" bestFit="1" customWidth="1"/>
    <col min="26" max="30" width="7.85546875" customWidth="1"/>
    <col min="31" max="31" width="17.7109375" bestFit="1" customWidth="1"/>
    <col min="32" max="32" width="14.5703125" bestFit="1" customWidth="1"/>
    <col min="33" max="37" width="14.5703125" customWidth="1"/>
    <col min="38" max="38" width="20.42578125" bestFit="1" customWidth="1"/>
    <col min="39" max="39" width="17.42578125" bestFit="1" customWidth="1"/>
    <col min="40" max="44" width="17.42578125" customWidth="1"/>
    <col min="45" max="45" width="27.42578125" bestFit="1" customWidth="1"/>
    <col min="46" max="46" width="24.28515625" bestFit="1" customWidth="1"/>
  </cols>
  <sheetData>
    <row r="1" spans="1:51" x14ac:dyDescent="0.25">
      <c r="A1" t="s">
        <v>0</v>
      </c>
      <c r="B1" t="s">
        <v>1</v>
      </c>
      <c r="C1" t="s">
        <v>14</v>
      </c>
      <c r="D1" t="s">
        <v>15</v>
      </c>
      <c r="E1" t="s">
        <v>86</v>
      </c>
      <c r="F1" t="s">
        <v>105</v>
      </c>
      <c r="G1" t="s">
        <v>106</v>
      </c>
      <c r="H1" t="s">
        <v>171</v>
      </c>
      <c r="I1" t="s">
        <v>172</v>
      </c>
      <c r="J1" t="s">
        <v>16</v>
      </c>
      <c r="K1" t="s">
        <v>17</v>
      </c>
      <c r="L1" t="s">
        <v>87</v>
      </c>
      <c r="M1" t="s">
        <v>107</v>
      </c>
      <c r="N1" t="s">
        <v>108</v>
      </c>
      <c r="O1" t="s">
        <v>173</v>
      </c>
      <c r="P1" t="s">
        <v>174</v>
      </c>
      <c r="Q1" t="s">
        <v>26</v>
      </c>
      <c r="R1" t="s">
        <v>27</v>
      </c>
      <c r="S1" t="s">
        <v>88</v>
      </c>
      <c r="T1" t="s">
        <v>109</v>
      </c>
      <c r="U1" t="s">
        <v>110</v>
      </c>
      <c r="V1" t="s">
        <v>175</v>
      </c>
      <c r="W1" t="s">
        <v>176</v>
      </c>
      <c r="X1" t="s">
        <v>18</v>
      </c>
      <c r="Y1" t="s">
        <v>19</v>
      </c>
      <c r="Z1" t="s">
        <v>89</v>
      </c>
      <c r="AA1" t="s">
        <v>111</v>
      </c>
      <c r="AB1" t="s">
        <v>112</v>
      </c>
      <c r="AC1" t="s">
        <v>177</v>
      </c>
      <c r="AD1" t="s">
        <v>178</v>
      </c>
      <c r="AE1" t="s">
        <v>20</v>
      </c>
      <c r="AF1" t="s">
        <v>21</v>
      </c>
      <c r="AG1" t="s">
        <v>90</v>
      </c>
      <c r="AH1" t="s">
        <v>113</v>
      </c>
      <c r="AI1" t="s">
        <v>114</v>
      </c>
      <c r="AJ1" t="s">
        <v>179</v>
      </c>
      <c r="AK1" t="s">
        <v>180</v>
      </c>
      <c r="AL1" t="s">
        <v>22</v>
      </c>
      <c r="AM1" t="s">
        <v>23</v>
      </c>
      <c r="AN1" t="s">
        <v>91</v>
      </c>
      <c r="AO1" t="s">
        <v>151</v>
      </c>
      <c r="AP1" t="s">
        <v>152</v>
      </c>
      <c r="AQ1" t="s">
        <v>181</v>
      </c>
      <c r="AR1" t="s">
        <v>182</v>
      </c>
      <c r="AS1" t="s">
        <v>24</v>
      </c>
      <c r="AT1" t="s">
        <v>25</v>
      </c>
      <c r="AU1" t="s">
        <v>92</v>
      </c>
      <c r="AV1" t="s">
        <v>115</v>
      </c>
      <c r="AW1" t="s">
        <v>116</v>
      </c>
      <c r="AX1" t="s">
        <v>157</v>
      </c>
      <c r="AY1" t="s">
        <v>158</v>
      </c>
    </row>
    <row r="2" spans="1:51" x14ac:dyDescent="0.25">
      <c r="A2">
        <v>2020</v>
      </c>
      <c r="B2">
        <v>1</v>
      </c>
      <c r="C2">
        <v>88921</v>
      </c>
      <c r="D2">
        <f>+C2</f>
        <v>88921</v>
      </c>
      <c r="E2" s="4" t="s">
        <v>42</v>
      </c>
      <c r="F2" t="s">
        <v>150</v>
      </c>
      <c r="G2" s="4">
        <v>250</v>
      </c>
      <c r="H2" s="4">
        <v>4911196</v>
      </c>
      <c r="I2">
        <f>+H2</f>
        <v>4911196</v>
      </c>
      <c r="J2">
        <v>11400</v>
      </c>
      <c r="K2">
        <f>+J2</f>
        <v>11400</v>
      </c>
      <c r="L2" s="4" t="s">
        <v>42</v>
      </c>
      <c r="M2" t="s">
        <v>150</v>
      </c>
      <c r="N2" s="4">
        <v>150</v>
      </c>
      <c r="O2" s="4">
        <v>592660</v>
      </c>
      <c r="P2">
        <f>+O2</f>
        <v>592660</v>
      </c>
      <c r="Q2">
        <v>7647</v>
      </c>
      <c r="R2">
        <f>+Q2</f>
        <v>7647</v>
      </c>
      <c r="S2" s="4" t="s">
        <v>42</v>
      </c>
      <c r="T2" t="s">
        <v>150</v>
      </c>
      <c r="U2" s="4">
        <v>75</v>
      </c>
      <c r="V2" s="4">
        <v>583276</v>
      </c>
      <c r="W2">
        <f>+V2</f>
        <v>583276</v>
      </c>
      <c r="X2">
        <v>5782</v>
      </c>
      <c r="Y2">
        <f>+X2</f>
        <v>5782</v>
      </c>
      <c r="Z2" s="4" t="s">
        <v>42</v>
      </c>
      <c r="AA2" t="s">
        <v>150</v>
      </c>
      <c r="AB2" s="4">
        <v>50</v>
      </c>
      <c r="AC2" s="4">
        <v>214540</v>
      </c>
      <c r="AD2">
        <f>+AC2</f>
        <v>214540</v>
      </c>
      <c r="AE2">
        <v>11653</v>
      </c>
      <c r="AF2">
        <f>+AE2</f>
        <v>11653</v>
      </c>
      <c r="AG2" s="4" t="s">
        <v>42</v>
      </c>
      <c r="AH2" t="s">
        <v>150</v>
      </c>
      <c r="AI2" s="4">
        <v>150</v>
      </c>
      <c r="AJ2" s="4">
        <v>535310</v>
      </c>
      <c r="AK2">
        <f>+AJ2</f>
        <v>535310</v>
      </c>
      <c r="AL2">
        <v>15303</v>
      </c>
      <c r="AM2">
        <f>+AL2</f>
        <v>15303</v>
      </c>
      <c r="AN2" s="4" t="s">
        <v>42</v>
      </c>
      <c r="AO2" t="s">
        <v>150</v>
      </c>
      <c r="AP2" s="4">
        <v>200</v>
      </c>
      <c r="AQ2" s="4">
        <v>854155</v>
      </c>
      <c r="AR2">
        <f>+AQ2</f>
        <v>854155</v>
      </c>
      <c r="AS2">
        <v>6513</v>
      </c>
      <c r="AT2">
        <f>+AS2</f>
        <v>6513</v>
      </c>
      <c r="AU2" s="4" t="s">
        <v>42</v>
      </c>
      <c r="AV2" t="s">
        <v>150</v>
      </c>
      <c r="AW2">
        <v>150</v>
      </c>
      <c r="AX2">
        <v>313026</v>
      </c>
      <c r="AY2">
        <f>+AX2</f>
        <v>313026</v>
      </c>
    </row>
    <row r="3" spans="1:51" x14ac:dyDescent="0.25">
      <c r="A3">
        <v>2020</v>
      </c>
      <c r="B3">
        <v>2</v>
      </c>
      <c r="C3">
        <v>88601</v>
      </c>
      <c r="D3">
        <f>+C3</f>
        <v>88601</v>
      </c>
      <c r="E3" s="4" t="s">
        <v>42</v>
      </c>
      <c r="F3" t="s">
        <v>150</v>
      </c>
      <c r="G3" s="4">
        <v>250</v>
      </c>
      <c r="H3" s="4">
        <v>4890143</v>
      </c>
      <c r="I3">
        <f>+H3</f>
        <v>4890143</v>
      </c>
      <c r="J3">
        <v>11435</v>
      </c>
      <c r="K3">
        <f>+J3</f>
        <v>11435</v>
      </c>
      <c r="L3" s="4" t="s">
        <v>42</v>
      </c>
      <c r="M3" t="s">
        <v>150</v>
      </c>
      <c r="N3" s="4">
        <v>150</v>
      </c>
      <c r="O3" s="4">
        <v>593848</v>
      </c>
      <c r="P3">
        <f>+O3</f>
        <v>593848</v>
      </c>
      <c r="Q3">
        <v>7553</v>
      </c>
      <c r="R3">
        <f>+Q3</f>
        <v>7553</v>
      </c>
      <c r="S3" s="4" t="s">
        <v>42</v>
      </c>
      <c r="T3" t="s">
        <v>150</v>
      </c>
      <c r="U3" s="4">
        <v>75</v>
      </c>
      <c r="V3" s="4">
        <v>579220</v>
      </c>
      <c r="W3">
        <f>+V3</f>
        <v>579220</v>
      </c>
      <c r="X3">
        <v>5835</v>
      </c>
      <c r="Y3">
        <f>+X3</f>
        <v>5835</v>
      </c>
      <c r="Z3" s="4" t="s">
        <v>42</v>
      </c>
      <c r="AA3" t="s">
        <v>150</v>
      </c>
      <c r="AB3" s="4">
        <v>50</v>
      </c>
      <c r="AC3" s="4">
        <v>215251</v>
      </c>
      <c r="AD3">
        <f>+AC3</f>
        <v>215251</v>
      </c>
      <c r="AE3">
        <v>11486</v>
      </c>
      <c r="AF3">
        <f>+AE3</f>
        <v>11486</v>
      </c>
      <c r="AG3" s="4" t="s">
        <v>42</v>
      </c>
      <c r="AH3" t="s">
        <v>150</v>
      </c>
      <c r="AI3" s="4">
        <v>150</v>
      </c>
      <c r="AJ3" s="4">
        <v>530836</v>
      </c>
      <c r="AK3">
        <f>+AJ3</f>
        <v>530836</v>
      </c>
      <c r="AL3">
        <v>15483</v>
      </c>
      <c r="AM3">
        <f>+AL3</f>
        <v>15483</v>
      </c>
      <c r="AN3" s="4" t="s">
        <v>42</v>
      </c>
      <c r="AO3" t="s">
        <v>150</v>
      </c>
      <c r="AP3" s="4">
        <v>200</v>
      </c>
      <c r="AQ3" s="4">
        <v>860697</v>
      </c>
      <c r="AR3">
        <f>+AQ3</f>
        <v>860697</v>
      </c>
      <c r="AS3">
        <v>6705</v>
      </c>
      <c r="AT3">
        <f>+AS3</f>
        <v>6705</v>
      </c>
      <c r="AU3" s="4" t="s">
        <v>42</v>
      </c>
      <c r="AV3" t="s">
        <v>150</v>
      </c>
      <c r="AW3">
        <v>150</v>
      </c>
      <c r="AX3">
        <v>319187</v>
      </c>
      <c r="AY3">
        <f>+AX3</f>
        <v>319187</v>
      </c>
    </row>
    <row r="4" spans="1:51" x14ac:dyDescent="0.25">
      <c r="A4">
        <v>2020</v>
      </c>
      <c r="B4">
        <v>3</v>
      </c>
      <c r="C4">
        <v>89753</v>
      </c>
      <c r="D4">
        <f>+C4</f>
        <v>89753</v>
      </c>
      <c r="E4" s="4" t="s">
        <v>42</v>
      </c>
      <c r="F4" t="s">
        <v>150</v>
      </c>
      <c r="G4" s="4">
        <v>250</v>
      </c>
      <c r="H4" s="4">
        <v>4980096</v>
      </c>
      <c r="I4">
        <f>+H4</f>
        <v>4980096</v>
      </c>
      <c r="J4">
        <v>11676</v>
      </c>
      <c r="K4">
        <f>+J4</f>
        <v>11676</v>
      </c>
      <c r="L4" s="4" t="s">
        <v>42</v>
      </c>
      <c r="M4" t="s">
        <v>150</v>
      </c>
      <c r="N4" s="4">
        <v>150</v>
      </c>
      <c r="O4" s="4">
        <v>604715</v>
      </c>
      <c r="P4">
        <f>+O4</f>
        <v>604715</v>
      </c>
      <c r="Q4">
        <v>7775</v>
      </c>
      <c r="R4">
        <f>+Q4</f>
        <v>7775</v>
      </c>
      <c r="S4" s="4" t="s">
        <v>42</v>
      </c>
      <c r="T4" t="s">
        <v>150</v>
      </c>
      <c r="U4" s="4">
        <v>75</v>
      </c>
      <c r="V4" s="4">
        <v>599846</v>
      </c>
      <c r="W4">
        <f>+V4</f>
        <v>599846</v>
      </c>
      <c r="X4">
        <v>5897</v>
      </c>
      <c r="Y4">
        <f>+X4</f>
        <v>5897</v>
      </c>
      <c r="Z4" s="4" t="s">
        <v>42</v>
      </c>
      <c r="AA4" t="s">
        <v>150</v>
      </c>
      <c r="AB4" s="4">
        <v>50</v>
      </c>
      <c r="AC4" s="4">
        <v>214141</v>
      </c>
      <c r="AD4">
        <f>+AC4</f>
        <v>214141</v>
      </c>
      <c r="AE4">
        <v>11166</v>
      </c>
      <c r="AF4">
        <f>+AE4</f>
        <v>11166</v>
      </c>
      <c r="AG4" s="4" t="s">
        <v>42</v>
      </c>
      <c r="AH4" t="s">
        <v>150</v>
      </c>
      <c r="AI4" s="4">
        <v>150</v>
      </c>
      <c r="AJ4" s="4">
        <v>517911</v>
      </c>
      <c r="AK4">
        <f>+AJ4</f>
        <v>517911</v>
      </c>
      <c r="AL4">
        <v>16292</v>
      </c>
      <c r="AM4">
        <f>+AL4</f>
        <v>16292</v>
      </c>
      <c r="AN4" s="4" t="s">
        <v>42</v>
      </c>
      <c r="AO4" t="s">
        <v>150</v>
      </c>
      <c r="AP4" s="4">
        <v>200</v>
      </c>
      <c r="AQ4" s="4">
        <v>902080</v>
      </c>
      <c r="AR4">
        <f>+AQ4</f>
        <v>902080</v>
      </c>
      <c r="AS4">
        <v>6825</v>
      </c>
      <c r="AT4">
        <f>+AS4</f>
        <v>6825</v>
      </c>
      <c r="AU4" s="4" t="s">
        <v>42</v>
      </c>
      <c r="AV4" t="s">
        <v>150</v>
      </c>
      <c r="AW4">
        <v>150</v>
      </c>
      <c r="AX4">
        <v>326515</v>
      </c>
      <c r="AY4">
        <f>+AX4</f>
        <v>326515</v>
      </c>
    </row>
    <row r="5" spans="1:51" x14ac:dyDescent="0.25">
      <c r="A5">
        <v>2020</v>
      </c>
      <c r="B5">
        <v>4</v>
      </c>
      <c r="C5">
        <v>88694</v>
      </c>
      <c r="D5" s="3">
        <f>AVERAGE(C2:C5)</f>
        <v>88992.25</v>
      </c>
      <c r="E5" s="4" t="s">
        <v>42</v>
      </c>
      <c r="F5" t="s">
        <v>150</v>
      </c>
      <c r="G5" s="4">
        <v>250</v>
      </c>
      <c r="H5" s="4">
        <v>4886135</v>
      </c>
      <c r="I5" s="3">
        <f>AVERAGE(H2:H5)</f>
        <v>4916892.5</v>
      </c>
      <c r="J5">
        <v>11368</v>
      </c>
      <c r="K5" s="3">
        <f>AVERAGE(J2:J5)</f>
        <v>11469.75</v>
      </c>
      <c r="L5" s="4" t="s">
        <v>42</v>
      </c>
      <c r="M5" t="s">
        <v>150</v>
      </c>
      <c r="N5" s="4">
        <v>150</v>
      </c>
      <c r="O5" s="4">
        <v>587628</v>
      </c>
      <c r="P5" s="3">
        <f>AVERAGE(O2:O5)</f>
        <v>594712.75</v>
      </c>
      <c r="Q5">
        <v>7460</v>
      </c>
      <c r="R5" s="3">
        <f>AVERAGE(Q2:Q5)</f>
        <v>7608.75</v>
      </c>
      <c r="S5" s="4" t="s">
        <v>42</v>
      </c>
      <c r="T5" t="s">
        <v>150</v>
      </c>
      <c r="U5" s="4">
        <v>75</v>
      </c>
      <c r="V5" s="4">
        <v>576691</v>
      </c>
      <c r="W5" s="3">
        <f>AVERAGE(V2:V5)</f>
        <v>584758.25</v>
      </c>
      <c r="X5">
        <v>5829</v>
      </c>
      <c r="Y5" s="3">
        <f>AVERAGE(X2:X5)</f>
        <v>5835.75</v>
      </c>
      <c r="Z5" s="4" t="s">
        <v>42</v>
      </c>
      <c r="AA5" t="s">
        <v>150</v>
      </c>
      <c r="AB5" s="4">
        <v>50</v>
      </c>
      <c r="AC5" s="4">
        <v>215232</v>
      </c>
      <c r="AD5" s="3">
        <f>AVERAGE(AC2:AC5)</f>
        <v>214791</v>
      </c>
      <c r="AE5">
        <v>11711</v>
      </c>
      <c r="AF5" s="3">
        <f>AVERAGE(AE2:AE5)</f>
        <v>11504</v>
      </c>
      <c r="AG5" s="4" t="s">
        <v>42</v>
      </c>
      <c r="AH5" t="s">
        <v>150</v>
      </c>
      <c r="AI5" s="4">
        <v>150</v>
      </c>
      <c r="AJ5" s="4">
        <v>533717</v>
      </c>
      <c r="AK5" s="3">
        <f>AVERAGE(AJ2:AJ5)</f>
        <v>529443.5</v>
      </c>
      <c r="AL5">
        <v>15775</v>
      </c>
      <c r="AM5" s="3">
        <f>AVERAGE(AL2:AL5)</f>
        <v>15713.25</v>
      </c>
      <c r="AN5" s="4" t="s">
        <v>42</v>
      </c>
      <c r="AO5" t="s">
        <v>150</v>
      </c>
      <c r="AP5" s="4">
        <v>200</v>
      </c>
      <c r="AQ5" s="4">
        <v>862418</v>
      </c>
      <c r="AR5" s="3">
        <f>AVERAGE(AQ2:AQ5)</f>
        <v>869837.5</v>
      </c>
      <c r="AS5">
        <v>6688</v>
      </c>
      <c r="AT5" s="3">
        <f>AVERAGE(AS2:AS5)</f>
        <v>6682.75</v>
      </c>
      <c r="AU5" s="4" t="s">
        <v>42</v>
      </c>
      <c r="AV5" t="s">
        <v>150</v>
      </c>
      <c r="AW5">
        <v>150</v>
      </c>
      <c r="AX5">
        <v>322566</v>
      </c>
      <c r="AY5" s="3">
        <f>AVERAGE(AX2:AX5)</f>
        <v>320323.5</v>
      </c>
    </row>
    <row r="6" spans="1:51" x14ac:dyDescent="0.25">
      <c r="A6">
        <v>2021</v>
      </c>
      <c r="B6">
        <v>1</v>
      </c>
      <c r="C6">
        <v>87811</v>
      </c>
      <c r="D6" s="3">
        <f t="shared" ref="D6:D25" si="0">AVERAGE(C3:C6)</f>
        <v>88714.75</v>
      </c>
      <c r="E6">
        <v>88921</v>
      </c>
      <c r="F6" t="s">
        <v>150</v>
      </c>
      <c r="G6">
        <v>250</v>
      </c>
      <c r="H6">
        <v>4824899</v>
      </c>
      <c r="I6" s="3">
        <f t="shared" ref="I6:I25" si="1">AVERAGE(H3:H6)</f>
        <v>4895318.25</v>
      </c>
      <c r="J6">
        <v>11407</v>
      </c>
      <c r="K6" s="3">
        <f t="shared" ref="K6:K25" si="2">AVERAGE(J3:J6)</f>
        <v>11471.5</v>
      </c>
      <c r="L6">
        <v>11400</v>
      </c>
      <c r="M6" t="s">
        <v>150</v>
      </c>
      <c r="N6">
        <v>150</v>
      </c>
      <c r="O6">
        <v>587684</v>
      </c>
      <c r="P6" s="3">
        <f t="shared" ref="P6:P25" si="3">AVERAGE(O3:O6)</f>
        <v>593468.75</v>
      </c>
      <c r="Q6">
        <v>7465</v>
      </c>
      <c r="R6" s="3">
        <f t="shared" ref="R6:R25" si="4">AVERAGE(Q3:Q6)</f>
        <v>7563.25</v>
      </c>
      <c r="S6">
        <v>7647</v>
      </c>
      <c r="T6" t="s">
        <v>150</v>
      </c>
      <c r="U6">
        <v>75</v>
      </c>
      <c r="V6">
        <v>571398</v>
      </c>
      <c r="W6" s="3">
        <f t="shared" ref="W6:W25" si="5">AVERAGE(V3:V6)</f>
        <v>581788.75</v>
      </c>
      <c r="X6">
        <v>5892</v>
      </c>
      <c r="Y6" s="3">
        <f t="shared" ref="Y6:Y25" si="6">AVERAGE(X3:X6)</f>
        <v>5863.25</v>
      </c>
      <c r="Z6">
        <v>5782</v>
      </c>
      <c r="AA6" t="s">
        <v>150</v>
      </c>
      <c r="AB6">
        <v>50</v>
      </c>
      <c r="AC6">
        <v>215695</v>
      </c>
      <c r="AD6" s="3">
        <f t="shared" ref="AD6:AD25" si="7">AVERAGE(AC3:AC6)</f>
        <v>215079.75</v>
      </c>
      <c r="AE6">
        <v>11728</v>
      </c>
      <c r="AF6" s="3">
        <f t="shared" ref="AF6:AF25" si="8">AVERAGE(AE3:AE6)</f>
        <v>11522.75</v>
      </c>
      <c r="AG6">
        <v>11653</v>
      </c>
      <c r="AH6" t="s">
        <v>150</v>
      </c>
      <c r="AI6">
        <v>150</v>
      </c>
      <c r="AJ6">
        <v>532332</v>
      </c>
      <c r="AK6" s="3">
        <f t="shared" ref="AK6:AK25" si="9">AVERAGE(AJ3:AJ6)</f>
        <v>528699</v>
      </c>
      <c r="AL6">
        <v>15580</v>
      </c>
      <c r="AM6" s="3">
        <f t="shared" ref="AM6:AM25" si="10">AVERAGE(AL3:AL6)</f>
        <v>15782.5</v>
      </c>
      <c r="AN6">
        <v>15303</v>
      </c>
      <c r="AO6" t="s">
        <v>150</v>
      </c>
      <c r="AP6">
        <v>200</v>
      </c>
      <c r="AQ6">
        <v>848327</v>
      </c>
      <c r="AR6" s="3">
        <f t="shared" ref="AR6:AR25" si="11">AVERAGE(AQ3:AQ6)</f>
        <v>868380.5</v>
      </c>
      <c r="AS6">
        <v>6780</v>
      </c>
      <c r="AT6" s="3">
        <f t="shared" ref="AT6:AT25" si="12">AVERAGE(AS3:AS6)</f>
        <v>6749.5</v>
      </c>
      <c r="AU6">
        <v>6513</v>
      </c>
      <c r="AV6" t="s">
        <v>150</v>
      </c>
      <c r="AW6">
        <v>150</v>
      </c>
      <c r="AX6">
        <v>330499</v>
      </c>
      <c r="AY6" s="3">
        <f t="shared" ref="AY6:AY25" si="13">AVERAGE(AX3:AX6)</f>
        <v>324691.75</v>
      </c>
    </row>
    <row r="7" spans="1:51" x14ac:dyDescent="0.25">
      <c r="A7">
        <v>2021</v>
      </c>
      <c r="B7">
        <v>2</v>
      </c>
      <c r="C7">
        <v>89733</v>
      </c>
      <c r="D7" s="3">
        <f t="shared" si="0"/>
        <v>88997.75</v>
      </c>
      <c r="E7">
        <v>88601</v>
      </c>
      <c r="F7" t="s">
        <v>150</v>
      </c>
      <c r="G7">
        <v>250</v>
      </c>
      <c r="H7">
        <v>4929599</v>
      </c>
      <c r="I7" s="3">
        <f t="shared" si="1"/>
        <v>4905182.25</v>
      </c>
      <c r="J7">
        <v>11511</v>
      </c>
      <c r="K7" s="3">
        <f t="shared" si="2"/>
        <v>11490.5</v>
      </c>
      <c r="L7">
        <v>11435</v>
      </c>
      <c r="M7" t="s">
        <v>150</v>
      </c>
      <c r="N7">
        <v>150</v>
      </c>
      <c r="O7">
        <v>597421</v>
      </c>
      <c r="P7" s="3">
        <f t="shared" si="3"/>
        <v>594362</v>
      </c>
      <c r="Q7">
        <v>7597</v>
      </c>
      <c r="R7" s="3">
        <f t="shared" si="4"/>
        <v>7574.25</v>
      </c>
      <c r="S7">
        <v>7553</v>
      </c>
      <c r="T7" t="s">
        <v>150</v>
      </c>
      <c r="U7">
        <v>75</v>
      </c>
      <c r="V7">
        <v>583077</v>
      </c>
      <c r="W7" s="3">
        <f t="shared" si="5"/>
        <v>582753</v>
      </c>
      <c r="X7">
        <v>6096</v>
      </c>
      <c r="Y7" s="3">
        <f t="shared" si="6"/>
        <v>5928.5</v>
      </c>
      <c r="Z7">
        <v>5835</v>
      </c>
      <c r="AA7" t="s">
        <v>150</v>
      </c>
      <c r="AB7">
        <v>50</v>
      </c>
      <c r="AC7">
        <v>219798</v>
      </c>
      <c r="AD7" s="3">
        <f t="shared" si="7"/>
        <v>216216.5</v>
      </c>
      <c r="AE7">
        <v>11920</v>
      </c>
      <c r="AF7" s="3">
        <f t="shared" si="8"/>
        <v>11631.25</v>
      </c>
      <c r="AG7">
        <v>11486</v>
      </c>
      <c r="AH7" t="s">
        <v>150</v>
      </c>
      <c r="AI7">
        <v>150</v>
      </c>
      <c r="AJ7">
        <v>538528</v>
      </c>
      <c r="AK7" s="3">
        <f t="shared" si="9"/>
        <v>530622</v>
      </c>
      <c r="AL7">
        <v>15993</v>
      </c>
      <c r="AM7" s="3">
        <f t="shared" si="10"/>
        <v>15910</v>
      </c>
      <c r="AN7">
        <v>15483</v>
      </c>
      <c r="AO7" t="s">
        <v>150</v>
      </c>
      <c r="AP7">
        <v>200</v>
      </c>
      <c r="AQ7">
        <v>870849</v>
      </c>
      <c r="AR7" s="3">
        <f t="shared" si="11"/>
        <v>870918.5</v>
      </c>
      <c r="AS7">
        <v>6724</v>
      </c>
      <c r="AT7" s="3">
        <f t="shared" si="12"/>
        <v>6754.25</v>
      </c>
      <c r="AU7">
        <v>6705</v>
      </c>
      <c r="AV7" t="s">
        <v>150</v>
      </c>
      <c r="AW7">
        <v>150</v>
      </c>
      <c r="AX7">
        <v>330233</v>
      </c>
      <c r="AY7" s="3">
        <f t="shared" si="13"/>
        <v>327453.25</v>
      </c>
    </row>
    <row r="8" spans="1:51" x14ac:dyDescent="0.25">
      <c r="A8">
        <v>2021</v>
      </c>
      <c r="B8">
        <v>3</v>
      </c>
      <c r="C8">
        <v>92764</v>
      </c>
      <c r="D8" s="3">
        <f t="shared" si="0"/>
        <v>89750.5</v>
      </c>
      <c r="E8">
        <v>89753</v>
      </c>
      <c r="F8" t="s">
        <v>150</v>
      </c>
      <c r="G8">
        <v>250</v>
      </c>
      <c r="H8">
        <v>5123474</v>
      </c>
      <c r="I8" s="3">
        <f t="shared" si="1"/>
        <v>4941026.75</v>
      </c>
      <c r="J8">
        <v>11823</v>
      </c>
      <c r="K8" s="3">
        <f t="shared" si="2"/>
        <v>11527.25</v>
      </c>
      <c r="L8">
        <v>11676</v>
      </c>
      <c r="M8" t="s">
        <v>150</v>
      </c>
      <c r="N8">
        <v>150</v>
      </c>
      <c r="O8">
        <v>618078</v>
      </c>
      <c r="P8" s="3">
        <f t="shared" si="3"/>
        <v>597702.75</v>
      </c>
      <c r="Q8">
        <v>8055</v>
      </c>
      <c r="R8" s="3">
        <f t="shared" si="4"/>
        <v>7644.25</v>
      </c>
      <c r="S8">
        <v>7775</v>
      </c>
      <c r="T8" t="s">
        <v>150</v>
      </c>
      <c r="U8">
        <v>75</v>
      </c>
      <c r="V8">
        <v>617942</v>
      </c>
      <c r="W8" s="3">
        <f t="shared" si="5"/>
        <v>587277</v>
      </c>
      <c r="X8">
        <v>6355</v>
      </c>
      <c r="Y8" s="3">
        <f t="shared" si="6"/>
        <v>6043</v>
      </c>
      <c r="Z8">
        <v>5897</v>
      </c>
      <c r="AA8" t="s">
        <v>150</v>
      </c>
      <c r="AB8">
        <v>50</v>
      </c>
      <c r="AC8">
        <v>223788</v>
      </c>
      <c r="AD8" s="3">
        <f t="shared" si="7"/>
        <v>218628.25</v>
      </c>
      <c r="AE8">
        <v>11506</v>
      </c>
      <c r="AF8" s="3">
        <f t="shared" si="8"/>
        <v>11716.25</v>
      </c>
      <c r="AG8">
        <v>11166</v>
      </c>
      <c r="AH8" t="s">
        <v>150</v>
      </c>
      <c r="AI8">
        <v>150</v>
      </c>
      <c r="AJ8">
        <v>526819</v>
      </c>
      <c r="AK8" s="3">
        <f t="shared" si="9"/>
        <v>532849</v>
      </c>
      <c r="AL8">
        <v>17184</v>
      </c>
      <c r="AM8" s="3">
        <f t="shared" si="10"/>
        <v>16133</v>
      </c>
      <c r="AN8">
        <v>16292</v>
      </c>
      <c r="AO8" t="s">
        <v>150</v>
      </c>
      <c r="AP8">
        <v>200</v>
      </c>
      <c r="AQ8">
        <v>917847</v>
      </c>
      <c r="AR8" s="3">
        <f t="shared" si="11"/>
        <v>874860.25</v>
      </c>
      <c r="AS8">
        <v>6359</v>
      </c>
      <c r="AT8" s="3">
        <f t="shared" si="12"/>
        <v>6637.75</v>
      </c>
      <c r="AU8">
        <v>6825</v>
      </c>
      <c r="AV8" t="s">
        <v>150</v>
      </c>
      <c r="AW8">
        <v>150</v>
      </c>
      <c r="AX8">
        <v>336438</v>
      </c>
      <c r="AY8" s="3">
        <f t="shared" si="13"/>
        <v>329934</v>
      </c>
    </row>
    <row r="9" spans="1:51" x14ac:dyDescent="0.25">
      <c r="A9">
        <v>2021</v>
      </c>
      <c r="B9">
        <v>4</v>
      </c>
      <c r="C9">
        <v>91044</v>
      </c>
      <c r="D9" s="3">
        <f t="shared" si="0"/>
        <v>90338</v>
      </c>
      <c r="E9">
        <v>88694</v>
      </c>
      <c r="F9" t="s">
        <v>150</v>
      </c>
      <c r="G9">
        <v>250</v>
      </c>
      <c r="H9">
        <v>5025336</v>
      </c>
      <c r="I9" s="3">
        <f t="shared" si="1"/>
        <v>4975827</v>
      </c>
      <c r="J9">
        <v>11417</v>
      </c>
      <c r="K9" s="3">
        <f t="shared" si="2"/>
        <v>11539.5</v>
      </c>
      <c r="L9">
        <v>11368</v>
      </c>
      <c r="M9" t="s">
        <v>150</v>
      </c>
      <c r="N9">
        <v>150</v>
      </c>
      <c r="O9">
        <v>601311</v>
      </c>
      <c r="P9" s="3">
        <f t="shared" si="3"/>
        <v>601123.5</v>
      </c>
      <c r="Q9">
        <v>7652</v>
      </c>
      <c r="R9" s="3">
        <f t="shared" si="4"/>
        <v>7692.25</v>
      </c>
      <c r="S9">
        <v>7460</v>
      </c>
      <c r="T9" t="s">
        <v>150</v>
      </c>
      <c r="U9">
        <v>75</v>
      </c>
      <c r="V9">
        <v>590380</v>
      </c>
      <c r="W9" s="3">
        <f t="shared" si="5"/>
        <v>590699.25</v>
      </c>
      <c r="X9">
        <v>6341</v>
      </c>
      <c r="Y9" s="3">
        <f t="shared" si="6"/>
        <v>6171</v>
      </c>
      <c r="Z9">
        <v>5829</v>
      </c>
      <c r="AA9" t="s">
        <v>150</v>
      </c>
      <c r="AB9">
        <v>50</v>
      </c>
      <c r="AC9">
        <v>227436</v>
      </c>
      <c r="AD9" s="3">
        <f t="shared" si="7"/>
        <v>221679.25</v>
      </c>
      <c r="AE9">
        <v>9474</v>
      </c>
      <c r="AF9" s="3">
        <f t="shared" si="8"/>
        <v>11157</v>
      </c>
      <c r="AG9">
        <v>11711</v>
      </c>
      <c r="AH9" t="s">
        <v>150</v>
      </c>
      <c r="AI9">
        <v>150</v>
      </c>
      <c r="AJ9">
        <v>538340</v>
      </c>
      <c r="AK9" s="3">
        <f t="shared" si="9"/>
        <v>534004.75</v>
      </c>
      <c r="AL9">
        <v>16231</v>
      </c>
      <c r="AM9" s="3">
        <f t="shared" si="10"/>
        <v>16247</v>
      </c>
      <c r="AN9">
        <v>15775</v>
      </c>
      <c r="AO9" t="s">
        <v>150</v>
      </c>
      <c r="AP9">
        <v>200</v>
      </c>
      <c r="AQ9">
        <v>864875</v>
      </c>
      <c r="AR9" s="3">
        <f t="shared" si="11"/>
        <v>875474.5</v>
      </c>
      <c r="AS9">
        <v>6309</v>
      </c>
      <c r="AT9" s="3">
        <f t="shared" si="12"/>
        <v>6543</v>
      </c>
      <c r="AU9">
        <v>6688</v>
      </c>
      <c r="AV9" t="s">
        <v>150</v>
      </c>
      <c r="AW9">
        <v>150</v>
      </c>
      <c r="AX9">
        <v>329110</v>
      </c>
      <c r="AY9" s="3">
        <f t="shared" si="13"/>
        <v>331570</v>
      </c>
    </row>
    <row r="10" spans="1:51" x14ac:dyDescent="0.25">
      <c r="A10">
        <v>2022</v>
      </c>
      <c r="B10">
        <v>1</v>
      </c>
      <c r="C10">
        <v>90515</v>
      </c>
      <c r="D10" s="3">
        <f t="shared" si="0"/>
        <v>91014</v>
      </c>
      <c r="E10">
        <v>87811</v>
      </c>
      <c r="F10" t="s">
        <v>150</v>
      </c>
      <c r="G10">
        <v>250</v>
      </c>
      <c r="H10">
        <v>4999952</v>
      </c>
      <c r="I10" s="3">
        <f t="shared" si="1"/>
        <v>5019590.25</v>
      </c>
      <c r="J10">
        <v>11357</v>
      </c>
      <c r="K10" s="3">
        <f t="shared" si="2"/>
        <v>11527</v>
      </c>
      <c r="L10">
        <v>11407</v>
      </c>
      <c r="M10" t="s">
        <v>150</v>
      </c>
      <c r="N10">
        <v>150</v>
      </c>
      <c r="O10">
        <v>602082</v>
      </c>
      <c r="P10" s="3">
        <f t="shared" si="3"/>
        <v>604723</v>
      </c>
      <c r="Q10">
        <v>7690</v>
      </c>
      <c r="R10" s="3">
        <f t="shared" si="4"/>
        <v>7748.5</v>
      </c>
      <c r="S10">
        <v>7465</v>
      </c>
      <c r="T10" t="s">
        <v>150</v>
      </c>
      <c r="U10">
        <v>75</v>
      </c>
      <c r="V10">
        <v>589636</v>
      </c>
      <c r="W10" s="3">
        <f t="shared" si="5"/>
        <v>595258.75</v>
      </c>
      <c r="X10">
        <v>6390</v>
      </c>
      <c r="Y10" s="3">
        <f t="shared" si="6"/>
        <v>6295.5</v>
      </c>
      <c r="Z10">
        <v>5892</v>
      </c>
      <c r="AA10" t="s">
        <v>150</v>
      </c>
      <c r="AB10">
        <v>50</v>
      </c>
      <c r="AC10">
        <v>229939</v>
      </c>
      <c r="AD10" s="3">
        <f t="shared" si="7"/>
        <v>225240.25</v>
      </c>
      <c r="AE10">
        <v>9512</v>
      </c>
      <c r="AF10" s="3">
        <f t="shared" si="8"/>
        <v>10603</v>
      </c>
      <c r="AG10">
        <v>11728</v>
      </c>
      <c r="AH10" t="s">
        <v>150</v>
      </c>
      <c r="AI10">
        <v>150</v>
      </c>
      <c r="AJ10">
        <v>537449</v>
      </c>
      <c r="AK10" s="3">
        <f t="shared" si="9"/>
        <v>535284</v>
      </c>
      <c r="AL10">
        <v>16128</v>
      </c>
      <c r="AM10" s="3">
        <f t="shared" si="10"/>
        <v>16384</v>
      </c>
      <c r="AN10">
        <v>15580</v>
      </c>
      <c r="AO10" t="s">
        <v>150</v>
      </c>
      <c r="AP10">
        <v>200</v>
      </c>
      <c r="AQ10">
        <v>862976</v>
      </c>
      <c r="AR10" s="3">
        <f t="shared" si="11"/>
        <v>879136.75</v>
      </c>
      <c r="AS10">
        <v>6364</v>
      </c>
      <c r="AT10" s="3">
        <f t="shared" si="12"/>
        <v>6439</v>
      </c>
      <c r="AU10">
        <v>6780</v>
      </c>
      <c r="AV10" t="s">
        <v>150</v>
      </c>
      <c r="AW10">
        <v>150</v>
      </c>
      <c r="AX10">
        <v>329474</v>
      </c>
      <c r="AY10" s="3">
        <f t="shared" si="13"/>
        <v>331313.75</v>
      </c>
    </row>
    <row r="11" spans="1:51" x14ac:dyDescent="0.25">
      <c r="A11">
        <v>2022</v>
      </c>
      <c r="B11">
        <v>2</v>
      </c>
      <c r="C11">
        <v>92139</v>
      </c>
      <c r="D11" s="3">
        <f t="shared" si="0"/>
        <v>91615.5</v>
      </c>
      <c r="E11">
        <v>89733</v>
      </c>
      <c r="F11" t="s">
        <v>150</v>
      </c>
      <c r="G11">
        <v>250</v>
      </c>
      <c r="H11">
        <v>5113791</v>
      </c>
      <c r="I11" s="3">
        <f t="shared" si="1"/>
        <v>5065638.25</v>
      </c>
      <c r="J11">
        <v>11399</v>
      </c>
      <c r="K11" s="3">
        <f t="shared" si="2"/>
        <v>11499</v>
      </c>
      <c r="L11">
        <v>11511</v>
      </c>
      <c r="M11" t="s">
        <v>150</v>
      </c>
      <c r="N11">
        <v>150</v>
      </c>
      <c r="O11">
        <v>612649</v>
      </c>
      <c r="P11" s="3">
        <f t="shared" si="3"/>
        <v>608530</v>
      </c>
      <c r="Q11">
        <v>7866</v>
      </c>
      <c r="R11" s="3">
        <f t="shared" si="4"/>
        <v>7815.75</v>
      </c>
      <c r="S11">
        <v>7597</v>
      </c>
      <c r="T11" t="s">
        <v>150</v>
      </c>
      <c r="U11">
        <v>75</v>
      </c>
      <c r="V11">
        <v>600574</v>
      </c>
      <c r="W11" s="3">
        <f t="shared" si="5"/>
        <v>599633</v>
      </c>
      <c r="X11">
        <v>6467</v>
      </c>
      <c r="Y11" s="3">
        <f t="shared" si="6"/>
        <v>6388.25</v>
      </c>
      <c r="Z11">
        <v>6096</v>
      </c>
      <c r="AA11" t="s">
        <v>150</v>
      </c>
      <c r="AB11">
        <v>50</v>
      </c>
      <c r="AC11">
        <v>234797</v>
      </c>
      <c r="AD11" s="3">
        <f t="shared" si="7"/>
        <v>228990</v>
      </c>
      <c r="AE11">
        <v>9642</v>
      </c>
      <c r="AF11" s="3">
        <f t="shared" si="8"/>
        <v>10033.5</v>
      </c>
      <c r="AG11">
        <v>11920</v>
      </c>
      <c r="AH11" t="s">
        <v>150</v>
      </c>
      <c r="AI11">
        <v>150</v>
      </c>
      <c r="AJ11">
        <v>542396</v>
      </c>
      <c r="AK11" s="3">
        <f t="shared" si="9"/>
        <v>536251</v>
      </c>
      <c r="AL11">
        <v>16311</v>
      </c>
      <c r="AM11" s="3">
        <f t="shared" si="10"/>
        <v>16463.5</v>
      </c>
      <c r="AN11">
        <v>15993</v>
      </c>
      <c r="AO11" t="s">
        <v>150</v>
      </c>
      <c r="AP11">
        <v>200</v>
      </c>
      <c r="AQ11">
        <v>875230</v>
      </c>
      <c r="AR11" s="3">
        <f t="shared" si="11"/>
        <v>880232</v>
      </c>
      <c r="AS11">
        <v>6448</v>
      </c>
      <c r="AT11" s="3">
        <f t="shared" si="12"/>
        <v>6370</v>
      </c>
      <c r="AU11">
        <v>6724</v>
      </c>
      <c r="AV11" t="s">
        <v>150</v>
      </c>
      <c r="AW11">
        <v>150</v>
      </c>
      <c r="AX11">
        <v>334541</v>
      </c>
      <c r="AY11" s="3">
        <f t="shared" si="13"/>
        <v>332390.75</v>
      </c>
    </row>
    <row r="12" spans="1:51" x14ac:dyDescent="0.25">
      <c r="A12">
        <v>2022</v>
      </c>
      <c r="B12">
        <v>3</v>
      </c>
      <c r="C12">
        <v>94503</v>
      </c>
      <c r="D12" s="3">
        <f t="shared" si="0"/>
        <v>92050.25</v>
      </c>
      <c r="E12">
        <v>92764</v>
      </c>
      <c r="F12" t="s">
        <v>150</v>
      </c>
      <c r="G12">
        <v>250</v>
      </c>
      <c r="H12">
        <v>5274380</v>
      </c>
      <c r="I12" s="3">
        <f t="shared" si="1"/>
        <v>5103364.75</v>
      </c>
      <c r="J12">
        <v>11781</v>
      </c>
      <c r="K12" s="3">
        <f t="shared" si="2"/>
        <v>11488.5</v>
      </c>
      <c r="L12">
        <v>11823</v>
      </c>
      <c r="M12" t="s">
        <v>150</v>
      </c>
      <c r="N12">
        <v>150</v>
      </c>
      <c r="O12">
        <v>633667</v>
      </c>
      <c r="P12" s="3">
        <f t="shared" si="3"/>
        <v>612427.25</v>
      </c>
      <c r="Q12">
        <v>8272</v>
      </c>
      <c r="R12" s="3">
        <f t="shared" si="4"/>
        <v>7870</v>
      </c>
      <c r="S12">
        <v>8055</v>
      </c>
      <c r="T12" t="s">
        <v>150</v>
      </c>
      <c r="U12">
        <v>75</v>
      </c>
      <c r="V12">
        <v>632919</v>
      </c>
      <c r="W12" s="3">
        <f t="shared" si="5"/>
        <v>603377.25</v>
      </c>
      <c r="X12">
        <v>6655</v>
      </c>
      <c r="Y12" s="3">
        <f t="shared" si="6"/>
        <v>6463.25</v>
      </c>
      <c r="Z12">
        <v>6355</v>
      </c>
      <c r="AA12" t="s">
        <v>150</v>
      </c>
      <c r="AB12">
        <v>50</v>
      </c>
      <c r="AC12">
        <v>238751</v>
      </c>
      <c r="AD12" s="3">
        <f t="shared" si="7"/>
        <v>232730.75</v>
      </c>
      <c r="AE12">
        <v>9189</v>
      </c>
      <c r="AF12" s="3">
        <f t="shared" si="8"/>
        <v>9454.25</v>
      </c>
      <c r="AG12">
        <v>11506</v>
      </c>
      <c r="AH12" t="s">
        <v>150</v>
      </c>
      <c r="AI12">
        <v>150</v>
      </c>
      <c r="AJ12">
        <v>527556</v>
      </c>
      <c r="AK12" s="3">
        <f t="shared" si="9"/>
        <v>536435.25</v>
      </c>
      <c r="AL12">
        <v>16993</v>
      </c>
      <c r="AM12" s="3">
        <f t="shared" si="10"/>
        <v>16415.75</v>
      </c>
      <c r="AN12">
        <v>17184</v>
      </c>
      <c r="AO12" t="s">
        <v>150</v>
      </c>
      <c r="AP12">
        <v>200</v>
      </c>
      <c r="AQ12">
        <v>914306</v>
      </c>
      <c r="AR12" s="3">
        <f t="shared" si="11"/>
        <v>879346.75</v>
      </c>
      <c r="AS12">
        <v>6524</v>
      </c>
      <c r="AT12" s="3">
        <f t="shared" si="12"/>
        <v>6411.25</v>
      </c>
      <c r="AU12">
        <v>6359</v>
      </c>
      <c r="AV12" t="s">
        <v>150</v>
      </c>
      <c r="AW12">
        <v>150</v>
      </c>
      <c r="AX12">
        <v>342501</v>
      </c>
      <c r="AY12" s="3">
        <f t="shared" si="13"/>
        <v>333906.5</v>
      </c>
    </row>
    <row r="13" spans="1:51" x14ac:dyDescent="0.25">
      <c r="A13">
        <v>2022</v>
      </c>
      <c r="B13">
        <v>4</v>
      </c>
      <c r="C13">
        <v>93215</v>
      </c>
      <c r="D13" s="3">
        <f t="shared" si="0"/>
        <v>92593</v>
      </c>
      <c r="E13">
        <v>91044</v>
      </c>
      <c r="F13" t="s">
        <v>150</v>
      </c>
      <c r="G13">
        <v>250</v>
      </c>
      <c r="H13">
        <v>5145998</v>
      </c>
      <c r="I13" s="3">
        <f t="shared" si="1"/>
        <v>5133530.25</v>
      </c>
      <c r="J13">
        <v>11401</v>
      </c>
      <c r="K13" s="3">
        <f t="shared" si="2"/>
        <v>11484.5</v>
      </c>
      <c r="L13">
        <v>11417</v>
      </c>
      <c r="M13" t="s">
        <v>150</v>
      </c>
      <c r="N13">
        <v>150</v>
      </c>
      <c r="O13">
        <v>611824</v>
      </c>
      <c r="P13" s="3">
        <f t="shared" si="3"/>
        <v>615055.5</v>
      </c>
      <c r="Q13">
        <v>7709</v>
      </c>
      <c r="R13" s="3">
        <f t="shared" si="4"/>
        <v>7884.25</v>
      </c>
      <c r="S13">
        <v>7652</v>
      </c>
      <c r="T13" t="s">
        <v>150</v>
      </c>
      <c r="U13">
        <v>75</v>
      </c>
      <c r="V13">
        <v>600001</v>
      </c>
      <c r="W13" s="3">
        <f t="shared" si="5"/>
        <v>605782.5</v>
      </c>
      <c r="X13">
        <v>6769</v>
      </c>
      <c r="Y13" s="3">
        <f t="shared" si="6"/>
        <v>6570.25</v>
      </c>
      <c r="Z13">
        <v>6341</v>
      </c>
      <c r="AA13" t="s">
        <v>150</v>
      </c>
      <c r="AB13">
        <v>50</v>
      </c>
      <c r="AC13">
        <v>241379</v>
      </c>
      <c r="AD13" s="3">
        <f t="shared" si="7"/>
        <v>236216.5</v>
      </c>
      <c r="AE13">
        <v>9445</v>
      </c>
      <c r="AF13" s="3">
        <f t="shared" si="8"/>
        <v>9447</v>
      </c>
      <c r="AG13">
        <v>9474</v>
      </c>
      <c r="AH13" t="s">
        <v>150</v>
      </c>
      <c r="AI13">
        <v>150</v>
      </c>
      <c r="AJ13">
        <v>541003</v>
      </c>
      <c r="AK13" s="3">
        <f t="shared" si="9"/>
        <v>537101</v>
      </c>
      <c r="AL13">
        <v>16490</v>
      </c>
      <c r="AM13" s="3">
        <f t="shared" si="10"/>
        <v>16480.5</v>
      </c>
      <c r="AN13">
        <v>16231</v>
      </c>
      <c r="AO13" t="s">
        <v>150</v>
      </c>
      <c r="AP13">
        <v>200</v>
      </c>
      <c r="AQ13">
        <v>869374</v>
      </c>
      <c r="AR13" s="3">
        <f t="shared" si="11"/>
        <v>880471.5</v>
      </c>
      <c r="AS13">
        <v>6582</v>
      </c>
      <c r="AT13" s="3">
        <f t="shared" si="12"/>
        <v>6479.5</v>
      </c>
      <c r="AU13">
        <v>6309</v>
      </c>
      <c r="AV13" t="s">
        <v>150</v>
      </c>
      <c r="AW13">
        <v>150</v>
      </c>
      <c r="AX13">
        <v>338408</v>
      </c>
      <c r="AY13" s="3">
        <f t="shared" si="13"/>
        <v>336231</v>
      </c>
    </row>
    <row r="14" spans="1:51" x14ac:dyDescent="0.25">
      <c r="A14">
        <v>2023</v>
      </c>
      <c r="B14">
        <v>1</v>
      </c>
      <c r="C14">
        <v>92984</v>
      </c>
      <c r="D14" s="3">
        <f t="shared" si="0"/>
        <v>93210.25</v>
      </c>
      <c r="E14">
        <v>90515</v>
      </c>
      <c r="F14" t="s">
        <v>150</v>
      </c>
      <c r="G14">
        <v>250</v>
      </c>
      <c r="H14">
        <v>5090169</v>
      </c>
      <c r="I14" s="3">
        <f t="shared" si="1"/>
        <v>5156084.5</v>
      </c>
      <c r="J14">
        <v>11464</v>
      </c>
      <c r="K14" s="3">
        <f t="shared" si="2"/>
        <v>11511.25</v>
      </c>
      <c r="L14">
        <v>11357</v>
      </c>
      <c r="M14" t="s">
        <v>150</v>
      </c>
      <c r="N14">
        <v>150</v>
      </c>
      <c r="O14">
        <v>609360</v>
      </c>
      <c r="P14" s="3">
        <f t="shared" si="3"/>
        <v>616875</v>
      </c>
      <c r="Q14">
        <v>7648</v>
      </c>
      <c r="R14" s="3">
        <f t="shared" si="4"/>
        <v>7873.75</v>
      </c>
      <c r="S14">
        <v>7690</v>
      </c>
      <c r="T14" t="s">
        <v>150</v>
      </c>
      <c r="U14">
        <v>75</v>
      </c>
      <c r="V14">
        <v>594280</v>
      </c>
      <c r="W14" s="3">
        <f t="shared" si="5"/>
        <v>606943.5</v>
      </c>
      <c r="X14">
        <v>6904</v>
      </c>
      <c r="Y14" s="3">
        <f t="shared" si="6"/>
        <v>6698.75</v>
      </c>
      <c r="Z14">
        <v>6390</v>
      </c>
      <c r="AA14" t="s">
        <v>150</v>
      </c>
      <c r="AB14">
        <v>50</v>
      </c>
      <c r="AC14">
        <v>242355</v>
      </c>
      <c r="AD14" s="3">
        <f t="shared" si="7"/>
        <v>239320.5</v>
      </c>
      <c r="AE14">
        <v>9428</v>
      </c>
      <c r="AF14" s="3">
        <f t="shared" si="8"/>
        <v>9426</v>
      </c>
      <c r="AG14">
        <v>9512</v>
      </c>
      <c r="AH14" t="s">
        <v>150</v>
      </c>
      <c r="AI14">
        <v>150</v>
      </c>
      <c r="AJ14">
        <v>541740</v>
      </c>
      <c r="AK14" s="3">
        <f t="shared" si="9"/>
        <v>538173.75</v>
      </c>
      <c r="AL14">
        <v>16369</v>
      </c>
      <c r="AM14" s="3">
        <f t="shared" si="10"/>
        <v>16540.75</v>
      </c>
      <c r="AN14">
        <v>16128</v>
      </c>
      <c r="AO14" t="s">
        <v>150</v>
      </c>
      <c r="AP14">
        <v>200</v>
      </c>
      <c r="AQ14">
        <v>862925</v>
      </c>
      <c r="AR14" s="3">
        <f t="shared" si="11"/>
        <v>880458.75</v>
      </c>
      <c r="AS14">
        <v>6917</v>
      </c>
      <c r="AT14" s="3">
        <f t="shared" si="12"/>
        <v>6617.75</v>
      </c>
      <c r="AU14">
        <v>6364</v>
      </c>
      <c r="AV14" t="s">
        <v>150</v>
      </c>
      <c r="AW14">
        <v>150</v>
      </c>
      <c r="AX14">
        <v>339648</v>
      </c>
      <c r="AY14" s="3">
        <f t="shared" si="13"/>
        <v>338774.5</v>
      </c>
    </row>
    <row r="15" spans="1:51" x14ac:dyDescent="0.25">
      <c r="A15">
        <v>2023</v>
      </c>
      <c r="B15">
        <v>2</v>
      </c>
      <c r="C15">
        <v>94406</v>
      </c>
      <c r="D15" s="3">
        <f t="shared" si="0"/>
        <v>93777</v>
      </c>
      <c r="E15">
        <v>92139</v>
      </c>
      <c r="F15" t="s">
        <v>150</v>
      </c>
      <c r="G15">
        <v>250</v>
      </c>
      <c r="H15">
        <v>5177641</v>
      </c>
      <c r="I15" s="3">
        <f t="shared" si="1"/>
        <v>5172047</v>
      </c>
      <c r="J15">
        <v>11616</v>
      </c>
      <c r="K15" s="3">
        <f t="shared" si="2"/>
        <v>11565.5</v>
      </c>
      <c r="L15">
        <v>11399</v>
      </c>
      <c r="M15" t="s">
        <v>150</v>
      </c>
      <c r="N15">
        <v>150</v>
      </c>
      <c r="O15">
        <v>617612</v>
      </c>
      <c r="P15" s="3">
        <f t="shared" si="3"/>
        <v>618115.75</v>
      </c>
      <c r="Q15">
        <v>7782</v>
      </c>
      <c r="R15" s="3">
        <f t="shared" si="4"/>
        <v>7852.75</v>
      </c>
      <c r="S15">
        <v>7866</v>
      </c>
      <c r="T15" t="s">
        <v>150</v>
      </c>
      <c r="U15">
        <v>75</v>
      </c>
      <c r="V15">
        <v>603612</v>
      </c>
      <c r="W15" s="3">
        <f t="shared" si="5"/>
        <v>607703</v>
      </c>
      <c r="X15">
        <v>7048</v>
      </c>
      <c r="Y15" s="3">
        <f t="shared" si="6"/>
        <v>6844</v>
      </c>
      <c r="Z15">
        <v>6467</v>
      </c>
      <c r="AA15" t="s">
        <v>150</v>
      </c>
      <c r="AB15">
        <v>50</v>
      </c>
      <c r="AC15">
        <v>244821</v>
      </c>
      <c r="AD15" s="3">
        <f t="shared" si="7"/>
        <v>241826.5</v>
      </c>
      <c r="AE15">
        <v>9539</v>
      </c>
      <c r="AF15" s="3">
        <f t="shared" si="8"/>
        <v>9400.25</v>
      </c>
      <c r="AG15">
        <v>9642</v>
      </c>
      <c r="AH15" t="s">
        <v>150</v>
      </c>
      <c r="AI15">
        <v>150</v>
      </c>
      <c r="AJ15">
        <v>546144</v>
      </c>
      <c r="AK15" s="3">
        <f t="shared" si="9"/>
        <v>539110.75</v>
      </c>
      <c r="AL15">
        <v>16968</v>
      </c>
      <c r="AM15" s="3">
        <f t="shared" si="10"/>
        <v>16705</v>
      </c>
      <c r="AN15">
        <v>16311</v>
      </c>
      <c r="AO15" t="s">
        <v>150</v>
      </c>
      <c r="AP15">
        <v>200</v>
      </c>
      <c r="AQ15">
        <v>879406</v>
      </c>
      <c r="AR15" s="3">
        <f t="shared" si="11"/>
        <v>881502.75</v>
      </c>
      <c r="AS15">
        <v>6635</v>
      </c>
      <c r="AT15" s="3">
        <f t="shared" si="12"/>
        <v>6664.5</v>
      </c>
      <c r="AU15">
        <v>6448</v>
      </c>
      <c r="AV15" t="s">
        <v>150</v>
      </c>
      <c r="AW15">
        <v>150</v>
      </c>
      <c r="AX15">
        <v>345895</v>
      </c>
      <c r="AY15" s="3">
        <f t="shared" si="13"/>
        <v>341613</v>
      </c>
    </row>
    <row r="16" spans="1:51" x14ac:dyDescent="0.25">
      <c r="A16">
        <v>2023</v>
      </c>
      <c r="B16">
        <v>3</v>
      </c>
      <c r="C16">
        <v>96814</v>
      </c>
      <c r="D16" s="3">
        <f t="shared" si="0"/>
        <v>94354.75</v>
      </c>
      <c r="E16">
        <v>94503</v>
      </c>
      <c r="F16" t="s">
        <v>150</v>
      </c>
      <c r="G16">
        <v>250</v>
      </c>
      <c r="H16">
        <v>5316216</v>
      </c>
      <c r="I16" s="3">
        <f t="shared" si="1"/>
        <v>5182506</v>
      </c>
      <c r="J16">
        <v>12106</v>
      </c>
      <c r="K16" s="3">
        <f t="shared" si="2"/>
        <v>11646.75</v>
      </c>
      <c r="L16">
        <v>11781</v>
      </c>
      <c r="M16" t="s">
        <v>150</v>
      </c>
      <c r="N16">
        <v>150</v>
      </c>
      <c r="O16">
        <v>636352</v>
      </c>
      <c r="P16" s="3">
        <f t="shared" si="3"/>
        <v>618787</v>
      </c>
      <c r="Q16">
        <v>8206</v>
      </c>
      <c r="R16" s="3">
        <f t="shared" si="4"/>
        <v>7836.25</v>
      </c>
      <c r="S16">
        <v>8272</v>
      </c>
      <c r="T16" t="s">
        <v>150</v>
      </c>
      <c r="U16">
        <v>75</v>
      </c>
      <c r="V16">
        <v>635605</v>
      </c>
      <c r="W16" s="3">
        <f t="shared" si="5"/>
        <v>608374.5</v>
      </c>
      <c r="X16">
        <v>7308</v>
      </c>
      <c r="Y16" s="3">
        <f t="shared" si="6"/>
        <v>7007.25</v>
      </c>
      <c r="Z16">
        <v>6655</v>
      </c>
      <c r="AA16" t="s">
        <v>150</v>
      </c>
      <c r="AB16">
        <v>50</v>
      </c>
      <c r="AC16">
        <v>246364</v>
      </c>
      <c r="AD16" s="3">
        <f t="shared" si="7"/>
        <v>243729.75</v>
      </c>
      <c r="AE16">
        <v>9028</v>
      </c>
      <c r="AF16" s="3">
        <f t="shared" si="8"/>
        <v>9360</v>
      </c>
      <c r="AG16">
        <v>9189</v>
      </c>
      <c r="AH16" t="s">
        <v>150</v>
      </c>
      <c r="AI16">
        <v>150</v>
      </c>
      <c r="AJ16">
        <v>529064</v>
      </c>
      <c r="AK16" s="3">
        <f t="shared" si="9"/>
        <v>539487.75</v>
      </c>
      <c r="AL16">
        <v>17554</v>
      </c>
      <c r="AM16" s="3">
        <f t="shared" si="10"/>
        <v>16845.25</v>
      </c>
      <c r="AN16">
        <v>16993</v>
      </c>
      <c r="AO16" t="s">
        <v>150</v>
      </c>
      <c r="AP16">
        <v>200</v>
      </c>
      <c r="AQ16">
        <v>919775</v>
      </c>
      <c r="AR16" s="3">
        <f t="shared" si="11"/>
        <v>882870</v>
      </c>
      <c r="AS16">
        <v>7313</v>
      </c>
      <c r="AT16" s="3">
        <f t="shared" si="12"/>
        <v>6861.75</v>
      </c>
      <c r="AU16">
        <v>6524</v>
      </c>
      <c r="AV16" t="s">
        <v>150</v>
      </c>
      <c r="AW16">
        <v>150</v>
      </c>
      <c r="AX16">
        <v>352799</v>
      </c>
      <c r="AY16" s="3">
        <f t="shared" si="13"/>
        <v>344187.5</v>
      </c>
    </row>
    <row r="17" spans="1:51" x14ac:dyDescent="0.25">
      <c r="A17">
        <v>2023</v>
      </c>
      <c r="B17">
        <v>4</v>
      </c>
      <c r="C17">
        <v>94964</v>
      </c>
      <c r="D17" s="3">
        <f t="shared" si="0"/>
        <v>94792</v>
      </c>
      <c r="E17">
        <v>93215</v>
      </c>
      <c r="F17" t="s">
        <v>150</v>
      </c>
      <c r="G17">
        <v>250</v>
      </c>
      <c r="H17">
        <v>5163785</v>
      </c>
      <c r="I17" s="3">
        <f t="shared" si="1"/>
        <v>5186952.75</v>
      </c>
      <c r="J17">
        <v>11896</v>
      </c>
      <c r="K17" s="3">
        <f t="shared" si="2"/>
        <v>11770.5</v>
      </c>
      <c r="L17">
        <v>11401</v>
      </c>
      <c r="M17" t="s">
        <v>150</v>
      </c>
      <c r="N17">
        <v>150</v>
      </c>
      <c r="O17">
        <v>615190</v>
      </c>
      <c r="P17" s="3">
        <f t="shared" si="3"/>
        <v>619628.5</v>
      </c>
      <c r="Q17">
        <v>7778</v>
      </c>
      <c r="R17" s="3">
        <f t="shared" si="4"/>
        <v>7853.5</v>
      </c>
      <c r="S17">
        <v>7709</v>
      </c>
      <c r="T17" t="s">
        <v>150</v>
      </c>
      <c r="U17">
        <v>75</v>
      </c>
      <c r="V17">
        <v>600057</v>
      </c>
      <c r="W17" s="3">
        <f t="shared" si="5"/>
        <v>608388.5</v>
      </c>
      <c r="X17">
        <v>7275</v>
      </c>
      <c r="Y17" s="3">
        <f t="shared" si="6"/>
        <v>7133.75</v>
      </c>
      <c r="Z17">
        <v>6769</v>
      </c>
      <c r="AA17" t="s">
        <v>150</v>
      </c>
      <c r="AB17">
        <v>50</v>
      </c>
      <c r="AC17">
        <v>245139</v>
      </c>
      <c r="AD17" s="3">
        <f t="shared" si="7"/>
        <v>244669.75</v>
      </c>
      <c r="AE17">
        <v>8717</v>
      </c>
      <c r="AF17" s="3">
        <f t="shared" si="8"/>
        <v>9178</v>
      </c>
      <c r="AG17">
        <v>9445</v>
      </c>
      <c r="AH17" t="s">
        <v>150</v>
      </c>
      <c r="AI17">
        <v>150</v>
      </c>
      <c r="AJ17">
        <v>537845</v>
      </c>
      <c r="AK17" s="3">
        <f t="shared" si="9"/>
        <v>538698.25</v>
      </c>
      <c r="AL17">
        <v>17105</v>
      </c>
      <c r="AM17" s="3">
        <f t="shared" si="10"/>
        <v>16999</v>
      </c>
      <c r="AN17">
        <v>16490</v>
      </c>
      <c r="AO17" t="s">
        <v>150</v>
      </c>
      <c r="AP17">
        <v>200</v>
      </c>
      <c r="AQ17">
        <v>877531</v>
      </c>
      <c r="AR17" s="3">
        <f t="shared" si="11"/>
        <v>884909.25</v>
      </c>
      <c r="AS17">
        <v>7027</v>
      </c>
      <c r="AT17" s="3">
        <f t="shared" si="12"/>
        <v>6973</v>
      </c>
      <c r="AU17">
        <v>6582</v>
      </c>
      <c r="AV17" t="s">
        <v>150</v>
      </c>
      <c r="AW17">
        <v>150</v>
      </c>
      <c r="AX17">
        <v>344757</v>
      </c>
      <c r="AY17" s="3">
        <f t="shared" si="13"/>
        <v>345774.75</v>
      </c>
    </row>
    <row r="18" spans="1:51" x14ac:dyDescent="0.25">
      <c r="A18">
        <v>2024</v>
      </c>
      <c r="B18">
        <v>1</v>
      </c>
      <c r="C18">
        <v>94105</v>
      </c>
      <c r="D18" s="3">
        <f t="shared" si="0"/>
        <v>95072.25</v>
      </c>
      <c r="E18">
        <v>92984</v>
      </c>
      <c r="F18" t="s">
        <v>150</v>
      </c>
      <c r="G18">
        <v>250</v>
      </c>
      <c r="H18">
        <v>5091118</v>
      </c>
      <c r="I18" s="3">
        <f t="shared" si="1"/>
        <v>5187190</v>
      </c>
      <c r="J18">
        <v>12031</v>
      </c>
      <c r="K18" s="3">
        <f t="shared" si="2"/>
        <v>11912.25</v>
      </c>
      <c r="L18">
        <v>11464</v>
      </c>
      <c r="M18" t="s">
        <v>150</v>
      </c>
      <c r="N18">
        <v>150</v>
      </c>
      <c r="O18">
        <v>611894</v>
      </c>
      <c r="P18" s="3">
        <f t="shared" si="3"/>
        <v>620262</v>
      </c>
      <c r="Q18">
        <v>7710</v>
      </c>
      <c r="R18" s="3">
        <f t="shared" si="4"/>
        <v>7869</v>
      </c>
      <c r="S18">
        <v>7648</v>
      </c>
      <c r="T18" t="s">
        <v>150</v>
      </c>
      <c r="U18">
        <v>75</v>
      </c>
      <c r="V18">
        <v>593314</v>
      </c>
      <c r="W18" s="3">
        <f t="shared" si="5"/>
        <v>608147</v>
      </c>
      <c r="X18">
        <v>7193</v>
      </c>
      <c r="Y18" s="3">
        <f t="shared" si="6"/>
        <v>7206</v>
      </c>
      <c r="Z18">
        <v>6904</v>
      </c>
      <c r="AA18" t="s">
        <v>150</v>
      </c>
      <c r="AB18">
        <v>50</v>
      </c>
      <c r="AC18">
        <v>241521</v>
      </c>
      <c r="AD18" s="3">
        <f t="shared" si="7"/>
        <v>244461.25</v>
      </c>
      <c r="AE18">
        <v>8378</v>
      </c>
      <c r="AF18" s="3">
        <f t="shared" si="8"/>
        <v>8915.5</v>
      </c>
      <c r="AG18">
        <v>9428</v>
      </c>
      <c r="AH18" t="s">
        <v>150</v>
      </c>
      <c r="AI18">
        <v>150</v>
      </c>
      <c r="AJ18">
        <v>534682</v>
      </c>
      <c r="AK18" s="3">
        <f t="shared" si="9"/>
        <v>536933.75</v>
      </c>
      <c r="AL18">
        <v>16868</v>
      </c>
      <c r="AM18" s="3">
        <f t="shared" si="10"/>
        <v>17123.75</v>
      </c>
      <c r="AN18">
        <v>16369</v>
      </c>
      <c r="AO18" t="s">
        <v>150</v>
      </c>
      <c r="AP18">
        <v>200</v>
      </c>
      <c r="AQ18">
        <v>871574</v>
      </c>
      <c r="AR18" s="3">
        <f t="shared" si="11"/>
        <v>887071.5</v>
      </c>
      <c r="AS18">
        <v>7203</v>
      </c>
      <c r="AT18" s="3">
        <f t="shared" si="12"/>
        <v>7044.5</v>
      </c>
      <c r="AU18">
        <v>6917</v>
      </c>
      <c r="AV18" t="s">
        <v>150</v>
      </c>
      <c r="AW18">
        <v>150</v>
      </c>
      <c r="AX18">
        <v>344968</v>
      </c>
      <c r="AY18" s="3">
        <f t="shared" si="13"/>
        <v>347104.75</v>
      </c>
    </row>
    <row r="19" spans="1:51" x14ac:dyDescent="0.25">
      <c r="A19">
        <v>2024</v>
      </c>
      <c r="B19">
        <v>2</v>
      </c>
      <c r="C19">
        <v>94888</v>
      </c>
      <c r="D19" s="3">
        <f t="shared" si="0"/>
        <v>95192.75</v>
      </c>
      <c r="E19">
        <v>94406</v>
      </c>
      <c r="F19" t="s">
        <v>150</v>
      </c>
      <c r="G19">
        <v>250</v>
      </c>
      <c r="H19">
        <v>5165231</v>
      </c>
      <c r="I19" s="3">
        <f t="shared" si="1"/>
        <v>5184087.5</v>
      </c>
      <c r="J19">
        <v>12310</v>
      </c>
      <c r="K19" s="3">
        <f t="shared" si="2"/>
        <v>12085.75</v>
      </c>
      <c r="L19">
        <v>11616</v>
      </c>
      <c r="M19" t="s">
        <v>150</v>
      </c>
      <c r="N19">
        <v>150</v>
      </c>
      <c r="O19">
        <v>620120</v>
      </c>
      <c r="P19" s="3">
        <f t="shared" si="3"/>
        <v>620889</v>
      </c>
      <c r="Q19">
        <v>7783</v>
      </c>
      <c r="R19" s="3">
        <f t="shared" si="4"/>
        <v>7869.25</v>
      </c>
      <c r="S19">
        <v>7782</v>
      </c>
      <c r="T19" t="s">
        <v>150</v>
      </c>
      <c r="U19">
        <v>75</v>
      </c>
      <c r="V19">
        <v>600454</v>
      </c>
      <c r="W19" s="3">
        <f t="shared" si="5"/>
        <v>607357.5</v>
      </c>
      <c r="X19">
        <v>7072</v>
      </c>
      <c r="Y19" s="3">
        <f t="shared" si="6"/>
        <v>7212</v>
      </c>
      <c r="Z19">
        <v>7048</v>
      </c>
      <c r="AA19" t="s">
        <v>150</v>
      </c>
      <c r="AB19">
        <v>50</v>
      </c>
      <c r="AC19">
        <v>240839</v>
      </c>
      <c r="AD19" s="3">
        <f t="shared" si="7"/>
        <v>243465.75</v>
      </c>
      <c r="AE19">
        <v>8432</v>
      </c>
      <c r="AF19" s="3">
        <f t="shared" si="8"/>
        <v>8638.75</v>
      </c>
      <c r="AG19">
        <v>9539</v>
      </c>
      <c r="AH19" t="s">
        <v>150</v>
      </c>
      <c r="AI19">
        <v>150</v>
      </c>
      <c r="AJ19">
        <v>537581</v>
      </c>
      <c r="AK19" s="3">
        <f t="shared" si="9"/>
        <v>534793</v>
      </c>
      <c r="AL19">
        <v>16747</v>
      </c>
      <c r="AM19" s="3">
        <f t="shared" si="10"/>
        <v>17068.5</v>
      </c>
      <c r="AN19">
        <v>16968</v>
      </c>
      <c r="AO19" t="s">
        <v>150</v>
      </c>
      <c r="AP19">
        <v>200</v>
      </c>
      <c r="AQ19">
        <v>889626</v>
      </c>
      <c r="AR19" s="3">
        <f t="shared" si="11"/>
        <v>889626.5</v>
      </c>
      <c r="AS19">
        <v>7447</v>
      </c>
      <c r="AT19" s="3">
        <f t="shared" si="12"/>
        <v>7247.5</v>
      </c>
      <c r="AU19">
        <v>6635</v>
      </c>
      <c r="AV19" t="s">
        <v>150</v>
      </c>
      <c r="AW19">
        <v>150</v>
      </c>
      <c r="AX19">
        <v>349518</v>
      </c>
      <c r="AY19" s="3">
        <f t="shared" si="13"/>
        <v>348010.5</v>
      </c>
    </row>
    <row r="20" spans="1:51" x14ac:dyDescent="0.25">
      <c r="A20">
        <v>2024</v>
      </c>
      <c r="B20">
        <v>3</v>
      </c>
      <c r="C20">
        <v>96547</v>
      </c>
      <c r="D20" s="3">
        <f t="shared" si="0"/>
        <v>95126</v>
      </c>
      <c r="E20">
        <v>96814</v>
      </c>
      <c r="F20" t="s">
        <v>150</v>
      </c>
      <c r="G20">
        <v>250</v>
      </c>
      <c r="H20">
        <v>5294624</v>
      </c>
      <c r="I20" s="3">
        <f t="shared" si="1"/>
        <v>5178689.5</v>
      </c>
      <c r="J20">
        <v>12786</v>
      </c>
      <c r="K20" s="3">
        <f t="shared" si="2"/>
        <v>12255.75</v>
      </c>
      <c r="L20">
        <v>12106</v>
      </c>
      <c r="M20" t="s">
        <v>150</v>
      </c>
      <c r="N20">
        <v>150</v>
      </c>
      <c r="O20">
        <v>637708</v>
      </c>
      <c r="P20" s="3">
        <f t="shared" si="3"/>
        <v>621228</v>
      </c>
      <c r="Q20">
        <v>8167</v>
      </c>
      <c r="R20" s="3">
        <f t="shared" si="4"/>
        <v>7859.5</v>
      </c>
      <c r="S20">
        <v>8206</v>
      </c>
      <c r="T20" t="s">
        <v>150</v>
      </c>
      <c r="U20">
        <v>75</v>
      </c>
      <c r="V20">
        <v>630210</v>
      </c>
      <c r="W20" s="3">
        <f t="shared" si="5"/>
        <v>606008.75</v>
      </c>
      <c r="X20">
        <v>7281</v>
      </c>
      <c r="Y20" s="3">
        <f t="shared" si="6"/>
        <v>7205.25</v>
      </c>
      <c r="Z20">
        <v>7308</v>
      </c>
      <c r="AA20" t="s">
        <v>150</v>
      </c>
      <c r="AB20">
        <v>50</v>
      </c>
      <c r="AC20">
        <v>240744</v>
      </c>
      <c r="AD20" s="3">
        <f t="shared" si="7"/>
        <v>242060.75</v>
      </c>
      <c r="AE20">
        <v>7980</v>
      </c>
      <c r="AF20" s="3">
        <f t="shared" si="8"/>
        <v>8376.75</v>
      </c>
      <c r="AG20">
        <v>9028</v>
      </c>
      <c r="AH20" t="s">
        <v>150</v>
      </c>
      <c r="AI20">
        <v>150</v>
      </c>
      <c r="AJ20">
        <v>519866</v>
      </c>
      <c r="AK20" s="3">
        <f t="shared" si="9"/>
        <v>532493.5</v>
      </c>
      <c r="AL20">
        <v>17561</v>
      </c>
      <c r="AM20" s="3">
        <f t="shared" si="10"/>
        <v>17070.25</v>
      </c>
      <c r="AN20">
        <v>17554</v>
      </c>
      <c r="AO20" t="s">
        <v>150</v>
      </c>
      <c r="AP20">
        <v>200</v>
      </c>
      <c r="AQ20">
        <v>931849</v>
      </c>
      <c r="AR20" s="3">
        <f t="shared" si="11"/>
        <v>892645</v>
      </c>
      <c r="AS20">
        <v>7487</v>
      </c>
      <c r="AT20" s="3">
        <f t="shared" si="12"/>
        <v>7291</v>
      </c>
      <c r="AU20">
        <v>7313</v>
      </c>
      <c r="AV20" t="s">
        <v>150</v>
      </c>
      <c r="AW20">
        <v>150</v>
      </c>
      <c r="AX20">
        <v>356058</v>
      </c>
      <c r="AY20" s="3">
        <f t="shared" si="13"/>
        <v>348825.25</v>
      </c>
    </row>
    <row r="21" spans="1:51" x14ac:dyDescent="0.25">
      <c r="A21">
        <v>2024</v>
      </c>
      <c r="B21">
        <v>4</v>
      </c>
      <c r="C21">
        <v>93361</v>
      </c>
      <c r="D21" s="3">
        <f t="shared" si="0"/>
        <v>94725.25</v>
      </c>
      <c r="E21">
        <v>94964</v>
      </c>
      <c r="F21" t="s">
        <v>150</v>
      </c>
      <c r="G21">
        <v>250</v>
      </c>
      <c r="H21">
        <v>5137906</v>
      </c>
      <c r="I21" s="3">
        <f t="shared" si="1"/>
        <v>5172219.75</v>
      </c>
      <c r="J21">
        <v>12613</v>
      </c>
      <c r="K21" s="3">
        <f t="shared" si="2"/>
        <v>12435</v>
      </c>
      <c r="L21">
        <v>11896</v>
      </c>
      <c r="M21" t="s">
        <v>150</v>
      </c>
      <c r="N21">
        <v>150</v>
      </c>
      <c r="O21">
        <v>615454</v>
      </c>
      <c r="P21" s="3">
        <f t="shared" si="3"/>
        <v>621294</v>
      </c>
      <c r="Q21">
        <v>7632</v>
      </c>
      <c r="R21" s="3">
        <f t="shared" si="4"/>
        <v>7823</v>
      </c>
      <c r="S21">
        <v>7778</v>
      </c>
      <c r="T21" t="s">
        <v>150</v>
      </c>
      <c r="U21">
        <v>75</v>
      </c>
      <c r="V21">
        <v>593376</v>
      </c>
      <c r="W21" s="3">
        <f t="shared" si="5"/>
        <v>604338.5</v>
      </c>
      <c r="X21">
        <v>7141</v>
      </c>
      <c r="Y21" s="3">
        <f t="shared" si="6"/>
        <v>7171.75</v>
      </c>
      <c r="Z21">
        <v>7275</v>
      </c>
      <c r="AA21" t="s">
        <v>150</v>
      </c>
      <c r="AB21">
        <v>50</v>
      </c>
      <c r="AC21">
        <v>239448</v>
      </c>
      <c r="AD21" s="3">
        <f t="shared" si="7"/>
        <v>240638</v>
      </c>
      <c r="AE21">
        <v>8189</v>
      </c>
      <c r="AF21" s="3">
        <f t="shared" si="8"/>
        <v>8244.75</v>
      </c>
      <c r="AG21">
        <v>8717</v>
      </c>
      <c r="AH21" t="s">
        <v>150</v>
      </c>
      <c r="AI21">
        <v>150</v>
      </c>
      <c r="AJ21">
        <v>531984</v>
      </c>
      <c r="AK21" s="3">
        <f t="shared" si="9"/>
        <v>531028.25</v>
      </c>
      <c r="AL21">
        <v>16308</v>
      </c>
      <c r="AM21" s="3">
        <f t="shared" si="10"/>
        <v>16871</v>
      </c>
      <c r="AN21">
        <v>17105</v>
      </c>
      <c r="AO21" t="s">
        <v>150</v>
      </c>
      <c r="AP21">
        <v>200</v>
      </c>
      <c r="AQ21">
        <v>878346</v>
      </c>
      <c r="AR21" s="3">
        <f t="shared" si="11"/>
        <v>892848.75</v>
      </c>
      <c r="AS21">
        <v>7383</v>
      </c>
      <c r="AT21" s="3">
        <f t="shared" si="12"/>
        <v>7380</v>
      </c>
      <c r="AU21">
        <v>7027</v>
      </c>
      <c r="AV21" t="s">
        <v>150</v>
      </c>
      <c r="AW21">
        <v>150</v>
      </c>
      <c r="AX21">
        <v>349421</v>
      </c>
      <c r="AY21" s="3">
        <f t="shared" si="13"/>
        <v>349991.25</v>
      </c>
    </row>
    <row r="22" spans="1:51" x14ac:dyDescent="0.25">
      <c r="A22">
        <v>2025</v>
      </c>
      <c r="B22">
        <v>1</v>
      </c>
      <c r="C22">
        <v>92511</v>
      </c>
      <c r="D22" s="3">
        <f t="shared" si="0"/>
        <v>94326.75</v>
      </c>
      <c r="E22">
        <v>94105</v>
      </c>
      <c r="F22" t="s">
        <v>150</v>
      </c>
      <c r="G22">
        <v>250</v>
      </c>
      <c r="H22">
        <v>5072350</v>
      </c>
      <c r="I22" s="3">
        <f t="shared" si="1"/>
        <v>5167527.75</v>
      </c>
      <c r="J22">
        <v>12815</v>
      </c>
      <c r="K22" s="3">
        <f t="shared" si="2"/>
        <v>12631</v>
      </c>
      <c r="L22">
        <v>12031</v>
      </c>
      <c r="M22" t="s">
        <v>150</v>
      </c>
      <c r="N22">
        <v>150</v>
      </c>
      <c r="O22">
        <v>610480</v>
      </c>
      <c r="P22" s="3">
        <f t="shared" si="3"/>
        <v>620940.5</v>
      </c>
      <c r="Q22">
        <v>7641</v>
      </c>
      <c r="R22" s="3">
        <f t="shared" si="4"/>
        <v>7805.75</v>
      </c>
      <c r="S22">
        <v>7710</v>
      </c>
      <c r="T22" t="s">
        <v>150</v>
      </c>
      <c r="U22">
        <v>75</v>
      </c>
      <c r="V22">
        <v>587446</v>
      </c>
      <c r="W22" s="3">
        <f t="shared" si="5"/>
        <v>602871.5</v>
      </c>
      <c r="X22">
        <v>7089</v>
      </c>
      <c r="Y22" s="3">
        <f t="shared" si="6"/>
        <v>7145.75</v>
      </c>
      <c r="Z22">
        <v>7193</v>
      </c>
      <c r="AA22" t="s">
        <v>150</v>
      </c>
      <c r="AB22">
        <v>50</v>
      </c>
      <c r="AC22">
        <v>239037</v>
      </c>
      <c r="AD22" s="3">
        <f t="shared" si="7"/>
        <v>240017</v>
      </c>
      <c r="AE22">
        <v>7876</v>
      </c>
      <c r="AF22" s="3">
        <f t="shared" si="8"/>
        <v>8119.25</v>
      </c>
      <c r="AG22">
        <v>8378</v>
      </c>
      <c r="AH22" t="s">
        <v>150</v>
      </c>
      <c r="AI22">
        <v>150</v>
      </c>
      <c r="AJ22">
        <v>531677</v>
      </c>
      <c r="AK22" s="3">
        <f t="shared" si="9"/>
        <v>530277</v>
      </c>
      <c r="AL22">
        <v>16055</v>
      </c>
      <c r="AM22" s="3">
        <f t="shared" si="10"/>
        <v>16667.75</v>
      </c>
      <c r="AN22">
        <v>16868</v>
      </c>
      <c r="AO22" t="s">
        <v>150</v>
      </c>
      <c r="AP22">
        <v>200</v>
      </c>
      <c r="AQ22">
        <v>866323</v>
      </c>
      <c r="AR22" s="3">
        <f t="shared" si="11"/>
        <v>891536</v>
      </c>
      <c r="AS22">
        <v>7689</v>
      </c>
      <c r="AT22" s="3">
        <f t="shared" si="12"/>
        <v>7501.5</v>
      </c>
      <c r="AU22">
        <v>7203</v>
      </c>
      <c r="AV22" t="s">
        <v>150</v>
      </c>
      <c r="AW22">
        <v>150</v>
      </c>
      <c r="AX22">
        <v>353027</v>
      </c>
      <c r="AY22" s="3">
        <f t="shared" si="13"/>
        <v>352006</v>
      </c>
    </row>
    <row r="23" spans="1:51" x14ac:dyDescent="0.25">
      <c r="A23">
        <v>2025</v>
      </c>
      <c r="B23">
        <v>2</v>
      </c>
      <c r="C23">
        <v>94172</v>
      </c>
      <c r="D23" s="3">
        <f t="shared" si="0"/>
        <v>94147.75</v>
      </c>
      <c r="E23">
        <v>94888</v>
      </c>
      <c r="F23" t="s">
        <v>150</v>
      </c>
      <c r="G23">
        <v>250</v>
      </c>
      <c r="H23">
        <v>5163011</v>
      </c>
      <c r="I23" s="3">
        <f t="shared" si="1"/>
        <v>5166972.75</v>
      </c>
      <c r="J23">
        <v>13004</v>
      </c>
      <c r="K23" s="3">
        <f t="shared" si="2"/>
        <v>12804.5</v>
      </c>
      <c r="L23">
        <v>12310</v>
      </c>
      <c r="M23" t="s">
        <v>150</v>
      </c>
      <c r="N23">
        <v>150</v>
      </c>
      <c r="O23">
        <v>618250</v>
      </c>
      <c r="P23" s="3">
        <f t="shared" si="3"/>
        <v>620473</v>
      </c>
      <c r="Q23">
        <v>7820</v>
      </c>
      <c r="R23" s="3">
        <f t="shared" si="4"/>
        <v>7815</v>
      </c>
      <c r="S23">
        <v>7783</v>
      </c>
      <c r="T23" t="s">
        <v>150</v>
      </c>
      <c r="U23">
        <v>75</v>
      </c>
      <c r="V23">
        <v>597492</v>
      </c>
      <c r="W23" s="3">
        <f t="shared" si="5"/>
        <v>602131</v>
      </c>
      <c r="X23">
        <v>7074</v>
      </c>
      <c r="Y23" s="3">
        <f t="shared" si="6"/>
        <v>7146.25</v>
      </c>
      <c r="Z23">
        <v>7072</v>
      </c>
      <c r="AA23" t="s">
        <v>150</v>
      </c>
      <c r="AB23">
        <v>50</v>
      </c>
      <c r="AC23">
        <v>239393</v>
      </c>
      <c r="AD23" s="3">
        <f t="shared" si="7"/>
        <v>239655.5</v>
      </c>
      <c r="AE23">
        <v>8003</v>
      </c>
      <c r="AF23" s="3">
        <f t="shared" si="8"/>
        <v>8012</v>
      </c>
      <c r="AG23">
        <v>8432</v>
      </c>
      <c r="AH23" t="s">
        <v>150</v>
      </c>
      <c r="AI23">
        <v>150</v>
      </c>
      <c r="AJ23">
        <v>533207</v>
      </c>
      <c r="AK23" s="3">
        <f t="shared" si="9"/>
        <v>529183.5</v>
      </c>
      <c r="AL23">
        <v>16357</v>
      </c>
      <c r="AM23" s="3">
        <f t="shared" si="10"/>
        <v>16570.25</v>
      </c>
      <c r="AN23">
        <v>16747</v>
      </c>
      <c r="AO23" t="s">
        <v>150</v>
      </c>
      <c r="AP23">
        <v>200</v>
      </c>
      <c r="AQ23">
        <v>886322</v>
      </c>
      <c r="AR23" s="3">
        <f t="shared" si="11"/>
        <v>890710</v>
      </c>
      <c r="AS23">
        <v>7748</v>
      </c>
      <c r="AT23" s="3">
        <f t="shared" si="12"/>
        <v>7576.75</v>
      </c>
      <c r="AU23">
        <v>7447</v>
      </c>
      <c r="AV23" t="s">
        <v>150</v>
      </c>
      <c r="AW23">
        <v>150</v>
      </c>
      <c r="AX23">
        <v>358149</v>
      </c>
      <c r="AY23" s="3">
        <f t="shared" si="13"/>
        <v>354163.75</v>
      </c>
    </row>
    <row r="24" spans="1:51" x14ac:dyDescent="0.25">
      <c r="A24">
        <v>2025</v>
      </c>
      <c r="B24">
        <v>3</v>
      </c>
      <c r="C24">
        <v>97012</v>
      </c>
      <c r="D24" s="3">
        <f t="shared" si="0"/>
        <v>94264</v>
      </c>
      <c r="E24">
        <v>96547</v>
      </c>
      <c r="F24" t="s">
        <v>150</v>
      </c>
      <c r="G24">
        <v>250</v>
      </c>
      <c r="H24">
        <v>5298700</v>
      </c>
      <c r="I24" s="3">
        <f t="shared" si="1"/>
        <v>5167991.75</v>
      </c>
      <c r="J24">
        <v>13511</v>
      </c>
      <c r="K24" s="3">
        <f t="shared" si="2"/>
        <v>12985.75</v>
      </c>
      <c r="L24">
        <v>12786</v>
      </c>
      <c r="M24" t="s">
        <v>150</v>
      </c>
      <c r="N24">
        <v>150</v>
      </c>
      <c r="O24">
        <v>630741</v>
      </c>
      <c r="P24" s="3">
        <f t="shared" si="3"/>
        <v>618731.25</v>
      </c>
      <c r="Q24">
        <v>8245</v>
      </c>
      <c r="R24" s="3">
        <f t="shared" si="4"/>
        <v>7834.5</v>
      </c>
      <c r="S24">
        <v>8167</v>
      </c>
      <c r="T24" t="s">
        <v>150</v>
      </c>
      <c r="U24">
        <v>75</v>
      </c>
      <c r="V24">
        <v>627676</v>
      </c>
      <c r="W24" s="3">
        <f t="shared" si="5"/>
        <v>601497.5</v>
      </c>
      <c r="X24">
        <v>7237</v>
      </c>
      <c r="Y24" s="3">
        <f t="shared" si="6"/>
        <v>7135.25</v>
      </c>
      <c r="Z24">
        <v>7281</v>
      </c>
      <c r="AA24" t="s">
        <v>150</v>
      </c>
      <c r="AB24">
        <v>50</v>
      </c>
      <c r="AC24">
        <v>239655</v>
      </c>
      <c r="AD24" s="3">
        <f t="shared" si="7"/>
        <v>239383.25</v>
      </c>
      <c r="AE24">
        <v>7670</v>
      </c>
      <c r="AF24" s="3">
        <f t="shared" si="8"/>
        <v>7934.5</v>
      </c>
      <c r="AG24">
        <v>7980</v>
      </c>
      <c r="AH24" t="s">
        <v>150</v>
      </c>
      <c r="AI24">
        <v>150</v>
      </c>
      <c r="AJ24">
        <v>513877</v>
      </c>
      <c r="AK24" s="3">
        <f t="shared" si="9"/>
        <v>527686.25</v>
      </c>
      <c r="AL24">
        <v>17693</v>
      </c>
      <c r="AM24" s="3">
        <f t="shared" si="10"/>
        <v>16603.25</v>
      </c>
      <c r="AN24">
        <v>17561</v>
      </c>
      <c r="AO24" t="s">
        <v>150</v>
      </c>
      <c r="AP24">
        <v>200</v>
      </c>
      <c r="AQ24">
        <v>930175</v>
      </c>
      <c r="AR24" s="3">
        <f t="shared" si="11"/>
        <v>890291.5</v>
      </c>
      <c r="AS24">
        <v>7852</v>
      </c>
      <c r="AT24" s="3">
        <f t="shared" si="12"/>
        <v>7668</v>
      </c>
      <c r="AU24">
        <v>7487</v>
      </c>
      <c r="AV24" t="s">
        <v>150</v>
      </c>
      <c r="AW24">
        <v>150</v>
      </c>
      <c r="AX24">
        <v>366878</v>
      </c>
      <c r="AY24" s="3">
        <f t="shared" si="13"/>
        <v>356868.75</v>
      </c>
    </row>
    <row r="25" spans="1:51" x14ac:dyDescent="0.25">
      <c r="A25">
        <v>2025</v>
      </c>
      <c r="B25">
        <v>4</v>
      </c>
      <c r="C25">
        <v>95315</v>
      </c>
      <c r="D25" s="3">
        <f t="shared" si="0"/>
        <v>94752.5</v>
      </c>
      <c r="E25">
        <v>93361</v>
      </c>
      <c r="F25" t="s">
        <v>150</v>
      </c>
      <c r="G25">
        <v>250</v>
      </c>
      <c r="H25">
        <v>5155100</v>
      </c>
      <c r="I25" s="3">
        <f t="shared" si="1"/>
        <v>5172290.25</v>
      </c>
      <c r="J25">
        <v>13459</v>
      </c>
      <c r="K25" s="3">
        <f t="shared" si="2"/>
        <v>13197.25</v>
      </c>
      <c r="L25">
        <v>12613</v>
      </c>
      <c r="M25" t="s">
        <v>150</v>
      </c>
      <c r="N25">
        <v>150</v>
      </c>
      <c r="O25">
        <v>608342</v>
      </c>
      <c r="P25" s="3">
        <f t="shared" si="3"/>
        <v>616953.25</v>
      </c>
      <c r="Q25">
        <v>7664</v>
      </c>
      <c r="R25" s="3">
        <f t="shared" si="4"/>
        <v>7842.5</v>
      </c>
      <c r="S25">
        <v>7632</v>
      </c>
      <c r="T25" t="s">
        <v>150</v>
      </c>
      <c r="U25">
        <v>75</v>
      </c>
      <c r="V25">
        <v>593238</v>
      </c>
      <c r="W25" s="3">
        <f t="shared" si="5"/>
        <v>601463</v>
      </c>
      <c r="X25">
        <v>7201</v>
      </c>
      <c r="Y25" s="3">
        <f t="shared" si="6"/>
        <v>7150.25</v>
      </c>
      <c r="Z25">
        <v>7141</v>
      </c>
      <c r="AA25" t="s">
        <v>150</v>
      </c>
      <c r="AB25">
        <v>50</v>
      </c>
      <c r="AC25">
        <v>238755</v>
      </c>
      <c r="AD25" s="3">
        <f t="shared" si="7"/>
        <v>239210</v>
      </c>
      <c r="AE25">
        <v>7961</v>
      </c>
      <c r="AF25" s="3">
        <f t="shared" si="8"/>
        <v>7877.5</v>
      </c>
      <c r="AG25">
        <v>8189</v>
      </c>
      <c r="AH25" t="s">
        <v>150</v>
      </c>
      <c r="AI25">
        <v>150</v>
      </c>
      <c r="AJ25">
        <v>522717</v>
      </c>
      <c r="AK25" s="3">
        <f t="shared" si="9"/>
        <v>525369.5</v>
      </c>
      <c r="AL25">
        <v>16670</v>
      </c>
      <c r="AM25" s="3">
        <f t="shared" si="10"/>
        <v>16693.75</v>
      </c>
      <c r="AN25">
        <v>16308</v>
      </c>
      <c r="AO25" t="s">
        <v>150</v>
      </c>
      <c r="AP25">
        <v>200</v>
      </c>
      <c r="AQ25">
        <v>877942</v>
      </c>
      <c r="AR25" s="3">
        <f t="shared" si="11"/>
        <v>890190.5</v>
      </c>
      <c r="AS25">
        <v>7641</v>
      </c>
      <c r="AT25" s="3">
        <f t="shared" si="12"/>
        <v>7732.5</v>
      </c>
      <c r="AU25">
        <v>7383</v>
      </c>
      <c r="AV25" t="s">
        <v>150</v>
      </c>
      <c r="AW25">
        <v>150</v>
      </c>
      <c r="AX25">
        <v>366754</v>
      </c>
      <c r="AY25" s="3">
        <f t="shared" si="13"/>
        <v>361202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114-ADB6-40D8-A231-8ADF3262421D}">
  <dimension ref="A1:AR25"/>
  <sheetViews>
    <sheetView workbookViewId="0"/>
  </sheetViews>
  <sheetFormatPr defaultRowHeight="15" x14ac:dyDescent="0.25"/>
  <cols>
    <col min="1" max="1" width="11.28515625" bestFit="1" customWidth="1"/>
    <col min="3" max="3" width="28.85546875" bestFit="1" customWidth="1"/>
    <col min="4" max="4" width="25.85546875" bestFit="1" customWidth="1"/>
    <col min="5" max="9" width="25.85546875" customWidth="1"/>
    <col min="10" max="10" width="27.7109375" bestFit="1" customWidth="1"/>
    <col min="11" max="11" width="24.5703125" bestFit="1" customWidth="1"/>
    <col min="12" max="16" width="24.5703125" customWidth="1"/>
    <col min="17" max="17" width="34.42578125" bestFit="1" customWidth="1"/>
    <col min="18" max="18" width="31.28515625" bestFit="1" customWidth="1"/>
    <col min="19" max="23" width="31.28515625" customWidth="1"/>
    <col min="24" max="24" width="26.5703125" bestFit="1" customWidth="1"/>
    <col min="25" max="25" width="23.42578125" bestFit="1" customWidth="1"/>
    <col min="26" max="30" width="23.42578125" customWidth="1"/>
    <col min="31" max="31" width="25.28515625" bestFit="1" customWidth="1"/>
    <col min="32" max="32" width="22.28515625" bestFit="1" customWidth="1"/>
    <col min="33" max="37" width="22.28515625" customWidth="1"/>
    <col min="38" max="38" width="32" bestFit="1" customWidth="1"/>
    <col min="39" max="39" width="28.85546875" bestFit="1" customWidth="1"/>
  </cols>
  <sheetData>
    <row r="1" spans="1:44" x14ac:dyDescent="0.25">
      <c r="A1" t="s">
        <v>0</v>
      </c>
      <c r="B1" t="s">
        <v>1</v>
      </c>
      <c r="C1" t="s">
        <v>28</v>
      </c>
      <c r="D1" t="s">
        <v>29</v>
      </c>
      <c r="E1" t="s">
        <v>70</v>
      </c>
      <c r="F1" t="s">
        <v>117</v>
      </c>
      <c r="G1" t="s">
        <v>118</v>
      </c>
      <c r="H1" t="s">
        <v>205</v>
      </c>
      <c r="I1" t="s">
        <v>183</v>
      </c>
      <c r="J1" t="s">
        <v>56</v>
      </c>
      <c r="K1" t="s">
        <v>57</v>
      </c>
      <c r="L1" t="s">
        <v>71</v>
      </c>
      <c r="M1" t="s">
        <v>119</v>
      </c>
      <c r="N1" t="s">
        <v>120</v>
      </c>
      <c r="O1" t="s">
        <v>206</v>
      </c>
      <c r="P1" t="s">
        <v>184</v>
      </c>
      <c r="Q1" t="s">
        <v>58</v>
      </c>
      <c r="R1" t="s">
        <v>59</v>
      </c>
      <c r="S1" t="s">
        <v>72</v>
      </c>
      <c r="T1" t="s">
        <v>121</v>
      </c>
      <c r="U1" t="s">
        <v>122</v>
      </c>
      <c r="V1" t="s">
        <v>207</v>
      </c>
      <c r="W1" t="s">
        <v>185</v>
      </c>
      <c r="X1" t="s">
        <v>30</v>
      </c>
      <c r="Y1" t="s">
        <v>31</v>
      </c>
      <c r="Z1" t="s">
        <v>73</v>
      </c>
      <c r="AA1" t="s">
        <v>123</v>
      </c>
      <c r="AB1" t="s">
        <v>124</v>
      </c>
      <c r="AC1" t="s">
        <v>208</v>
      </c>
      <c r="AD1" t="s">
        <v>186</v>
      </c>
      <c r="AE1" t="s">
        <v>60</v>
      </c>
      <c r="AF1" t="s">
        <v>61</v>
      </c>
      <c r="AG1" t="s">
        <v>74</v>
      </c>
      <c r="AH1" t="s">
        <v>125</v>
      </c>
      <c r="AI1" t="s">
        <v>126</v>
      </c>
      <c r="AJ1" t="s">
        <v>187</v>
      </c>
      <c r="AK1" t="s">
        <v>188</v>
      </c>
      <c r="AL1" t="s">
        <v>62</v>
      </c>
      <c r="AM1" t="s">
        <v>63</v>
      </c>
      <c r="AN1" t="s">
        <v>75</v>
      </c>
      <c r="AO1" t="s">
        <v>127</v>
      </c>
      <c r="AP1" t="s">
        <v>128</v>
      </c>
      <c r="AQ1" t="s">
        <v>189</v>
      </c>
      <c r="AR1" t="s">
        <v>190</v>
      </c>
    </row>
    <row r="2" spans="1:44" x14ac:dyDescent="0.25">
      <c r="A2">
        <v>2020</v>
      </c>
      <c r="B2">
        <v>1</v>
      </c>
      <c r="C2">
        <f>+J2+Q2</f>
        <v>543</v>
      </c>
      <c r="D2">
        <v>1341</v>
      </c>
      <c r="E2">
        <v>1021</v>
      </c>
      <c r="F2" t="s">
        <v>150</v>
      </c>
      <c r="G2">
        <v>200</v>
      </c>
      <c r="H2">
        <v>13708</v>
      </c>
      <c r="I2">
        <v>54947</v>
      </c>
      <c r="J2">
        <v>29</v>
      </c>
      <c r="K2">
        <v>116</v>
      </c>
      <c r="L2">
        <v>288</v>
      </c>
      <c r="M2" t="s">
        <v>150</v>
      </c>
      <c r="N2">
        <v>50</v>
      </c>
      <c r="O2">
        <v>3217</v>
      </c>
      <c r="P2">
        <v>10650</v>
      </c>
      <c r="Q2">
        <v>514</v>
      </c>
      <c r="R2">
        <v>1225</v>
      </c>
      <c r="S2">
        <v>733</v>
      </c>
      <c r="T2" t="s">
        <v>150</v>
      </c>
      <c r="U2">
        <v>125</v>
      </c>
      <c r="V2">
        <v>10491</v>
      </c>
      <c r="W2">
        <v>44297</v>
      </c>
      <c r="X2">
        <f>+AE2+AL2</f>
        <v>87</v>
      </c>
      <c r="Y2">
        <v>1040</v>
      </c>
      <c r="Z2">
        <v>788</v>
      </c>
      <c r="AA2" t="s">
        <v>150</v>
      </c>
      <c r="AB2">
        <v>200</v>
      </c>
      <c r="AC2">
        <v>13138</v>
      </c>
      <c r="AD2">
        <v>50339</v>
      </c>
      <c r="AE2">
        <v>43</v>
      </c>
      <c r="AF2">
        <v>172</v>
      </c>
      <c r="AG2">
        <v>133</v>
      </c>
      <c r="AH2" t="s">
        <v>150</v>
      </c>
      <c r="AI2">
        <v>50</v>
      </c>
      <c r="AJ2">
        <v>2809</v>
      </c>
      <c r="AK2">
        <v>11186</v>
      </c>
      <c r="AL2">
        <v>44</v>
      </c>
      <c r="AM2">
        <v>868</v>
      </c>
      <c r="AN2">
        <v>655</v>
      </c>
      <c r="AO2" t="s">
        <v>150</v>
      </c>
      <c r="AP2">
        <v>125</v>
      </c>
      <c r="AQ2">
        <v>10329</v>
      </c>
      <c r="AR2">
        <v>39153</v>
      </c>
    </row>
    <row r="3" spans="1:44" x14ac:dyDescent="0.25">
      <c r="A3">
        <v>2020</v>
      </c>
      <c r="B3">
        <v>2</v>
      </c>
      <c r="C3">
        <f t="shared" ref="C3:C25" si="0">+J3+Q3</f>
        <v>345</v>
      </c>
      <c r="D3">
        <v>1447</v>
      </c>
      <c r="E3">
        <v>963</v>
      </c>
      <c r="F3" t="s">
        <v>150</v>
      </c>
      <c r="G3">
        <v>200</v>
      </c>
      <c r="H3">
        <v>13168</v>
      </c>
      <c r="I3">
        <v>53458</v>
      </c>
      <c r="J3">
        <v>29</v>
      </c>
      <c r="K3">
        <v>108</v>
      </c>
      <c r="L3">
        <v>175</v>
      </c>
      <c r="M3" t="s">
        <v>150</v>
      </c>
      <c r="N3">
        <v>50</v>
      </c>
      <c r="O3">
        <v>3149</v>
      </c>
      <c r="P3">
        <v>10871</v>
      </c>
      <c r="Q3">
        <v>316</v>
      </c>
      <c r="R3">
        <v>1339</v>
      </c>
      <c r="S3">
        <v>788</v>
      </c>
      <c r="T3" t="s">
        <v>150</v>
      </c>
      <c r="U3">
        <v>125</v>
      </c>
      <c r="V3">
        <v>10019</v>
      </c>
      <c r="W3">
        <v>42587</v>
      </c>
      <c r="X3">
        <f t="shared" ref="X3:X21" si="1">+AE3+AL3</f>
        <v>450</v>
      </c>
      <c r="Y3">
        <v>1276</v>
      </c>
      <c r="Z3">
        <v>666</v>
      </c>
      <c r="AA3" t="s">
        <v>150</v>
      </c>
      <c r="AB3">
        <v>200</v>
      </c>
      <c r="AC3">
        <v>13832</v>
      </c>
      <c r="AD3">
        <v>50215</v>
      </c>
      <c r="AE3">
        <v>37</v>
      </c>
      <c r="AF3">
        <v>177</v>
      </c>
      <c r="AG3">
        <v>122</v>
      </c>
      <c r="AH3" t="s">
        <v>150</v>
      </c>
      <c r="AI3">
        <v>50</v>
      </c>
      <c r="AJ3">
        <v>2813</v>
      </c>
      <c r="AK3">
        <v>10973</v>
      </c>
      <c r="AL3">
        <v>413</v>
      </c>
      <c r="AM3">
        <v>1099</v>
      </c>
      <c r="AN3">
        <v>544</v>
      </c>
      <c r="AO3" t="s">
        <v>150</v>
      </c>
      <c r="AP3">
        <v>125</v>
      </c>
      <c r="AQ3">
        <v>11019</v>
      </c>
      <c r="AR3">
        <v>39242</v>
      </c>
    </row>
    <row r="4" spans="1:44" x14ac:dyDescent="0.25">
      <c r="A4">
        <v>2020</v>
      </c>
      <c r="B4">
        <v>3</v>
      </c>
      <c r="C4">
        <f t="shared" si="0"/>
        <v>204</v>
      </c>
      <c r="D4">
        <v>1341</v>
      </c>
      <c r="E4">
        <v>1127</v>
      </c>
      <c r="F4" t="s">
        <v>150</v>
      </c>
      <c r="G4">
        <v>200</v>
      </c>
      <c r="H4">
        <v>9906</v>
      </c>
      <c r="I4">
        <v>52390</v>
      </c>
      <c r="J4">
        <v>46</v>
      </c>
      <c r="K4">
        <v>135</v>
      </c>
      <c r="L4">
        <v>163</v>
      </c>
      <c r="M4" t="s">
        <v>150</v>
      </c>
      <c r="N4">
        <v>50</v>
      </c>
      <c r="O4">
        <v>2183</v>
      </c>
      <c r="P4">
        <v>11103</v>
      </c>
      <c r="Q4">
        <v>158</v>
      </c>
      <c r="R4">
        <v>1206</v>
      </c>
      <c r="S4">
        <v>964</v>
      </c>
      <c r="T4" t="s">
        <v>150</v>
      </c>
      <c r="U4">
        <v>125</v>
      </c>
      <c r="V4">
        <v>7723</v>
      </c>
      <c r="W4">
        <v>41287</v>
      </c>
      <c r="X4">
        <f t="shared" si="1"/>
        <v>133</v>
      </c>
      <c r="Y4">
        <v>921</v>
      </c>
      <c r="Z4">
        <v>1124</v>
      </c>
      <c r="AA4" t="s">
        <v>150</v>
      </c>
      <c r="AB4">
        <v>200</v>
      </c>
      <c r="AC4">
        <v>12896</v>
      </c>
      <c r="AD4">
        <v>54129</v>
      </c>
      <c r="AE4">
        <v>27</v>
      </c>
      <c r="AF4">
        <v>156</v>
      </c>
      <c r="AG4">
        <v>146</v>
      </c>
      <c r="AH4" t="s">
        <v>150</v>
      </c>
      <c r="AI4">
        <v>50</v>
      </c>
      <c r="AJ4">
        <v>2412</v>
      </c>
      <c r="AK4">
        <v>10883</v>
      </c>
      <c r="AL4">
        <v>106</v>
      </c>
      <c r="AM4">
        <v>765</v>
      </c>
      <c r="AN4">
        <v>978</v>
      </c>
      <c r="AO4" t="s">
        <v>150</v>
      </c>
      <c r="AP4">
        <v>125</v>
      </c>
      <c r="AQ4">
        <v>10484</v>
      </c>
      <c r="AR4">
        <v>43246</v>
      </c>
    </row>
    <row r="5" spans="1:44" x14ac:dyDescent="0.25">
      <c r="A5">
        <v>2020</v>
      </c>
      <c r="B5">
        <v>4</v>
      </c>
      <c r="C5">
        <f t="shared" si="0"/>
        <v>423</v>
      </c>
      <c r="D5">
        <f>SUM(C2:C5)</f>
        <v>1515</v>
      </c>
      <c r="E5">
        <v>896</v>
      </c>
      <c r="F5" t="s">
        <v>150</v>
      </c>
      <c r="G5">
        <v>200</v>
      </c>
      <c r="H5">
        <v>13697</v>
      </c>
      <c r="I5">
        <f>SUM(H2:H5)</f>
        <v>50479</v>
      </c>
      <c r="J5">
        <v>58</v>
      </c>
      <c r="K5">
        <f>SUM(J2:J5)</f>
        <v>162</v>
      </c>
      <c r="L5">
        <v>118</v>
      </c>
      <c r="M5" t="s">
        <v>150</v>
      </c>
      <c r="N5">
        <v>50</v>
      </c>
      <c r="O5">
        <v>3024</v>
      </c>
      <c r="P5">
        <f>SUM(O2:O5)</f>
        <v>11573</v>
      </c>
      <c r="Q5">
        <v>365</v>
      </c>
      <c r="R5">
        <f>SUM(Q2:Q5)</f>
        <v>1353</v>
      </c>
      <c r="S5">
        <v>778</v>
      </c>
      <c r="T5" t="s">
        <v>150</v>
      </c>
      <c r="U5">
        <v>125</v>
      </c>
      <c r="V5">
        <v>10673</v>
      </c>
      <c r="W5">
        <f>SUM(V2:V5)</f>
        <v>38906</v>
      </c>
      <c r="X5">
        <f t="shared" si="1"/>
        <v>84</v>
      </c>
      <c r="Y5">
        <f t="shared" ref="R5:Y6" si="2">SUM(X2:X5)</f>
        <v>754</v>
      </c>
      <c r="Z5">
        <v>1177</v>
      </c>
      <c r="AA5" t="s">
        <v>150</v>
      </c>
      <c r="AB5">
        <v>200</v>
      </c>
      <c r="AC5">
        <v>15684</v>
      </c>
      <c r="AD5">
        <f t="shared" ref="AD5:AD25" si="3">SUM(AC2:AC5)</f>
        <v>55550</v>
      </c>
      <c r="AE5">
        <v>37</v>
      </c>
      <c r="AF5">
        <f>SUM(AE2:AE5)</f>
        <v>144</v>
      </c>
      <c r="AG5">
        <v>170</v>
      </c>
      <c r="AH5" t="s">
        <v>150</v>
      </c>
      <c r="AI5">
        <v>50</v>
      </c>
      <c r="AJ5">
        <v>3175</v>
      </c>
      <c r="AK5">
        <f>SUM(AJ2:AJ5)</f>
        <v>11209</v>
      </c>
      <c r="AL5">
        <v>47</v>
      </c>
      <c r="AM5">
        <f t="shared" ref="AF5:AM6" si="4">SUM(AL2:AL5)</f>
        <v>610</v>
      </c>
      <c r="AN5">
        <v>1007</v>
      </c>
      <c r="AO5" t="s">
        <v>150</v>
      </c>
      <c r="AP5">
        <v>125</v>
      </c>
      <c r="AQ5">
        <v>12509</v>
      </c>
      <c r="AR5">
        <f t="shared" ref="AR5:AR25" si="5">SUM(AQ2:AQ5)</f>
        <v>44341</v>
      </c>
    </row>
    <row r="6" spans="1:44" x14ac:dyDescent="0.25">
      <c r="A6">
        <v>2021</v>
      </c>
      <c r="B6">
        <v>1</v>
      </c>
      <c r="C6">
        <f t="shared" si="0"/>
        <v>255</v>
      </c>
      <c r="D6">
        <f t="shared" ref="D6:K25" si="6">SUM(C3:C6)</f>
        <v>1227</v>
      </c>
      <c r="E6">
        <v>1341</v>
      </c>
      <c r="F6" t="s">
        <v>150</v>
      </c>
      <c r="G6">
        <v>200</v>
      </c>
      <c r="H6">
        <v>11243</v>
      </c>
      <c r="I6">
        <f t="shared" si="6"/>
        <v>48014</v>
      </c>
      <c r="J6">
        <v>32</v>
      </c>
      <c r="K6">
        <f t="shared" si="6"/>
        <v>165</v>
      </c>
      <c r="L6">
        <v>116</v>
      </c>
      <c r="M6" t="s">
        <v>150</v>
      </c>
      <c r="N6">
        <v>50</v>
      </c>
      <c r="O6">
        <v>2597</v>
      </c>
      <c r="P6">
        <f t="shared" ref="P6:P25" si="7">SUM(O3:O6)</f>
        <v>10953</v>
      </c>
      <c r="Q6">
        <v>223</v>
      </c>
      <c r="R6">
        <f t="shared" si="2"/>
        <v>1062</v>
      </c>
      <c r="S6">
        <v>1225</v>
      </c>
      <c r="T6" t="s">
        <v>150</v>
      </c>
      <c r="U6">
        <v>125</v>
      </c>
      <c r="V6">
        <v>8646</v>
      </c>
      <c r="W6">
        <f t="shared" si="2"/>
        <v>37061</v>
      </c>
      <c r="X6">
        <f t="shared" si="1"/>
        <v>320</v>
      </c>
      <c r="Y6">
        <f t="shared" si="2"/>
        <v>987</v>
      </c>
      <c r="Z6">
        <v>1040</v>
      </c>
      <c r="AA6" t="s">
        <v>150</v>
      </c>
      <c r="AB6">
        <v>200</v>
      </c>
      <c r="AC6">
        <v>16246</v>
      </c>
      <c r="AD6">
        <f t="shared" si="3"/>
        <v>58658</v>
      </c>
      <c r="AE6">
        <v>28</v>
      </c>
      <c r="AF6">
        <f t="shared" si="4"/>
        <v>129</v>
      </c>
      <c r="AG6">
        <v>172</v>
      </c>
      <c r="AH6" t="s">
        <v>150</v>
      </c>
      <c r="AI6">
        <v>50</v>
      </c>
      <c r="AJ6">
        <v>3313</v>
      </c>
      <c r="AK6">
        <f t="shared" si="4"/>
        <v>11713</v>
      </c>
      <c r="AL6">
        <v>292</v>
      </c>
      <c r="AM6">
        <f t="shared" si="4"/>
        <v>858</v>
      </c>
      <c r="AN6">
        <v>868</v>
      </c>
      <c r="AO6" t="s">
        <v>150</v>
      </c>
      <c r="AP6">
        <v>125</v>
      </c>
      <c r="AQ6">
        <v>12933</v>
      </c>
      <c r="AR6">
        <f t="shared" si="5"/>
        <v>46945</v>
      </c>
    </row>
    <row r="7" spans="1:44" x14ac:dyDescent="0.25">
      <c r="A7">
        <v>2021</v>
      </c>
      <c r="B7">
        <v>2</v>
      </c>
      <c r="C7">
        <f t="shared" si="0"/>
        <v>403</v>
      </c>
      <c r="D7">
        <f t="shared" si="6"/>
        <v>1285</v>
      </c>
      <c r="E7">
        <v>1447</v>
      </c>
      <c r="F7" t="s">
        <v>150</v>
      </c>
      <c r="G7">
        <v>200</v>
      </c>
      <c r="H7">
        <v>13522</v>
      </c>
      <c r="I7">
        <f t="shared" si="6"/>
        <v>48368</v>
      </c>
      <c r="J7">
        <v>29</v>
      </c>
      <c r="K7">
        <f t="shared" si="6"/>
        <v>165</v>
      </c>
      <c r="L7">
        <v>108</v>
      </c>
      <c r="M7" t="s">
        <v>150</v>
      </c>
      <c r="N7">
        <v>50</v>
      </c>
      <c r="O7">
        <v>2753</v>
      </c>
      <c r="P7">
        <f t="shared" si="7"/>
        <v>10557</v>
      </c>
      <c r="Q7">
        <v>374</v>
      </c>
      <c r="R7">
        <f t="shared" ref="R7:Y7" si="8">SUM(Q4:Q7)</f>
        <v>1120</v>
      </c>
      <c r="S7">
        <v>1339</v>
      </c>
      <c r="T7" t="s">
        <v>150</v>
      </c>
      <c r="U7">
        <v>125</v>
      </c>
      <c r="V7">
        <v>10769</v>
      </c>
      <c r="W7">
        <f t="shared" si="8"/>
        <v>37811</v>
      </c>
      <c r="X7">
        <f t="shared" si="1"/>
        <v>466</v>
      </c>
      <c r="Y7">
        <f t="shared" si="8"/>
        <v>1003</v>
      </c>
      <c r="Z7">
        <v>1276</v>
      </c>
      <c r="AA7" t="s">
        <v>150</v>
      </c>
      <c r="AB7">
        <v>200</v>
      </c>
      <c r="AC7">
        <v>18799</v>
      </c>
      <c r="AD7">
        <f t="shared" si="3"/>
        <v>63625</v>
      </c>
      <c r="AE7">
        <v>89</v>
      </c>
      <c r="AF7">
        <f t="shared" ref="AF7:AM7" si="9">SUM(AE4:AE7)</f>
        <v>181</v>
      </c>
      <c r="AG7">
        <v>177</v>
      </c>
      <c r="AH7" t="s">
        <v>150</v>
      </c>
      <c r="AI7">
        <v>50</v>
      </c>
      <c r="AJ7">
        <v>3802</v>
      </c>
      <c r="AK7">
        <f t="shared" si="9"/>
        <v>12702</v>
      </c>
      <c r="AL7">
        <v>377</v>
      </c>
      <c r="AM7">
        <f t="shared" si="9"/>
        <v>822</v>
      </c>
      <c r="AN7">
        <v>1099</v>
      </c>
      <c r="AO7" t="s">
        <v>150</v>
      </c>
      <c r="AP7">
        <v>125</v>
      </c>
      <c r="AQ7">
        <v>14997</v>
      </c>
      <c r="AR7">
        <f t="shared" si="5"/>
        <v>50923</v>
      </c>
    </row>
    <row r="8" spans="1:44" x14ac:dyDescent="0.25">
      <c r="A8">
        <v>2021</v>
      </c>
      <c r="B8">
        <v>3</v>
      </c>
      <c r="C8">
        <f t="shared" si="0"/>
        <v>80</v>
      </c>
      <c r="D8">
        <f t="shared" si="6"/>
        <v>1161</v>
      </c>
      <c r="E8">
        <v>1341</v>
      </c>
      <c r="F8" t="s">
        <v>150</v>
      </c>
      <c r="G8">
        <v>200</v>
      </c>
      <c r="H8">
        <v>10340</v>
      </c>
      <c r="I8">
        <f t="shared" si="6"/>
        <v>48802</v>
      </c>
      <c r="J8">
        <v>25</v>
      </c>
      <c r="K8">
        <f t="shared" si="6"/>
        <v>144</v>
      </c>
      <c r="L8">
        <v>135</v>
      </c>
      <c r="M8" t="s">
        <v>150</v>
      </c>
      <c r="N8">
        <v>50</v>
      </c>
      <c r="O8">
        <v>1985</v>
      </c>
      <c r="P8">
        <f t="shared" si="7"/>
        <v>10359</v>
      </c>
      <c r="Q8">
        <v>55</v>
      </c>
      <c r="R8">
        <f t="shared" ref="R8:Y8" si="10">SUM(Q5:Q8)</f>
        <v>1017</v>
      </c>
      <c r="S8">
        <v>1206</v>
      </c>
      <c r="T8" t="s">
        <v>150</v>
      </c>
      <c r="U8">
        <v>125</v>
      </c>
      <c r="V8">
        <v>8355</v>
      </c>
      <c r="W8">
        <f t="shared" si="10"/>
        <v>38443</v>
      </c>
      <c r="X8">
        <f t="shared" si="1"/>
        <v>156</v>
      </c>
      <c r="Y8">
        <f t="shared" si="10"/>
        <v>1026</v>
      </c>
      <c r="Z8">
        <v>921</v>
      </c>
      <c r="AA8" t="s">
        <v>150</v>
      </c>
      <c r="AB8">
        <v>200</v>
      </c>
      <c r="AC8">
        <v>13326</v>
      </c>
      <c r="AD8">
        <f t="shared" si="3"/>
        <v>64055</v>
      </c>
      <c r="AE8">
        <v>50</v>
      </c>
      <c r="AF8">
        <f t="shared" ref="AF8:AM8" si="11">SUM(AE5:AE8)</f>
        <v>204</v>
      </c>
      <c r="AG8">
        <v>156</v>
      </c>
      <c r="AH8" t="s">
        <v>150</v>
      </c>
      <c r="AI8">
        <v>50</v>
      </c>
      <c r="AJ8">
        <v>3315</v>
      </c>
      <c r="AK8">
        <f t="shared" si="11"/>
        <v>13605</v>
      </c>
      <c r="AL8">
        <v>106</v>
      </c>
      <c r="AM8">
        <f t="shared" si="11"/>
        <v>822</v>
      </c>
      <c r="AN8">
        <v>765</v>
      </c>
      <c r="AO8" t="s">
        <v>150</v>
      </c>
      <c r="AP8">
        <v>125</v>
      </c>
      <c r="AQ8">
        <v>10011</v>
      </c>
      <c r="AR8">
        <f t="shared" si="5"/>
        <v>50450</v>
      </c>
    </row>
    <row r="9" spans="1:44" x14ac:dyDescent="0.25">
      <c r="A9">
        <v>2021</v>
      </c>
      <c r="B9">
        <v>4</v>
      </c>
      <c r="C9">
        <f t="shared" si="0"/>
        <v>219</v>
      </c>
      <c r="D9">
        <f t="shared" si="6"/>
        <v>957</v>
      </c>
      <c r="E9">
        <v>1515</v>
      </c>
      <c r="F9" t="s">
        <v>150</v>
      </c>
      <c r="G9">
        <v>200</v>
      </c>
      <c r="H9">
        <v>14984</v>
      </c>
      <c r="I9">
        <f t="shared" si="6"/>
        <v>50089</v>
      </c>
      <c r="J9">
        <v>68</v>
      </c>
      <c r="K9">
        <f t="shared" si="6"/>
        <v>154</v>
      </c>
      <c r="L9">
        <v>162</v>
      </c>
      <c r="M9" t="s">
        <v>150</v>
      </c>
      <c r="N9">
        <v>50</v>
      </c>
      <c r="O9">
        <v>3049</v>
      </c>
      <c r="P9">
        <f t="shared" si="7"/>
        <v>10384</v>
      </c>
      <c r="Q9">
        <v>151</v>
      </c>
      <c r="R9">
        <f t="shared" ref="R9:Y9" si="12">SUM(Q6:Q9)</f>
        <v>803</v>
      </c>
      <c r="S9">
        <v>1353</v>
      </c>
      <c r="T9" t="s">
        <v>150</v>
      </c>
      <c r="U9">
        <v>125</v>
      </c>
      <c r="V9">
        <v>11935</v>
      </c>
      <c r="W9">
        <f t="shared" si="12"/>
        <v>39705</v>
      </c>
      <c r="X9">
        <f t="shared" si="1"/>
        <v>181</v>
      </c>
      <c r="Y9">
        <f t="shared" si="12"/>
        <v>1123</v>
      </c>
      <c r="Z9">
        <v>754</v>
      </c>
      <c r="AA9" t="s">
        <v>150</v>
      </c>
      <c r="AB9">
        <v>200</v>
      </c>
      <c r="AC9">
        <v>19438</v>
      </c>
      <c r="AD9">
        <f t="shared" si="3"/>
        <v>67809</v>
      </c>
      <c r="AE9">
        <v>22</v>
      </c>
      <c r="AF9">
        <f t="shared" ref="AF9:AM9" si="13">SUM(AE6:AE9)</f>
        <v>189</v>
      </c>
      <c r="AG9">
        <v>144</v>
      </c>
      <c r="AH9" t="s">
        <v>150</v>
      </c>
      <c r="AI9">
        <v>50</v>
      </c>
      <c r="AJ9">
        <v>3598</v>
      </c>
      <c r="AK9">
        <f t="shared" si="13"/>
        <v>14028</v>
      </c>
      <c r="AL9">
        <v>159</v>
      </c>
      <c r="AM9">
        <f t="shared" si="13"/>
        <v>934</v>
      </c>
      <c r="AN9">
        <v>610</v>
      </c>
      <c r="AO9" t="s">
        <v>150</v>
      </c>
      <c r="AP9">
        <v>125</v>
      </c>
      <c r="AQ9">
        <v>15840</v>
      </c>
      <c r="AR9">
        <f t="shared" si="5"/>
        <v>53781</v>
      </c>
    </row>
    <row r="10" spans="1:44" x14ac:dyDescent="0.25">
      <c r="A10">
        <v>2022</v>
      </c>
      <c r="B10">
        <v>1</v>
      </c>
      <c r="C10">
        <f t="shared" si="0"/>
        <v>395</v>
      </c>
      <c r="D10">
        <f t="shared" si="6"/>
        <v>1097</v>
      </c>
      <c r="E10">
        <v>1227</v>
      </c>
      <c r="F10" t="s">
        <v>150</v>
      </c>
      <c r="G10">
        <v>200</v>
      </c>
      <c r="H10">
        <v>12647</v>
      </c>
      <c r="I10">
        <f t="shared" si="6"/>
        <v>51493</v>
      </c>
      <c r="J10">
        <v>36</v>
      </c>
      <c r="K10">
        <f t="shared" si="6"/>
        <v>158</v>
      </c>
      <c r="L10">
        <v>165</v>
      </c>
      <c r="M10" t="s">
        <v>150</v>
      </c>
      <c r="N10">
        <v>50</v>
      </c>
      <c r="O10">
        <v>3327</v>
      </c>
      <c r="P10">
        <f t="shared" si="7"/>
        <v>11114</v>
      </c>
      <c r="Q10">
        <v>359</v>
      </c>
      <c r="R10">
        <f t="shared" ref="R10:Y10" si="14">SUM(Q7:Q10)</f>
        <v>939</v>
      </c>
      <c r="S10">
        <v>1062</v>
      </c>
      <c r="T10" t="s">
        <v>150</v>
      </c>
      <c r="U10">
        <v>125</v>
      </c>
      <c r="V10">
        <v>9320</v>
      </c>
      <c r="W10">
        <f t="shared" si="14"/>
        <v>40379</v>
      </c>
      <c r="X10">
        <f t="shared" si="1"/>
        <v>309</v>
      </c>
      <c r="Y10">
        <f t="shared" si="14"/>
        <v>1112</v>
      </c>
      <c r="Z10">
        <v>987</v>
      </c>
      <c r="AA10" t="s">
        <v>150</v>
      </c>
      <c r="AB10">
        <v>200</v>
      </c>
      <c r="AC10">
        <v>15764</v>
      </c>
      <c r="AD10">
        <f t="shared" si="3"/>
        <v>67327</v>
      </c>
      <c r="AE10">
        <v>121</v>
      </c>
      <c r="AF10">
        <f t="shared" ref="AF10:AM10" si="15">SUM(AE7:AE10)</f>
        <v>282</v>
      </c>
      <c r="AG10">
        <v>129</v>
      </c>
      <c r="AH10" t="s">
        <v>150</v>
      </c>
      <c r="AI10">
        <v>50</v>
      </c>
      <c r="AJ10">
        <v>3432</v>
      </c>
      <c r="AK10">
        <f t="shared" si="15"/>
        <v>14147</v>
      </c>
      <c r="AL10">
        <v>188</v>
      </c>
      <c r="AM10">
        <f t="shared" si="15"/>
        <v>830</v>
      </c>
      <c r="AN10">
        <v>858</v>
      </c>
      <c r="AO10" t="s">
        <v>150</v>
      </c>
      <c r="AP10">
        <v>125</v>
      </c>
      <c r="AQ10">
        <v>12332</v>
      </c>
      <c r="AR10">
        <f t="shared" si="5"/>
        <v>53180</v>
      </c>
    </row>
    <row r="11" spans="1:44" x14ac:dyDescent="0.25">
      <c r="A11">
        <v>2022</v>
      </c>
      <c r="B11">
        <v>2</v>
      </c>
      <c r="C11">
        <f t="shared" si="0"/>
        <v>323</v>
      </c>
      <c r="D11">
        <f t="shared" si="6"/>
        <v>1017</v>
      </c>
      <c r="E11">
        <v>1285</v>
      </c>
      <c r="F11" t="s">
        <v>150</v>
      </c>
      <c r="G11">
        <v>200</v>
      </c>
      <c r="H11">
        <v>14197</v>
      </c>
      <c r="I11">
        <f t="shared" si="6"/>
        <v>52168</v>
      </c>
      <c r="J11">
        <v>82</v>
      </c>
      <c r="K11">
        <f t="shared" si="6"/>
        <v>211</v>
      </c>
      <c r="L11">
        <v>165</v>
      </c>
      <c r="M11" t="s">
        <v>150</v>
      </c>
      <c r="N11">
        <v>50</v>
      </c>
      <c r="O11">
        <v>3211</v>
      </c>
      <c r="P11">
        <f t="shared" si="7"/>
        <v>11572</v>
      </c>
      <c r="Q11">
        <v>241</v>
      </c>
      <c r="R11">
        <f t="shared" ref="R11:Y11" si="16">SUM(Q8:Q11)</f>
        <v>806</v>
      </c>
      <c r="S11">
        <v>1120</v>
      </c>
      <c r="T11" t="s">
        <v>150</v>
      </c>
      <c r="U11">
        <v>125</v>
      </c>
      <c r="V11">
        <v>10986</v>
      </c>
      <c r="W11">
        <f t="shared" si="16"/>
        <v>40596</v>
      </c>
      <c r="X11">
        <f t="shared" si="1"/>
        <v>319</v>
      </c>
      <c r="Y11">
        <f t="shared" si="16"/>
        <v>965</v>
      </c>
      <c r="Z11">
        <v>1003</v>
      </c>
      <c r="AA11" t="s">
        <v>150</v>
      </c>
      <c r="AB11">
        <v>200</v>
      </c>
      <c r="AC11">
        <v>18255</v>
      </c>
      <c r="AD11">
        <f t="shared" si="3"/>
        <v>66783</v>
      </c>
      <c r="AE11">
        <v>116</v>
      </c>
      <c r="AF11">
        <f t="shared" ref="AF11:AM11" si="17">SUM(AE8:AE11)</f>
        <v>309</v>
      </c>
      <c r="AG11">
        <v>181</v>
      </c>
      <c r="AH11" t="s">
        <v>150</v>
      </c>
      <c r="AI11">
        <v>50</v>
      </c>
      <c r="AJ11">
        <v>4125</v>
      </c>
      <c r="AK11">
        <f t="shared" si="17"/>
        <v>14470</v>
      </c>
      <c r="AL11">
        <v>203</v>
      </c>
      <c r="AM11">
        <f t="shared" si="17"/>
        <v>656</v>
      </c>
      <c r="AN11">
        <v>822</v>
      </c>
      <c r="AO11" t="s">
        <v>150</v>
      </c>
      <c r="AP11">
        <v>125</v>
      </c>
      <c r="AQ11">
        <v>14130</v>
      </c>
      <c r="AR11">
        <f t="shared" si="5"/>
        <v>52313</v>
      </c>
    </row>
    <row r="12" spans="1:44" x14ac:dyDescent="0.25">
      <c r="A12">
        <v>2022</v>
      </c>
      <c r="B12">
        <v>3</v>
      </c>
      <c r="C12">
        <f t="shared" si="0"/>
        <v>273</v>
      </c>
      <c r="D12">
        <f t="shared" si="6"/>
        <v>1210</v>
      </c>
      <c r="E12">
        <v>1161</v>
      </c>
      <c r="F12" t="s">
        <v>150</v>
      </c>
      <c r="G12">
        <v>200</v>
      </c>
      <c r="H12">
        <v>9945</v>
      </c>
      <c r="I12">
        <f t="shared" si="6"/>
        <v>51773</v>
      </c>
      <c r="J12">
        <v>69</v>
      </c>
      <c r="K12">
        <f t="shared" si="6"/>
        <v>255</v>
      </c>
      <c r="L12">
        <v>144</v>
      </c>
      <c r="M12" t="s">
        <v>150</v>
      </c>
      <c r="N12">
        <v>50</v>
      </c>
      <c r="O12">
        <v>2557</v>
      </c>
      <c r="P12">
        <f t="shared" si="7"/>
        <v>12144</v>
      </c>
      <c r="Q12">
        <v>204</v>
      </c>
      <c r="R12">
        <f t="shared" ref="R12:Y12" si="18">SUM(Q9:Q12)</f>
        <v>955</v>
      </c>
      <c r="S12">
        <v>1017</v>
      </c>
      <c r="T12" t="s">
        <v>150</v>
      </c>
      <c r="U12">
        <v>125</v>
      </c>
      <c r="V12">
        <v>7388</v>
      </c>
      <c r="W12">
        <f t="shared" si="18"/>
        <v>39629</v>
      </c>
      <c r="X12">
        <f t="shared" si="1"/>
        <v>43</v>
      </c>
      <c r="Y12">
        <f t="shared" si="18"/>
        <v>852</v>
      </c>
      <c r="Z12">
        <v>1026</v>
      </c>
      <c r="AA12" t="s">
        <v>150</v>
      </c>
      <c r="AB12">
        <v>200</v>
      </c>
      <c r="AC12">
        <v>11338</v>
      </c>
      <c r="AD12">
        <f t="shared" si="3"/>
        <v>64795</v>
      </c>
      <c r="AE12">
        <v>43</v>
      </c>
      <c r="AF12">
        <f t="shared" ref="AF12:AM12" si="19">SUM(AE9:AE12)</f>
        <v>302</v>
      </c>
      <c r="AG12">
        <v>204</v>
      </c>
      <c r="AH12" t="s">
        <v>150</v>
      </c>
      <c r="AI12">
        <v>50</v>
      </c>
      <c r="AJ12">
        <v>2553</v>
      </c>
      <c r="AK12">
        <f t="shared" si="19"/>
        <v>13708</v>
      </c>
      <c r="AL12">
        <v>0</v>
      </c>
      <c r="AM12">
        <f t="shared" si="19"/>
        <v>550</v>
      </c>
      <c r="AN12">
        <v>822</v>
      </c>
      <c r="AO12" t="s">
        <v>150</v>
      </c>
      <c r="AP12">
        <v>125</v>
      </c>
      <c r="AQ12">
        <v>8785</v>
      </c>
      <c r="AR12">
        <f t="shared" si="5"/>
        <v>51087</v>
      </c>
    </row>
    <row r="13" spans="1:44" x14ac:dyDescent="0.25">
      <c r="A13">
        <v>2022</v>
      </c>
      <c r="B13">
        <v>4</v>
      </c>
      <c r="C13">
        <f t="shared" si="0"/>
        <v>321</v>
      </c>
      <c r="D13">
        <f t="shared" si="6"/>
        <v>1312</v>
      </c>
      <c r="E13">
        <v>957</v>
      </c>
      <c r="F13" t="s">
        <v>150</v>
      </c>
      <c r="G13">
        <v>200</v>
      </c>
      <c r="H13">
        <v>17229</v>
      </c>
      <c r="I13">
        <f t="shared" si="6"/>
        <v>54018</v>
      </c>
      <c r="J13">
        <v>68</v>
      </c>
      <c r="K13">
        <f t="shared" si="6"/>
        <v>255</v>
      </c>
      <c r="L13">
        <v>154</v>
      </c>
      <c r="M13" t="s">
        <v>150</v>
      </c>
      <c r="N13">
        <v>50</v>
      </c>
      <c r="O13">
        <v>3665</v>
      </c>
      <c r="P13">
        <f t="shared" si="7"/>
        <v>12760</v>
      </c>
      <c r="Q13">
        <v>253</v>
      </c>
      <c r="R13">
        <f t="shared" ref="R13:Y13" si="20">SUM(Q10:Q13)</f>
        <v>1057</v>
      </c>
      <c r="S13">
        <v>803</v>
      </c>
      <c r="T13" t="s">
        <v>150</v>
      </c>
      <c r="U13">
        <v>125</v>
      </c>
      <c r="V13">
        <v>13564</v>
      </c>
      <c r="W13">
        <f t="shared" si="20"/>
        <v>41258</v>
      </c>
      <c r="X13">
        <f t="shared" si="1"/>
        <v>43</v>
      </c>
      <c r="Y13">
        <f t="shared" si="20"/>
        <v>714</v>
      </c>
      <c r="Z13">
        <v>1123</v>
      </c>
      <c r="AA13" t="s">
        <v>150</v>
      </c>
      <c r="AB13">
        <v>200</v>
      </c>
      <c r="AC13">
        <v>10837</v>
      </c>
      <c r="AD13">
        <f t="shared" si="3"/>
        <v>56194</v>
      </c>
      <c r="AE13">
        <v>43</v>
      </c>
      <c r="AF13">
        <f t="shared" ref="AF13:AM13" si="21">SUM(AE10:AE13)</f>
        <v>323</v>
      </c>
      <c r="AG13">
        <v>189</v>
      </c>
      <c r="AH13" t="s">
        <v>150</v>
      </c>
      <c r="AI13">
        <v>50</v>
      </c>
      <c r="AJ13">
        <v>2508</v>
      </c>
      <c r="AK13">
        <f t="shared" si="21"/>
        <v>12618</v>
      </c>
      <c r="AL13">
        <v>0</v>
      </c>
      <c r="AM13">
        <f t="shared" si="21"/>
        <v>391</v>
      </c>
      <c r="AN13">
        <v>934</v>
      </c>
      <c r="AO13" t="s">
        <v>150</v>
      </c>
      <c r="AP13">
        <v>125</v>
      </c>
      <c r="AQ13">
        <v>8329</v>
      </c>
      <c r="AR13">
        <f t="shared" si="5"/>
        <v>43576</v>
      </c>
    </row>
    <row r="14" spans="1:44" x14ac:dyDescent="0.25">
      <c r="A14">
        <v>2023</v>
      </c>
      <c r="B14">
        <v>1</v>
      </c>
      <c r="C14">
        <f t="shared" si="0"/>
        <v>272</v>
      </c>
      <c r="D14">
        <f t="shared" si="6"/>
        <v>1189</v>
      </c>
      <c r="E14">
        <v>1097</v>
      </c>
      <c r="F14" t="s">
        <v>150</v>
      </c>
      <c r="G14">
        <v>200</v>
      </c>
      <c r="H14">
        <v>18662</v>
      </c>
      <c r="I14">
        <f t="shared" si="6"/>
        <v>60033</v>
      </c>
      <c r="J14">
        <v>54</v>
      </c>
      <c r="K14">
        <f t="shared" si="6"/>
        <v>273</v>
      </c>
      <c r="L14">
        <v>158</v>
      </c>
      <c r="M14" t="s">
        <v>150</v>
      </c>
      <c r="N14">
        <v>50</v>
      </c>
      <c r="O14">
        <v>4056</v>
      </c>
      <c r="P14">
        <f t="shared" si="7"/>
        <v>13489</v>
      </c>
      <c r="Q14">
        <v>218</v>
      </c>
      <c r="R14">
        <f t="shared" ref="R14:Y14" si="22">SUM(Q11:Q14)</f>
        <v>916</v>
      </c>
      <c r="S14">
        <v>939</v>
      </c>
      <c r="T14" t="s">
        <v>150</v>
      </c>
      <c r="U14">
        <v>125</v>
      </c>
      <c r="V14">
        <v>14606</v>
      </c>
      <c r="W14">
        <f t="shared" si="22"/>
        <v>46544</v>
      </c>
      <c r="X14">
        <f t="shared" si="1"/>
        <v>133</v>
      </c>
      <c r="Y14">
        <f t="shared" si="22"/>
        <v>538</v>
      </c>
      <c r="Z14">
        <v>1112</v>
      </c>
      <c r="AA14" t="s">
        <v>150</v>
      </c>
      <c r="AB14">
        <v>200</v>
      </c>
      <c r="AC14">
        <v>7954</v>
      </c>
      <c r="AD14">
        <f t="shared" si="3"/>
        <v>48384</v>
      </c>
      <c r="AE14">
        <v>20</v>
      </c>
      <c r="AF14">
        <f t="shared" ref="AF14:AM14" si="23">SUM(AE11:AE14)</f>
        <v>222</v>
      </c>
      <c r="AG14">
        <v>282</v>
      </c>
      <c r="AH14" t="s">
        <v>150</v>
      </c>
      <c r="AI14">
        <v>50</v>
      </c>
      <c r="AJ14">
        <v>1932</v>
      </c>
      <c r="AK14">
        <f t="shared" si="23"/>
        <v>11118</v>
      </c>
      <c r="AL14">
        <v>113</v>
      </c>
      <c r="AM14">
        <f t="shared" si="23"/>
        <v>316</v>
      </c>
      <c r="AN14">
        <v>830</v>
      </c>
      <c r="AO14" t="s">
        <v>150</v>
      </c>
      <c r="AP14">
        <v>125</v>
      </c>
      <c r="AQ14">
        <v>6022</v>
      </c>
      <c r="AR14">
        <f t="shared" si="5"/>
        <v>37266</v>
      </c>
    </row>
    <row r="15" spans="1:44" x14ac:dyDescent="0.25">
      <c r="A15">
        <v>2023</v>
      </c>
      <c r="B15">
        <v>2</v>
      </c>
      <c r="C15">
        <f t="shared" si="0"/>
        <v>427</v>
      </c>
      <c r="D15">
        <f t="shared" si="6"/>
        <v>1293</v>
      </c>
      <c r="E15">
        <v>1017</v>
      </c>
      <c r="F15" t="s">
        <v>150</v>
      </c>
      <c r="G15">
        <v>200</v>
      </c>
      <c r="H15">
        <v>15950</v>
      </c>
      <c r="I15">
        <f t="shared" si="6"/>
        <v>61786</v>
      </c>
      <c r="J15">
        <v>65</v>
      </c>
      <c r="K15">
        <f t="shared" si="6"/>
        <v>256</v>
      </c>
      <c r="L15">
        <v>211</v>
      </c>
      <c r="M15" t="s">
        <v>150</v>
      </c>
      <c r="N15">
        <v>50</v>
      </c>
      <c r="O15">
        <v>3373</v>
      </c>
      <c r="P15">
        <f t="shared" si="7"/>
        <v>13651</v>
      </c>
      <c r="Q15">
        <v>362</v>
      </c>
      <c r="R15">
        <f t="shared" ref="R15:Y15" si="24">SUM(Q12:Q15)</f>
        <v>1037</v>
      </c>
      <c r="S15">
        <v>806</v>
      </c>
      <c r="T15" t="s">
        <v>150</v>
      </c>
      <c r="U15">
        <v>125</v>
      </c>
      <c r="V15">
        <v>12577</v>
      </c>
      <c r="W15">
        <f t="shared" si="24"/>
        <v>48135</v>
      </c>
      <c r="X15">
        <f t="shared" si="1"/>
        <v>16</v>
      </c>
      <c r="Y15">
        <f t="shared" si="24"/>
        <v>235</v>
      </c>
      <c r="Z15">
        <v>965</v>
      </c>
      <c r="AA15" t="s">
        <v>150</v>
      </c>
      <c r="AB15">
        <v>200</v>
      </c>
      <c r="AC15">
        <v>7014</v>
      </c>
      <c r="AD15">
        <f t="shared" si="3"/>
        <v>37143</v>
      </c>
      <c r="AE15">
        <v>10</v>
      </c>
      <c r="AF15">
        <f t="shared" ref="AF15:AM15" si="25">SUM(AE12:AE15)</f>
        <v>116</v>
      </c>
      <c r="AG15">
        <v>309</v>
      </c>
      <c r="AH15" t="s">
        <v>150</v>
      </c>
      <c r="AI15">
        <v>50</v>
      </c>
      <c r="AJ15">
        <v>1738</v>
      </c>
      <c r="AK15">
        <f t="shared" si="25"/>
        <v>8731</v>
      </c>
      <c r="AL15">
        <v>6</v>
      </c>
      <c r="AM15">
        <f t="shared" si="25"/>
        <v>119</v>
      </c>
      <c r="AN15">
        <v>656</v>
      </c>
      <c r="AO15" t="s">
        <v>150</v>
      </c>
      <c r="AP15">
        <v>125</v>
      </c>
      <c r="AQ15">
        <v>5276</v>
      </c>
      <c r="AR15">
        <f t="shared" si="5"/>
        <v>28412</v>
      </c>
    </row>
    <row r="16" spans="1:44" x14ac:dyDescent="0.25">
      <c r="A16">
        <v>2023</v>
      </c>
      <c r="B16">
        <v>3</v>
      </c>
      <c r="C16">
        <f t="shared" si="0"/>
        <v>87</v>
      </c>
      <c r="D16">
        <f t="shared" si="6"/>
        <v>1107</v>
      </c>
      <c r="E16">
        <v>1210</v>
      </c>
      <c r="F16" t="s">
        <v>150</v>
      </c>
      <c r="G16">
        <v>200</v>
      </c>
      <c r="H16">
        <v>14364</v>
      </c>
      <c r="I16">
        <f t="shared" si="6"/>
        <v>66205</v>
      </c>
      <c r="J16">
        <v>41</v>
      </c>
      <c r="K16">
        <f t="shared" si="6"/>
        <v>228</v>
      </c>
      <c r="L16">
        <v>255</v>
      </c>
      <c r="M16" t="s">
        <v>150</v>
      </c>
      <c r="N16">
        <v>50</v>
      </c>
      <c r="O16">
        <v>2344</v>
      </c>
      <c r="P16">
        <f t="shared" si="7"/>
        <v>13438</v>
      </c>
      <c r="Q16">
        <v>46</v>
      </c>
      <c r="R16">
        <f t="shared" ref="R16:Y16" si="26">SUM(Q13:Q16)</f>
        <v>879</v>
      </c>
      <c r="S16">
        <v>955</v>
      </c>
      <c r="T16" t="s">
        <v>150</v>
      </c>
      <c r="U16">
        <v>125</v>
      </c>
      <c r="V16">
        <v>12020</v>
      </c>
      <c r="W16">
        <f t="shared" si="26"/>
        <v>52767</v>
      </c>
      <c r="X16">
        <f t="shared" si="1"/>
        <v>147</v>
      </c>
      <c r="Y16">
        <f t="shared" si="26"/>
        <v>339</v>
      </c>
      <c r="Z16">
        <v>852</v>
      </c>
      <c r="AA16" t="s">
        <v>150</v>
      </c>
      <c r="AB16">
        <v>200</v>
      </c>
      <c r="AC16">
        <v>5849</v>
      </c>
      <c r="AD16">
        <f t="shared" si="3"/>
        <v>31654</v>
      </c>
      <c r="AE16">
        <v>7</v>
      </c>
      <c r="AF16">
        <f t="shared" ref="AF16:AM16" si="27">SUM(AE13:AE16)</f>
        <v>80</v>
      </c>
      <c r="AG16">
        <v>302</v>
      </c>
      <c r="AH16" t="s">
        <v>150</v>
      </c>
      <c r="AI16">
        <v>50</v>
      </c>
      <c r="AJ16">
        <v>1353</v>
      </c>
      <c r="AK16">
        <f t="shared" si="27"/>
        <v>7531</v>
      </c>
      <c r="AL16">
        <v>140</v>
      </c>
      <c r="AM16">
        <f t="shared" si="27"/>
        <v>259</v>
      </c>
      <c r="AN16">
        <v>550</v>
      </c>
      <c r="AO16" t="s">
        <v>150</v>
      </c>
      <c r="AP16">
        <v>125</v>
      </c>
      <c r="AQ16">
        <v>4496</v>
      </c>
      <c r="AR16">
        <f t="shared" si="5"/>
        <v>24123</v>
      </c>
    </row>
    <row r="17" spans="1:44" x14ac:dyDescent="0.25">
      <c r="A17">
        <v>2023</v>
      </c>
      <c r="B17">
        <v>4</v>
      </c>
      <c r="C17">
        <f t="shared" si="0"/>
        <v>166</v>
      </c>
      <c r="D17">
        <f t="shared" si="6"/>
        <v>952</v>
      </c>
      <c r="E17">
        <v>1312</v>
      </c>
      <c r="F17" t="s">
        <v>150</v>
      </c>
      <c r="G17">
        <v>200</v>
      </c>
      <c r="H17">
        <v>16619</v>
      </c>
      <c r="I17">
        <f t="shared" si="6"/>
        <v>65595</v>
      </c>
      <c r="J17">
        <v>25</v>
      </c>
      <c r="K17">
        <f t="shared" si="6"/>
        <v>185</v>
      </c>
      <c r="L17">
        <v>255</v>
      </c>
      <c r="M17" t="s">
        <v>150</v>
      </c>
      <c r="N17">
        <v>50</v>
      </c>
      <c r="O17">
        <v>2439</v>
      </c>
      <c r="P17">
        <f t="shared" si="7"/>
        <v>12212</v>
      </c>
      <c r="Q17">
        <v>141</v>
      </c>
      <c r="R17">
        <f t="shared" ref="R17:Y17" si="28">SUM(Q14:Q17)</f>
        <v>767</v>
      </c>
      <c r="S17">
        <v>1057</v>
      </c>
      <c r="T17" t="s">
        <v>150</v>
      </c>
      <c r="U17">
        <v>125</v>
      </c>
      <c r="V17">
        <v>14180</v>
      </c>
      <c r="W17">
        <f t="shared" si="28"/>
        <v>53383</v>
      </c>
      <c r="X17">
        <f t="shared" si="1"/>
        <v>445</v>
      </c>
      <c r="Y17">
        <f t="shared" si="28"/>
        <v>741</v>
      </c>
      <c r="Z17">
        <v>714</v>
      </c>
      <c r="AA17" t="s">
        <v>150</v>
      </c>
      <c r="AB17">
        <v>200</v>
      </c>
      <c r="AC17">
        <v>8091</v>
      </c>
      <c r="AD17">
        <f t="shared" si="3"/>
        <v>28908</v>
      </c>
      <c r="AE17">
        <v>55</v>
      </c>
      <c r="AF17">
        <f t="shared" ref="AF17:AM17" si="29">SUM(AE14:AE17)</f>
        <v>92</v>
      </c>
      <c r="AG17">
        <v>323</v>
      </c>
      <c r="AH17" t="s">
        <v>150</v>
      </c>
      <c r="AI17">
        <v>50</v>
      </c>
      <c r="AJ17">
        <v>1354</v>
      </c>
      <c r="AK17">
        <f t="shared" si="29"/>
        <v>6377</v>
      </c>
      <c r="AL17">
        <v>390</v>
      </c>
      <c r="AM17">
        <f t="shared" si="29"/>
        <v>649</v>
      </c>
      <c r="AN17">
        <v>391</v>
      </c>
      <c r="AO17" t="s">
        <v>150</v>
      </c>
      <c r="AP17">
        <v>125</v>
      </c>
      <c r="AQ17">
        <v>6737</v>
      </c>
      <c r="AR17">
        <f t="shared" si="5"/>
        <v>22531</v>
      </c>
    </row>
    <row r="18" spans="1:44" x14ac:dyDescent="0.25">
      <c r="A18">
        <v>2024</v>
      </c>
      <c r="B18">
        <v>1</v>
      </c>
      <c r="C18">
        <f t="shared" si="0"/>
        <v>116</v>
      </c>
      <c r="D18">
        <f t="shared" si="6"/>
        <v>796</v>
      </c>
      <c r="E18">
        <v>1189</v>
      </c>
      <c r="F18" t="s">
        <v>150</v>
      </c>
      <c r="G18">
        <v>200</v>
      </c>
      <c r="H18">
        <v>16203</v>
      </c>
      <c r="I18">
        <f t="shared" si="6"/>
        <v>63136</v>
      </c>
      <c r="J18">
        <v>10</v>
      </c>
      <c r="K18">
        <f t="shared" si="6"/>
        <v>141</v>
      </c>
      <c r="L18">
        <v>273</v>
      </c>
      <c r="M18" t="s">
        <v>150</v>
      </c>
      <c r="N18">
        <v>50</v>
      </c>
      <c r="O18">
        <v>2481</v>
      </c>
      <c r="P18">
        <f t="shared" si="7"/>
        <v>10637</v>
      </c>
      <c r="Q18">
        <v>106</v>
      </c>
      <c r="R18">
        <f t="shared" ref="R18:Y18" si="30">SUM(Q15:Q18)</f>
        <v>655</v>
      </c>
      <c r="S18">
        <v>916</v>
      </c>
      <c r="T18" t="s">
        <v>150</v>
      </c>
      <c r="U18">
        <v>125</v>
      </c>
      <c r="V18">
        <v>13722</v>
      </c>
      <c r="W18">
        <f t="shared" si="30"/>
        <v>52499</v>
      </c>
      <c r="X18">
        <f t="shared" si="1"/>
        <v>329</v>
      </c>
      <c r="Y18">
        <f t="shared" si="30"/>
        <v>937</v>
      </c>
      <c r="Z18">
        <v>538</v>
      </c>
      <c r="AA18" t="s">
        <v>150</v>
      </c>
      <c r="AB18">
        <v>200</v>
      </c>
      <c r="AC18">
        <v>8686</v>
      </c>
      <c r="AD18">
        <f t="shared" si="3"/>
        <v>29640</v>
      </c>
      <c r="AE18">
        <v>19</v>
      </c>
      <c r="AF18">
        <f t="shared" ref="AF18:AM18" si="31">SUM(AE15:AE18)</f>
        <v>91</v>
      </c>
      <c r="AG18">
        <v>222</v>
      </c>
      <c r="AH18" t="s">
        <v>150</v>
      </c>
      <c r="AI18">
        <v>50</v>
      </c>
      <c r="AJ18">
        <v>1320</v>
      </c>
      <c r="AK18">
        <f t="shared" si="31"/>
        <v>5765</v>
      </c>
      <c r="AL18">
        <v>310</v>
      </c>
      <c r="AM18">
        <f t="shared" si="31"/>
        <v>846</v>
      </c>
      <c r="AN18">
        <v>316</v>
      </c>
      <c r="AO18" t="s">
        <v>150</v>
      </c>
      <c r="AP18">
        <v>125</v>
      </c>
      <c r="AQ18">
        <v>7366</v>
      </c>
      <c r="AR18">
        <f t="shared" si="5"/>
        <v>23875</v>
      </c>
    </row>
    <row r="19" spans="1:44" x14ac:dyDescent="0.25">
      <c r="A19">
        <v>2024</v>
      </c>
      <c r="B19">
        <v>2</v>
      </c>
      <c r="C19">
        <f t="shared" si="0"/>
        <v>64</v>
      </c>
      <c r="D19">
        <f t="shared" si="6"/>
        <v>433</v>
      </c>
      <c r="E19">
        <v>1293</v>
      </c>
      <c r="F19" t="s">
        <v>150</v>
      </c>
      <c r="G19">
        <v>200</v>
      </c>
      <c r="H19">
        <v>10456</v>
      </c>
      <c r="I19">
        <f t="shared" si="6"/>
        <v>57642</v>
      </c>
      <c r="J19">
        <v>14</v>
      </c>
      <c r="K19">
        <f t="shared" si="6"/>
        <v>90</v>
      </c>
      <c r="L19">
        <v>256</v>
      </c>
      <c r="M19" t="s">
        <v>150</v>
      </c>
      <c r="N19">
        <v>50</v>
      </c>
      <c r="O19">
        <v>1560</v>
      </c>
      <c r="P19">
        <f t="shared" si="7"/>
        <v>8824</v>
      </c>
      <c r="Q19">
        <v>50</v>
      </c>
      <c r="R19">
        <f t="shared" ref="R19:Y19" si="32">SUM(Q16:Q19)</f>
        <v>343</v>
      </c>
      <c r="S19">
        <v>1037</v>
      </c>
      <c r="T19" t="s">
        <v>150</v>
      </c>
      <c r="U19">
        <v>125</v>
      </c>
      <c r="V19">
        <v>8896</v>
      </c>
      <c r="W19">
        <f t="shared" si="32"/>
        <v>48818</v>
      </c>
      <c r="X19">
        <f t="shared" si="1"/>
        <v>111</v>
      </c>
      <c r="Y19">
        <f t="shared" si="32"/>
        <v>1032</v>
      </c>
      <c r="Z19">
        <v>235</v>
      </c>
      <c r="AA19" t="s">
        <v>150</v>
      </c>
      <c r="AB19">
        <v>200</v>
      </c>
      <c r="AC19">
        <v>7115</v>
      </c>
      <c r="AD19">
        <f t="shared" si="3"/>
        <v>29741</v>
      </c>
      <c r="AE19">
        <v>17</v>
      </c>
      <c r="AF19">
        <f t="shared" ref="AF19:AM19" si="33">SUM(AE16:AE19)</f>
        <v>98</v>
      </c>
      <c r="AG19">
        <v>116</v>
      </c>
      <c r="AH19" t="s">
        <v>150</v>
      </c>
      <c r="AI19">
        <v>50</v>
      </c>
      <c r="AJ19">
        <v>1377</v>
      </c>
      <c r="AK19">
        <f t="shared" si="33"/>
        <v>5404</v>
      </c>
      <c r="AL19">
        <v>94</v>
      </c>
      <c r="AM19">
        <f t="shared" si="33"/>
        <v>934</v>
      </c>
      <c r="AN19">
        <v>119</v>
      </c>
      <c r="AO19" t="s">
        <v>150</v>
      </c>
      <c r="AP19">
        <v>125</v>
      </c>
      <c r="AQ19">
        <v>5738</v>
      </c>
      <c r="AR19">
        <f t="shared" si="5"/>
        <v>24337</v>
      </c>
    </row>
    <row r="20" spans="1:44" x14ac:dyDescent="0.25">
      <c r="A20">
        <v>2024</v>
      </c>
      <c r="B20">
        <v>3</v>
      </c>
      <c r="C20">
        <f t="shared" si="0"/>
        <v>30</v>
      </c>
      <c r="D20">
        <f t="shared" si="6"/>
        <v>376</v>
      </c>
      <c r="E20">
        <v>1107</v>
      </c>
      <c r="F20" t="s">
        <v>150</v>
      </c>
      <c r="G20">
        <v>200</v>
      </c>
      <c r="H20">
        <v>7285</v>
      </c>
      <c r="I20">
        <f t="shared" si="6"/>
        <v>50563</v>
      </c>
      <c r="J20">
        <v>18</v>
      </c>
      <c r="K20">
        <f t="shared" si="6"/>
        <v>67</v>
      </c>
      <c r="L20">
        <v>228</v>
      </c>
      <c r="M20" t="s">
        <v>150</v>
      </c>
      <c r="N20">
        <v>50</v>
      </c>
      <c r="O20">
        <v>1030</v>
      </c>
      <c r="P20">
        <f t="shared" si="7"/>
        <v>7510</v>
      </c>
      <c r="Q20">
        <v>12</v>
      </c>
      <c r="R20">
        <f t="shared" ref="R20:Y20" si="34">SUM(Q17:Q20)</f>
        <v>309</v>
      </c>
      <c r="S20">
        <v>879</v>
      </c>
      <c r="T20" t="s">
        <v>150</v>
      </c>
      <c r="U20">
        <v>125</v>
      </c>
      <c r="V20">
        <v>6255</v>
      </c>
      <c r="W20">
        <f t="shared" si="34"/>
        <v>43053</v>
      </c>
      <c r="X20">
        <f t="shared" si="1"/>
        <v>67</v>
      </c>
      <c r="Y20">
        <f t="shared" si="34"/>
        <v>952</v>
      </c>
      <c r="Z20">
        <v>339</v>
      </c>
      <c r="AA20" t="s">
        <v>150</v>
      </c>
      <c r="AB20">
        <v>200</v>
      </c>
      <c r="AC20">
        <v>4975</v>
      </c>
      <c r="AD20">
        <f t="shared" si="3"/>
        <v>28867</v>
      </c>
      <c r="AE20">
        <v>67</v>
      </c>
      <c r="AF20">
        <f t="shared" ref="AF20:AM20" si="35">SUM(AE17:AE20)</f>
        <v>158</v>
      </c>
      <c r="AG20">
        <v>80</v>
      </c>
      <c r="AH20" t="s">
        <v>150</v>
      </c>
      <c r="AI20">
        <v>50</v>
      </c>
      <c r="AJ20">
        <v>1382</v>
      </c>
      <c r="AK20">
        <f t="shared" si="35"/>
        <v>5433</v>
      </c>
      <c r="AL20">
        <v>0</v>
      </c>
      <c r="AM20">
        <f t="shared" si="35"/>
        <v>794</v>
      </c>
      <c r="AN20">
        <v>259</v>
      </c>
      <c r="AO20" t="s">
        <v>150</v>
      </c>
      <c r="AP20">
        <v>125</v>
      </c>
      <c r="AQ20">
        <v>3593</v>
      </c>
      <c r="AR20">
        <f t="shared" si="5"/>
        <v>23434</v>
      </c>
    </row>
    <row r="21" spans="1:44" x14ac:dyDescent="0.25">
      <c r="A21">
        <v>2024</v>
      </c>
      <c r="B21">
        <v>4</v>
      </c>
      <c r="C21">
        <f t="shared" si="0"/>
        <v>61</v>
      </c>
      <c r="D21">
        <f t="shared" si="6"/>
        <v>271</v>
      </c>
      <c r="E21">
        <v>952</v>
      </c>
      <c r="F21" t="s">
        <v>150</v>
      </c>
      <c r="G21">
        <v>200</v>
      </c>
      <c r="H21">
        <v>11531</v>
      </c>
      <c r="I21">
        <f t="shared" si="6"/>
        <v>45475</v>
      </c>
      <c r="J21">
        <v>61</v>
      </c>
      <c r="K21">
        <f t="shared" si="6"/>
        <v>103</v>
      </c>
      <c r="L21">
        <v>185</v>
      </c>
      <c r="M21" t="s">
        <v>150</v>
      </c>
      <c r="N21">
        <v>50</v>
      </c>
      <c r="O21">
        <v>1553</v>
      </c>
      <c r="P21">
        <f t="shared" si="7"/>
        <v>6624</v>
      </c>
      <c r="Q21">
        <v>0</v>
      </c>
      <c r="R21">
        <f t="shared" ref="R21:Y21" si="36">SUM(Q18:Q21)</f>
        <v>168</v>
      </c>
      <c r="S21">
        <v>767</v>
      </c>
      <c r="T21" t="s">
        <v>150</v>
      </c>
      <c r="U21">
        <v>125</v>
      </c>
      <c r="V21">
        <v>9978</v>
      </c>
      <c r="W21">
        <f t="shared" si="36"/>
        <v>38851</v>
      </c>
      <c r="X21">
        <f t="shared" si="1"/>
        <v>18</v>
      </c>
      <c r="Y21">
        <f t="shared" si="36"/>
        <v>525</v>
      </c>
      <c r="Z21">
        <v>741</v>
      </c>
      <c r="AA21" t="s">
        <v>150</v>
      </c>
      <c r="AB21">
        <v>200</v>
      </c>
      <c r="AC21">
        <v>6397</v>
      </c>
      <c r="AD21">
        <f t="shared" si="3"/>
        <v>27173</v>
      </c>
      <c r="AE21">
        <v>18</v>
      </c>
      <c r="AF21">
        <f t="shared" ref="AF21:AM21" si="37">SUM(AE18:AE21)</f>
        <v>121</v>
      </c>
      <c r="AG21">
        <v>92</v>
      </c>
      <c r="AH21" t="s">
        <v>150</v>
      </c>
      <c r="AI21">
        <v>50</v>
      </c>
      <c r="AJ21">
        <v>1403</v>
      </c>
      <c r="AK21">
        <f t="shared" si="37"/>
        <v>5482</v>
      </c>
      <c r="AL21">
        <v>0</v>
      </c>
      <c r="AM21">
        <f t="shared" si="37"/>
        <v>404</v>
      </c>
      <c r="AN21">
        <v>649</v>
      </c>
      <c r="AO21" t="s">
        <v>150</v>
      </c>
      <c r="AP21">
        <v>125</v>
      </c>
      <c r="AQ21">
        <v>4994</v>
      </c>
      <c r="AR21">
        <f t="shared" si="5"/>
        <v>21691</v>
      </c>
    </row>
    <row r="22" spans="1:44" x14ac:dyDescent="0.25">
      <c r="A22">
        <v>2025</v>
      </c>
      <c r="B22">
        <v>1</v>
      </c>
      <c r="C22">
        <f t="shared" si="0"/>
        <v>140</v>
      </c>
      <c r="D22">
        <f t="shared" si="6"/>
        <v>295</v>
      </c>
      <c r="E22">
        <v>796</v>
      </c>
      <c r="F22" t="s">
        <v>150</v>
      </c>
      <c r="G22">
        <v>200</v>
      </c>
      <c r="H22">
        <v>9103</v>
      </c>
      <c r="I22">
        <f t="shared" si="6"/>
        <v>38375</v>
      </c>
      <c r="J22">
        <v>26</v>
      </c>
      <c r="K22">
        <f t="shared" si="6"/>
        <v>119</v>
      </c>
      <c r="L22">
        <v>141</v>
      </c>
      <c r="M22" t="s">
        <v>150</v>
      </c>
      <c r="N22">
        <v>50</v>
      </c>
      <c r="O22">
        <v>1499</v>
      </c>
      <c r="P22">
        <f t="shared" si="7"/>
        <v>5642</v>
      </c>
      <c r="Q22">
        <v>114</v>
      </c>
      <c r="R22">
        <f t="shared" ref="R22:Y22" si="38">SUM(Q19:Q22)</f>
        <v>176</v>
      </c>
      <c r="S22">
        <v>655</v>
      </c>
      <c r="T22" t="s">
        <v>150</v>
      </c>
      <c r="U22">
        <v>125</v>
      </c>
      <c r="V22">
        <v>7604</v>
      </c>
      <c r="W22">
        <f t="shared" si="38"/>
        <v>32733</v>
      </c>
      <c r="X22">
        <v>207</v>
      </c>
      <c r="Y22">
        <f t="shared" si="38"/>
        <v>403</v>
      </c>
      <c r="Z22">
        <v>937</v>
      </c>
      <c r="AA22" t="s">
        <v>150</v>
      </c>
      <c r="AB22">
        <v>200</v>
      </c>
      <c r="AC22">
        <v>6357</v>
      </c>
      <c r="AD22">
        <f t="shared" si="3"/>
        <v>24844</v>
      </c>
      <c r="AE22">
        <v>43</v>
      </c>
      <c r="AF22">
        <f t="shared" ref="AF22:AM22" si="39">SUM(AE19:AE22)</f>
        <v>145</v>
      </c>
      <c r="AG22">
        <v>91</v>
      </c>
      <c r="AH22" t="s">
        <v>150</v>
      </c>
      <c r="AI22">
        <v>50</v>
      </c>
      <c r="AJ22">
        <v>1395</v>
      </c>
      <c r="AK22">
        <f t="shared" si="39"/>
        <v>5557</v>
      </c>
      <c r="AL22">
        <v>164</v>
      </c>
      <c r="AM22">
        <f t="shared" si="39"/>
        <v>258</v>
      </c>
      <c r="AN22">
        <v>846</v>
      </c>
      <c r="AO22" t="s">
        <v>150</v>
      </c>
      <c r="AP22">
        <v>125</v>
      </c>
      <c r="AQ22">
        <v>4962</v>
      </c>
      <c r="AR22">
        <f t="shared" si="5"/>
        <v>19287</v>
      </c>
    </row>
    <row r="23" spans="1:44" x14ac:dyDescent="0.25">
      <c r="A23">
        <v>2025</v>
      </c>
      <c r="B23">
        <v>2</v>
      </c>
      <c r="C23">
        <f t="shared" si="0"/>
        <v>223</v>
      </c>
      <c r="D23">
        <f t="shared" si="6"/>
        <v>454</v>
      </c>
      <c r="E23">
        <v>433</v>
      </c>
      <c r="F23" t="s">
        <v>150</v>
      </c>
      <c r="G23">
        <v>200</v>
      </c>
      <c r="H23">
        <v>7729</v>
      </c>
      <c r="I23">
        <f t="shared" si="6"/>
        <v>35648</v>
      </c>
      <c r="J23">
        <v>27</v>
      </c>
      <c r="K23">
        <f t="shared" si="6"/>
        <v>132</v>
      </c>
      <c r="L23">
        <v>90</v>
      </c>
      <c r="M23" t="s">
        <v>150</v>
      </c>
      <c r="N23">
        <v>50</v>
      </c>
      <c r="O23">
        <v>1452</v>
      </c>
      <c r="P23">
        <f t="shared" si="7"/>
        <v>5534</v>
      </c>
      <c r="Q23">
        <v>196</v>
      </c>
      <c r="R23">
        <f t="shared" ref="R23:Y23" si="40">SUM(Q20:Q23)</f>
        <v>322</v>
      </c>
      <c r="S23">
        <v>343</v>
      </c>
      <c r="T23" t="s">
        <v>150</v>
      </c>
      <c r="U23">
        <v>125</v>
      </c>
      <c r="V23">
        <v>6277</v>
      </c>
      <c r="W23">
        <f t="shared" si="40"/>
        <v>30114</v>
      </c>
      <c r="X23">
        <v>215</v>
      </c>
      <c r="Y23">
        <f t="shared" si="40"/>
        <v>507</v>
      </c>
      <c r="Z23">
        <v>1032</v>
      </c>
      <c r="AA23" t="s">
        <v>150</v>
      </c>
      <c r="AB23">
        <v>200</v>
      </c>
      <c r="AC23">
        <v>7681</v>
      </c>
      <c r="AD23">
        <f t="shared" si="3"/>
        <v>25410</v>
      </c>
      <c r="AE23">
        <v>49</v>
      </c>
      <c r="AF23">
        <f t="shared" ref="AF23:AM23" si="41">SUM(AE20:AE23)</f>
        <v>177</v>
      </c>
      <c r="AG23">
        <v>98</v>
      </c>
      <c r="AH23" t="s">
        <v>150</v>
      </c>
      <c r="AI23">
        <v>50</v>
      </c>
      <c r="AJ23">
        <v>1728</v>
      </c>
      <c r="AK23">
        <f t="shared" si="41"/>
        <v>5908</v>
      </c>
      <c r="AL23">
        <v>166</v>
      </c>
      <c r="AM23">
        <f t="shared" si="41"/>
        <v>330</v>
      </c>
      <c r="AN23">
        <v>934</v>
      </c>
      <c r="AO23" t="s">
        <v>150</v>
      </c>
      <c r="AP23">
        <v>125</v>
      </c>
      <c r="AQ23">
        <v>5953</v>
      </c>
      <c r="AR23">
        <f t="shared" si="5"/>
        <v>19502</v>
      </c>
    </row>
    <row r="24" spans="1:44" x14ac:dyDescent="0.25">
      <c r="A24">
        <v>2025</v>
      </c>
      <c r="B24">
        <v>3</v>
      </c>
      <c r="C24">
        <f t="shared" si="0"/>
        <v>196</v>
      </c>
      <c r="D24">
        <f t="shared" si="6"/>
        <v>620</v>
      </c>
      <c r="E24">
        <v>376</v>
      </c>
      <c r="F24" t="s">
        <v>150</v>
      </c>
      <c r="G24">
        <v>200</v>
      </c>
      <c r="H24">
        <v>4034</v>
      </c>
      <c r="I24">
        <f t="shared" si="6"/>
        <v>32397</v>
      </c>
      <c r="J24">
        <v>33</v>
      </c>
      <c r="K24">
        <f t="shared" si="6"/>
        <v>147</v>
      </c>
      <c r="L24">
        <v>67</v>
      </c>
      <c r="M24" t="s">
        <v>150</v>
      </c>
      <c r="N24">
        <v>50</v>
      </c>
      <c r="O24">
        <v>822</v>
      </c>
      <c r="P24">
        <f t="shared" si="7"/>
        <v>5326</v>
      </c>
      <c r="Q24">
        <v>163</v>
      </c>
      <c r="R24">
        <f t="shared" ref="R24:Y24" si="42">SUM(Q21:Q24)</f>
        <v>473</v>
      </c>
      <c r="S24">
        <v>309</v>
      </c>
      <c r="T24" t="s">
        <v>150</v>
      </c>
      <c r="U24">
        <v>125</v>
      </c>
      <c r="V24">
        <v>3212</v>
      </c>
      <c r="W24">
        <f t="shared" si="42"/>
        <v>27071</v>
      </c>
      <c r="X24">
        <v>115</v>
      </c>
      <c r="Y24">
        <f t="shared" si="42"/>
        <v>555</v>
      </c>
      <c r="Z24">
        <v>952</v>
      </c>
      <c r="AA24" t="s">
        <v>150</v>
      </c>
      <c r="AB24">
        <v>200</v>
      </c>
      <c r="AC24">
        <v>7019</v>
      </c>
      <c r="AD24">
        <f t="shared" si="3"/>
        <v>27454</v>
      </c>
      <c r="AE24">
        <v>8</v>
      </c>
      <c r="AF24">
        <f t="shared" ref="AF24:AM24" si="43">SUM(AE21:AE24)</f>
        <v>118</v>
      </c>
      <c r="AG24">
        <v>158</v>
      </c>
      <c r="AH24" t="s">
        <v>150</v>
      </c>
      <c r="AI24">
        <v>50</v>
      </c>
      <c r="AJ24">
        <v>1042</v>
      </c>
      <c r="AK24">
        <f t="shared" si="43"/>
        <v>5568</v>
      </c>
      <c r="AL24">
        <v>107</v>
      </c>
      <c r="AM24">
        <f t="shared" si="43"/>
        <v>437</v>
      </c>
      <c r="AN24">
        <v>794</v>
      </c>
      <c r="AO24" t="s">
        <v>150</v>
      </c>
      <c r="AP24">
        <v>125</v>
      </c>
      <c r="AQ24">
        <v>5977</v>
      </c>
      <c r="AR24">
        <f t="shared" si="5"/>
        <v>21886</v>
      </c>
    </row>
    <row r="25" spans="1:44" x14ac:dyDescent="0.25">
      <c r="A25">
        <v>2025</v>
      </c>
      <c r="B25">
        <v>4</v>
      </c>
      <c r="C25">
        <f t="shared" si="0"/>
        <v>240</v>
      </c>
      <c r="D25">
        <f t="shared" si="6"/>
        <v>799</v>
      </c>
      <c r="E25">
        <v>271</v>
      </c>
      <c r="F25" t="s">
        <v>150</v>
      </c>
      <c r="G25">
        <v>200</v>
      </c>
      <c r="H25">
        <v>8031</v>
      </c>
      <c r="I25">
        <f t="shared" si="6"/>
        <v>28897</v>
      </c>
      <c r="J25">
        <v>32</v>
      </c>
      <c r="K25">
        <f t="shared" si="6"/>
        <v>118</v>
      </c>
      <c r="L25">
        <v>103</v>
      </c>
      <c r="M25" t="s">
        <v>150</v>
      </c>
      <c r="N25">
        <v>50</v>
      </c>
      <c r="O25">
        <v>1262</v>
      </c>
      <c r="P25">
        <f t="shared" si="7"/>
        <v>5035</v>
      </c>
      <c r="Q25">
        <v>208</v>
      </c>
      <c r="R25">
        <f t="shared" ref="R25:Y25" si="44">SUM(Q22:Q25)</f>
        <v>681</v>
      </c>
      <c r="S25">
        <v>168</v>
      </c>
      <c r="T25" t="s">
        <v>150</v>
      </c>
      <c r="U25">
        <v>125</v>
      </c>
      <c r="V25">
        <v>6769</v>
      </c>
      <c r="W25">
        <f t="shared" si="44"/>
        <v>23862</v>
      </c>
      <c r="X25">
        <v>72</v>
      </c>
      <c r="Y25">
        <f t="shared" si="44"/>
        <v>609</v>
      </c>
      <c r="Z25">
        <v>525</v>
      </c>
      <c r="AA25" t="s">
        <v>150</v>
      </c>
      <c r="AB25">
        <v>200</v>
      </c>
      <c r="AC25">
        <v>6951</v>
      </c>
      <c r="AD25">
        <f t="shared" si="3"/>
        <v>28008</v>
      </c>
      <c r="AE25">
        <v>23</v>
      </c>
      <c r="AF25">
        <f t="shared" ref="AF25:AM25" si="45">SUM(AE22:AE25)</f>
        <v>123</v>
      </c>
      <c r="AG25">
        <v>121</v>
      </c>
      <c r="AH25" t="s">
        <v>150</v>
      </c>
      <c r="AI25">
        <v>50</v>
      </c>
      <c r="AJ25">
        <v>1296</v>
      </c>
      <c r="AK25">
        <f t="shared" si="45"/>
        <v>5461</v>
      </c>
      <c r="AL25">
        <v>49</v>
      </c>
      <c r="AM25">
        <f t="shared" si="45"/>
        <v>486</v>
      </c>
      <c r="AN25">
        <v>404</v>
      </c>
      <c r="AO25" t="s">
        <v>150</v>
      </c>
      <c r="AP25">
        <v>125</v>
      </c>
      <c r="AQ25">
        <v>5655</v>
      </c>
      <c r="AR25">
        <f t="shared" si="5"/>
        <v>22547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C73-7C49-4FAD-AF14-917CE53B6710}">
  <dimension ref="A1:BT25"/>
  <sheetViews>
    <sheetView workbookViewId="0"/>
  </sheetViews>
  <sheetFormatPr defaultRowHeight="15" x14ac:dyDescent="0.25"/>
  <cols>
    <col min="3" max="3" width="26.85546875" bestFit="1" customWidth="1"/>
    <col min="4" max="4" width="23.7109375" bestFit="1" customWidth="1"/>
    <col min="5" max="9" width="23.7109375" customWidth="1"/>
    <col min="10" max="10" width="31.140625" bestFit="1" customWidth="1"/>
    <col min="11" max="11" width="28" bestFit="1" customWidth="1"/>
    <col min="12" max="16" width="28" customWidth="1"/>
    <col min="17" max="17" width="31.42578125" bestFit="1" customWidth="1"/>
    <col min="18" max="18" width="28.28515625" bestFit="1" customWidth="1"/>
    <col min="19" max="23" width="28.28515625" customWidth="1"/>
    <col min="24" max="24" width="28" bestFit="1" customWidth="1"/>
    <col min="25" max="25" width="24.85546875" bestFit="1" customWidth="1"/>
    <col min="26" max="30" width="24.85546875" customWidth="1"/>
    <col min="31" max="31" width="25" bestFit="1" customWidth="1"/>
    <col min="32" max="32" width="22" bestFit="1" customWidth="1"/>
    <col min="33" max="37" width="22" customWidth="1"/>
    <col min="38" max="38" width="8.28515625" customWidth="1"/>
  </cols>
  <sheetData>
    <row r="1" spans="1:72" x14ac:dyDescent="0.25">
      <c r="A1" t="s">
        <v>0</v>
      </c>
      <c r="B1" t="s">
        <v>1</v>
      </c>
      <c r="C1" t="s">
        <v>33</v>
      </c>
      <c r="D1" t="s">
        <v>32</v>
      </c>
      <c r="E1" t="s">
        <v>76</v>
      </c>
      <c r="F1" t="s">
        <v>129</v>
      </c>
      <c r="G1" t="s">
        <v>130</v>
      </c>
      <c r="H1" t="s">
        <v>191</v>
      </c>
      <c r="I1" t="s">
        <v>192</v>
      </c>
      <c r="J1" t="s">
        <v>36</v>
      </c>
      <c r="K1" t="s">
        <v>37</v>
      </c>
      <c r="L1" t="s">
        <v>77</v>
      </c>
      <c r="M1" t="s">
        <v>131</v>
      </c>
      <c r="N1" t="s">
        <v>132</v>
      </c>
      <c r="O1" t="s">
        <v>193</v>
      </c>
      <c r="P1" t="s">
        <v>194</v>
      </c>
      <c r="Q1" t="s">
        <v>38</v>
      </c>
      <c r="R1" t="s">
        <v>39</v>
      </c>
      <c r="S1" t="s">
        <v>78</v>
      </c>
      <c r="T1" t="s">
        <v>133</v>
      </c>
      <c r="U1" t="s">
        <v>134</v>
      </c>
      <c r="V1" t="s">
        <v>195</v>
      </c>
      <c r="W1" t="s">
        <v>196</v>
      </c>
      <c r="X1" t="s">
        <v>40</v>
      </c>
      <c r="Y1" t="s">
        <v>41</v>
      </c>
      <c r="Z1" t="s">
        <v>79</v>
      </c>
      <c r="AA1" t="s">
        <v>135</v>
      </c>
      <c r="AB1" t="s">
        <v>136</v>
      </c>
      <c r="AC1" t="s">
        <v>197</v>
      </c>
      <c r="AD1" t="s">
        <v>198</v>
      </c>
      <c r="AE1" t="s">
        <v>34</v>
      </c>
      <c r="AF1" t="s">
        <v>35</v>
      </c>
      <c r="AG1" t="s">
        <v>80</v>
      </c>
      <c r="AH1" t="s">
        <v>137</v>
      </c>
      <c r="AI1" t="s">
        <v>138</v>
      </c>
      <c r="AJ1" t="s">
        <v>199</v>
      </c>
      <c r="AK1" t="s">
        <v>200</v>
      </c>
      <c r="AL1" t="s">
        <v>48</v>
      </c>
      <c r="AM1" t="s">
        <v>49</v>
      </c>
      <c r="AN1" t="s">
        <v>81</v>
      </c>
      <c r="AO1" t="s">
        <v>141</v>
      </c>
      <c r="AP1" t="s">
        <v>142</v>
      </c>
      <c r="AQ1" t="s">
        <v>201</v>
      </c>
      <c r="AR1" t="s">
        <v>202</v>
      </c>
      <c r="AS1" t="s">
        <v>50</v>
      </c>
      <c r="AT1" t="s">
        <v>51</v>
      </c>
      <c r="AU1" t="s">
        <v>82</v>
      </c>
      <c r="AV1" t="s">
        <v>143</v>
      </c>
      <c r="AW1" t="s">
        <v>144</v>
      </c>
      <c r="AX1" t="s">
        <v>159</v>
      </c>
      <c r="AY1" t="s">
        <v>160</v>
      </c>
      <c r="AZ1" t="s">
        <v>210</v>
      </c>
      <c r="BA1" t="s">
        <v>211</v>
      </c>
      <c r="BB1" t="s">
        <v>83</v>
      </c>
      <c r="BC1" t="s">
        <v>145</v>
      </c>
      <c r="BD1" t="s">
        <v>146</v>
      </c>
      <c r="BE1" t="s">
        <v>159</v>
      </c>
      <c r="BF1" t="s">
        <v>160</v>
      </c>
      <c r="BG1" t="s">
        <v>52</v>
      </c>
      <c r="BH1" t="s">
        <v>53</v>
      </c>
      <c r="BI1" t="s">
        <v>84</v>
      </c>
      <c r="BJ1" t="s">
        <v>147</v>
      </c>
      <c r="BK1" t="s">
        <v>148</v>
      </c>
      <c r="BL1" t="s">
        <v>203</v>
      </c>
      <c r="BM1" t="s">
        <v>204</v>
      </c>
      <c r="BN1" t="s">
        <v>54</v>
      </c>
      <c r="BO1" t="s">
        <v>55</v>
      </c>
      <c r="BP1" t="s">
        <v>85</v>
      </c>
      <c r="BQ1" t="s">
        <v>139</v>
      </c>
      <c r="BR1" t="s">
        <v>140</v>
      </c>
      <c r="BS1" t="s">
        <v>161</v>
      </c>
      <c r="BT1" t="s">
        <v>162</v>
      </c>
    </row>
    <row r="2" spans="1:72" x14ac:dyDescent="0.25">
      <c r="A2">
        <v>2020</v>
      </c>
      <c r="B2">
        <v>1</v>
      </c>
      <c r="C2">
        <v>5067</v>
      </c>
      <c r="D2">
        <f>+C2</f>
        <v>5067</v>
      </c>
      <c r="E2" t="s">
        <v>42</v>
      </c>
      <c r="F2" s="2" t="s">
        <v>149</v>
      </c>
      <c r="G2">
        <v>150</v>
      </c>
      <c r="J2">
        <f>+C2-Q2</f>
        <v>2088</v>
      </c>
      <c r="K2">
        <f>+J2</f>
        <v>2088</v>
      </c>
      <c r="L2" t="s">
        <v>42</v>
      </c>
      <c r="M2" s="2" t="s">
        <v>149</v>
      </c>
      <c r="N2">
        <v>125</v>
      </c>
      <c r="Q2">
        <v>2979</v>
      </c>
      <c r="R2">
        <f>+Q2</f>
        <v>2979</v>
      </c>
      <c r="S2" t="s">
        <v>42</v>
      </c>
      <c r="T2" s="2" t="s">
        <v>149</v>
      </c>
      <c r="U2">
        <v>150</v>
      </c>
      <c r="X2">
        <v>744</v>
      </c>
      <c r="Y2">
        <f>+X2</f>
        <v>744</v>
      </c>
      <c r="Z2" t="s">
        <v>42</v>
      </c>
      <c r="AA2" s="2" t="s">
        <v>149</v>
      </c>
      <c r="AB2">
        <v>40</v>
      </c>
      <c r="AE2">
        <v>2141</v>
      </c>
      <c r="AF2">
        <f>+AE2</f>
        <v>2141</v>
      </c>
      <c r="AG2" t="s">
        <v>42</v>
      </c>
      <c r="AH2" s="2" t="s">
        <v>149</v>
      </c>
      <c r="AI2">
        <v>125</v>
      </c>
      <c r="AL2" s="2">
        <v>6.4</v>
      </c>
      <c r="AM2" s="2">
        <f>+AL2</f>
        <v>6.4</v>
      </c>
      <c r="AN2" s="2" t="s">
        <v>42</v>
      </c>
      <c r="AO2" s="2" t="s">
        <v>149</v>
      </c>
      <c r="AP2" s="6" t="s">
        <v>209</v>
      </c>
      <c r="AQ2" s="5"/>
      <c r="AR2" s="5"/>
      <c r="AS2" s="2">
        <v>3.2</v>
      </c>
      <c r="AT2" s="2">
        <f>+AS2</f>
        <v>3.2</v>
      </c>
      <c r="AU2" s="2" t="s">
        <v>42</v>
      </c>
      <c r="AV2" s="2" t="s">
        <v>149</v>
      </c>
      <c r="AW2" s="6" t="s">
        <v>209</v>
      </c>
      <c r="AX2" s="2"/>
      <c r="AY2" s="2"/>
      <c r="AZ2" s="2">
        <v>19.3</v>
      </c>
      <c r="BA2" s="2">
        <f>+AZ2</f>
        <v>19.3</v>
      </c>
      <c r="BB2" s="2" t="s">
        <v>42</v>
      </c>
      <c r="BC2" s="2" t="s">
        <v>149</v>
      </c>
      <c r="BD2" s="6" t="s">
        <v>209</v>
      </c>
      <c r="BE2" s="5"/>
      <c r="BF2" s="5"/>
      <c r="BG2" s="2">
        <v>8.1999999999999993</v>
      </c>
      <c r="BH2" s="2">
        <f>+BG2</f>
        <v>8.1999999999999993</v>
      </c>
      <c r="BI2" s="2" t="s">
        <v>42</v>
      </c>
      <c r="BJ2" s="2" t="s">
        <v>149</v>
      </c>
      <c r="BK2" s="6" t="s">
        <v>209</v>
      </c>
      <c r="BL2" s="5"/>
      <c r="BM2" s="5"/>
      <c r="BN2" s="2">
        <f>SUM(AE2/C2)*100</f>
        <v>42.253799092164989</v>
      </c>
      <c r="BO2" s="2">
        <f>+BN2</f>
        <v>42.253799092164989</v>
      </c>
      <c r="BP2" s="2" t="s">
        <v>42</v>
      </c>
      <c r="BQ2" s="2" t="s">
        <v>149</v>
      </c>
      <c r="BR2" s="6" t="s">
        <v>209</v>
      </c>
    </row>
    <row r="3" spans="1:72" x14ac:dyDescent="0.25">
      <c r="A3">
        <v>2020</v>
      </c>
      <c r="B3">
        <v>2</v>
      </c>
      <c r="C3">
        <v>5608</v>
      </c>
      <c r="D3">
        <f>+C3</f>
        <v>5608</v>
      </c>
      <c r="E3" t="s">
        <v>42</v>
      </c>
      <c r="F3" s="2" t="s">
        <v>149</v>
      </c>
      <c r="G3">
        <v>150</v>
      </c>
      <c r="J3">
        <f t="shared" ref="J3:J25" si="0">+C3-Q3</f>
        <v>2389</v>
      </c>
      <c r="K3">
        <f>+J3</f>
        <v>2389</v>
      </c>
      <c r="L3" t="s">
        <v>42</v>
      </c>
      <c r="M3" s="2" t="s">
        <v>149</v>
      </c>
      <c r="N3">
        <v>125</v>
      </c>
      <c r="Q3">
        <v>3219</v>
      </c>
      <c r="R3">
        <f>+Q3</f>
        <v>3219</v>
      </c>
      <c r="S3" t="s">
        <v>42</v>
      </c>
      <c r="T3" s="2" t="s">
        <v>149</v>
      </c>
      <c r="U3">
        <v>150</v>
      </c>
      <c r="X3">
        <v>816</v>
      </c>
      <c r="Y3">
        <f>+X3</f>
        <v>816</v>
      </c>
      <c r="Z3" t="s">
        <v>42</v>
      </c>
      <c r="AA3" s="2" t="s">
        <v>149</v>
      </c>
      <c r="AB3">
        <v>40</v>
      </c>
      <c r="AE3">
        <v>2188</v>
      </c>
      <c r="AF3">
        <f>+AE3</f>
        <v>2188</v>
      </c>
      <c r="AG3" t="s">
        <v>42</v>
      </c>
      <c r="AH3" s="2" t="s">
        <v>149</v>
      </c>
      <c r="AI3">
        <v>125</v>
      </c>
      <c r="AL3" s="2">
        <v>7</v>
      </c>
      <c r="AM3" s="2">
        <f>+AL3</f>
        <v>7</v>
      </c>
      <c r="AN3" s="2" t="s">
        <v>42</v>
      </c>
      <c r="AO3" s="2" t="s">
        <v>149</v>
      </c>
      <c r="AP3" s="6" t="s">
        <v>209</v>
      </c>
      <c r="AQ3" s="5"/>
      <c r="AR3" s="5"/>
      <c r="AS3" s="2">
        <v>3.7</v>
      </c>
      <c r="AT3" s="2">
        <f>+AS3</f>
        <v>3.7</v>
      </c>
      <c r="AU3" s="2" t="s">
        <v>42</v>
      </c>
      <c r="AV3" s="2" t="s">
        <v>149</v>
      </c>
      <c r="AW3" s="6" t="s">
        <v>209</v>
      </c>
      <c r="AX3" s="2"/>
      <c r="AY3" s="2"/>
      <c r="AZ3" s="2">
        <v>20.5</v>
      </c>
      <c r="BA3" s="2">
        <f>+AZ3</f>
        <v>20.5</v>
      </c>
      <c r="BB3" s="2" t="s">
        <v>42</v>
      </c>
      <c r="BC3" s="2" t="s">
        <v>149</v>
      </c>
      <c r="BD3" s="6" t="s">
        <v>209</v>
      </c>
      <c r="BE3" s="5"/>
      <c r="BF3" s="5"/>
      <c r="BG3" s="2">
        <v>8.9</v>
      </c>
      <c r="BH3" s="2">
        <f>+BG3</f>
        <v>8.9</v>
      </c>
      <c r="BI3" s="2" t="s">
        <v>42</v>
      </c>
      <c r="BJ3" s="2" t="s">
        <v>149</v>
      </c>
      <c r="BK3" s="6" t="s">
        <v>209</v>
      </c>
      <c r="BL3" s="5"/>
      <c r="BM3" s="5"/>
      <c r="BN3" s="2">
        <f t="shared" ref="BN3:BN25" si="1">SUM(AE3/C3)*100</f>
        <v>39.015691868758914</v>
      </c>
      <c r="BO3" s="2">
        <f>+BN3</f>
        <v>39.015691868758914</v>
      </c>
      <c r="BP3" s="2" t="s">
        <v>42</v>
      </c>
      <c r="BQ3" s="2" t="s">
        <v>149</v>
      </c>
      <c r="BR3" s="6" t="s">
        <v>209</v>
      </c>
    </row>
    <row r="4" spans="1:72" x14ac:dyDescent="0.25">
      <c r="A4">
        <v>2020</v>
      </c>
      <c r="B4">
        <v>3</v>
      </c>
      <c r="C4">
        <v>6231</v>
      </c>
      <c r="D4">
        <f>+C4</f>
        <v>6231</v>
      </c>
      <c r="E4" t="s">
        <v>42</v>
      </c>
      <c r="F4" s="2" t="s">
        <v>149</v>
      </c>
      <c r="G4">
        <v>150</v>
      </c>
      <c r="J4">
        <f t="shared" si="0"/>
        <v>2722</v>
      </c>
      <c r="K4">
        <f>+J4</f>
        <v>2722</v>
      </c>
      <c r="L4" t="s">
        <v>42</v>
      </c>
      <c r="M4" s="2" t="s">
        <v>149</v>
      </c>
      <c r="N4">
        <v>125</v>
      </c>
      <c r="Q4">
        <v>3509</v>
      </c>
      <c r="R4">
        <f>+Q4</f>
        <v>3509</v>
      </c>
      <c r="S4" t="s">
        <v>42</v>
      </c>
      <c r="T4" s="2" t="s">
        <v>149</v>
      </c>
      <c r="U4">
        <v>150</v>
      </c>
      <c r="X4">
        <v>1057</v>
      </c>
      <c r="Y4">
        <f>+X4</f>
        <v>1057</v>
      </c>
      <c r="Z4" t="s">
        <v>42</v>
      </c>
      <c r="AA4" s="2" t="s">
        <v>149</v>
      </c>
      <c r="AB4">
        <v>40</v>
      </c>
      <c r="AE4">
        <v>2250</v>
      </c>
      <c r="AF4">
        <f>+AE4</f>
        <v>2250</v>
      </c>
      <c r="AG4" t="s">
        <v>42</v>
      </c>
      <c r="AH4" s="2" t="s">
        <v>149</v>
      </c>
      <c r="AI4">
        <v>125</v>
      </c>
      <c r="AL4" s="2">
        <v>7.7</v>
      </c>
      <c r="AM4" s="2">
        <f>+AL4</f>
        <v>7.7</v>
      </c>
      <c r="AN4" s="2" t="s">
        <v>42</v>
      </c>
      <c r="AO4" s="2" t="s">
        <v>149</v>
      </c>
      <c r="AP4" s="6" t="s">
        <v>209</v>
      </c>
      <c r="AQ4" s="5"/>
      <c r="AR4" s="5"/>
      <c r="AS4" s="2">
        <v>4.2</v>
      </c>
      <c r="AT4" s="2">
        <f>+AS4</f>
        <v>4.2</v>
      </c>
      <c r="AU4" s="2" t="s">
        <v>42</v>
      </c>
      <c r="AV4" s="2" t="s">
        <v>149</v>
      </c>
      <c r="AW4" s="6" t="s">
        <v>209</v>
      </c>
      <c r="AX4" s="2"/>
      <c r="AY4" s="2"/>
      <c r="AZ4" s="2">
        <v>21.9</v>
      </c>
      <c r="BA4" s="2">
        <f>+AZ4</f>
        <v>21.9</v>
      </c>
      <c r="BB4" s="2" t="s">
        <v>42</v>
      </c>
      <c r="BC4" s="2" t="s">
        <v>149</v>
      </c>
      <c r="BD4" s="6" t="s">
        <v>209</v>
      </c>
      <c r="BE4" s="5"/>
      <c r="BF4" s="5"/>
      <c r="BG4" s="2">
        <v>11.2</v>
      </c>
      <c r="BH4" s="2">
        <f>+BG4</f>
        <v>11.2</v>
      </c>
      <c r="BI4" s="2" t="s">
        <v>42</v>
      </c>
      <c r="BJ4" s="2" t="s">
        <v>149</v>
      </c>
      <c r="BK4" s="6" t="s">
        <v>209</v>
      </c>
      <c r="BL4" s="5"/>
      <c r="BM4" s="5"/>
      <c r="BN4" s="2">
        <f t="shared" si="1"/>
        <v>36.109773712084738</v>
      </c>
      <c r="BO4" s="2">
        <f>+BN4</f>
        <v>36.109773712084738</v>
      </c>
      <c r="BP4" s="2" t="s">
        <v>42</v>
      </c>
      <c r="BQ4" s="2" t="s">
        <v>149</v>
      </c>
      <c r="BR4" s="6" t="s">
        <v>209</v>
      </c>
    </row>
    <row r="5" spans="1:72" x14ac:dyDescent="0.25">
      <c r="A5">
        <v>2020</v>
      </c>
      <c r="B5">
        <v>4</v>
      </c>
      <c r="C5">
        <v>5872</v>
      </c>
      <c r="D5" s="3">
        <f>AVERAGE(C2:C5)</f>
        <v>5694.5</v>
      </c>
      <c r="E5" t="s">
        <v>42</v>
      </c>
      <c r="F5" s="2" t="s">
        <v>149</v>
      </c>
      <c r="G5">
        <v>150</v>
      </c>
      <c r="J5">
        <f t="shared" si="0"/>
        <v>2448</v>
      </c>
      <c r="K5" s="3">
        <f>AVERAGE(J2:J5)</f>
        <v>2411.75</v>
      </c>
      <c r="L5" t="s">
        <v>42</v>
      </c>
      <c r="M5" s="2" t="s">
        <v>149</v>
      </c>
      <c r="N5">
        <v>125</v>
      </c>
      <c r="Q5">
        <v>3424</v>
      </c>
      <c r="R5" s="3">
        <f>AVERAGE(Q2:Q5)</f>
        <v>3282.75</v>
      </c>
      <c r="S5" t="s">
        <v>42</v>
      </c>
      <c r="T5" s="2" t="s">
        <v>149</v>
      </c>
      <c r="U5">
        <v>150</v>
      </c>
      <c r="X5">
        <v>890</v>
      </c>
      <c r="Y5" s="3">
        <f>AVERAGE(X2:X5)</f>
        <v>876.75</v>
      </c>
      <c r="Z5" t="s">
        <v>42</v>
      </c>
      <c r="AA5" s="2" t="s">
        <v>149</v>
      </c>
      <c r="AB5">
        <v>40</v>
      </c>
      <c r="AE5">
        <v>2251</v>
      </c>
      <c r="AF5" s="3">
        <f>AVERAGE(AE2:AE5)</f>
        <v>2207.5</v>
      </c>
      <c r="AG5" t="s">
        <v>42</v>
      </c>
      <c r="AH5" s="2" t="s">
        <v>149</v>
      </c>
      <c r="AI5">
        <v>125</v>
      </c>
      <c r="AL5" s="2">
        <v>7.3</v>
      </c>
      <c r="AM5" s="2">
        <f>AVERAGE(AL2:AL5)</f>
        <v>7.1000000000000005</v>
      </c>
      <c r="AN5" s="2" t="s">
        <v>42</v>
      </c>
      <c r="AO5" s="2" t="s">
        <v>149</v>
      </c>
      <c r="AP5" s="6" t="s">
        <v>209</v>
      </c>
      <c r="AQ5" s="5"/>
      <c r="AR5" s="5"/>
      <c r="AS5" s="2">
        <v>3.8</v>
      </c>
      <c r="AT5" s="2">
        <f>AVERAGE(AS2:AS5)</f>
        <v>3.7250000000000005</v>
      </c>
      <c r="AU5" s="2" t="s">
        <v>42</v>
      </c>
      <c r="AV5" s="2" t="s">
        <v>149</v>
      </c>
      <c r="AW5" s="6" t="s">
        <v>209</v>
      </c>
      <c r="AX5" s="2"/>
      <c r="AY5" s="2"/>
      <c r="AZ5" s="2">
        <v>21.5</v>
      </c>
      <c r="BA5" s="2">
        <f>AVERAGE(AZ2:AZ5)</f>
        <v>20.799999999999997</v>
      </c>
      <c r="BB5" s="2" t="s">
        <v>42</v>
      </c>
      <c r="BC5" s="2" t="s">
        <v>149</v>
      </c>
      <c r="BD5" s="6" t="s">
        <v>209</v>
      </c>
      <c r="BE5" s="5"/>
      <c r="BF5" s="5"/>
      <c r="BG5" s="2">
        <v>9.6</v>
      </c>
      <c r="BH5" s="2">
        <f>AVERAGE(BG2:BG5)</f>
        <v>9.4749999999999996</v>
      </c>
      <c r="BI5" s="2" t="s">
        <v>42</v>
      </c>
      <c r="BJ5" s="2" t="s">
        <v>149</v>
      </c>
      <c r="BK5" s="6" t="s">
        <v>209</v>
      </c>
      <c r="BL5" s="5"/>
      <c r="BM5" s="5"/>
      <c r="BN5" s="2">
        <f t="shared" si="1"/>
        <v>38.334468664850135</v>
      </c>
      <c r="BO5" s="2">
        <f>AVERAGE(BN2:BN5)</f>
        <v>38.928433334464692</v>
      </c>
      <c r="BP5" s="2" t="s">
        <v>42</v>
      </c>
      <c r="BQ5" s="2" t="s">
        <v>149</v>
      </c>
      <c r="BR5" s="6" t="s">
        <v>209</v>
      </c>
    </row>
    <row r="6" spans="1:72" x14ac:dyDescent="0.25">
      <c r="A6">
        <v>2021</v>
      </c>
      <c r="B6">
        <v>1</v>
      </c>
      <c r="C6">
        <v>5683</v>
      </c>
      <c r="D6" s="3">
        <f t="shared" ref="D6:D25" si="2">AVERAGE(C3:C6)</f>
        <v>5848.5</v>
      </c>
      <c r="E6">
        <v>5067</v>
      </c>
      <c r="F6" s="2" t="s">
        <v>149</v>
      </c>
      <c r="G6">
        <v>150</v>
      </c>
      <c r="J6">
        <f t="shared" si="0"/>
        <v>2304</v>
      </c>
      <c r="K6" s="3">
        <f t="shared" ref="K6:K25" si="3">AVERAGE(J3:J6)</f>
        <v>2465.75</v>
      </c>
      <c r="L6">
        <v>2088</v>
      </c>
      <c r="M6" s="2" t="s">
        <v>149</v>
      </c>
      <c r="N6">
        <v>125</v>
      </c>
      <c r="Q6">
        <v>3379</v>
      </c>
      <c r="R6" s="3">
        <f t="shared" ref="R6:R25" si="4">AVERAGE(Q3:Q6)</f>
        <v>3382.75</v>
      </c>
      <c r="S6">
        <v>2979</v>
      </c>
      <c r="T6" s="2" t="s">
        <v>149</v>
      </c>
      <c r="U6">
        <v>150</v>
      </c>
      <c r="X6">
        <v>822</v>
      </c>
      <c r="Y6" s="3">
        <f t="shared" ref="Y6:Y25" si="5">AVERAGE(X3:X6)</f>
        <v>896.25</v>
      </c>
      <c r="Z6">
        <v>744</v>
      </c>
      <c r="AA6" s="2" t="s">
        <v>149</v>
      </c>
      <c r="AB6">
        <v>40</v>
      </c>
      <c r="AE6">
        <v>2401</v>
      </c>
      <c r="AF6" s="3">
        <f t="shared" ref="AF6:AF25" si="6">AVERAGE(AE3:AE6)</f>
        <v>2272.5</v>
      </c>
      <c r="AG6">
        <v>2141</v>
      </c>
      <c r="AH6" s="2" t="s">
        <v>149</v>
      </c>
      <c r="AI6">
        <v>125</v>
      </c>
      <c r="AL6" s="2">
        <v>6.9</v>
      </c>
      <c r="AM6" s="2">
        <f t="shared" ref="AM6:AM25" si="7">AVERAGE(AL3:AL6)</f>
        <v>7.2249999999999996</v>
      </c>
      <c r="AN6" s="2">
        <v>6.4</v>
      </c>
      <c r="AO6" s="2" t="s">
        <v>149</v>
      </c>
      <c r="AP6" s="6" t="s">
        <v>209</v>
      </c>
      <c r="AQ6" s="5"/>
      <c r="AR6" s="5"/>
      <c r="AS6" s="2">
        <v>3.5</v>
      </c>
      <c r="AT6" s="2">
        <f t="shared" ref="AT6:AT25" si="8">AVERAGE(AS3:AS6)</f>
        <v>3.8</v>
      </c>
      <c r="AU6" s="2">
        <v>3.2</v>
      </c>
      <c r="AV6" s="2" t="s">
        <v>149</v>
      </c>
      <c r="AW6" s="6" t="s">
        <v>209</v>
      </c>
      <c r="AX6" s="2"/>
      <c r="AY6" s="2"/>
      <c r="AZ6" s="2">
        <v>20</v>
      </c>
      <c r="BA6" s="2">
        <f t="shared" ref="BA6:BA25" si="9">AVERAGE(AZ3:AZ6)</f>
        <v>20.975000000000001</v>
      </c>
      <c r="BB6" s="2">
        <v>19.3</v>
      </c>
      <c r="BC6" s="2" t="s">
        <v>149</v>
      </c>
      <c r="BD6" s="6" t="s">
        <v>209</v>
      </c>
      <c r="BE6" s="5"/>
      <c r="BF6" s="5"/>
      <c r="BG6" s="2">
        <v>8.9</v>
      </c>
      <c r="BH6" s="2">
        <f t="shared" ref="BH6:BH25" si="10">AVERAGE(BG3:BG6)</f>
        <v>9.65</v>
      </c>
      <c r="BI6" s="2">
        <v>8.1999999999999993</v>
      </c>
      <c r="BJ6" s="2" t="s">
        <v>149</v>
      </c>
      <c r="BK6" s="6" t="s">
        <v>209</v>
      </c>
      <c r="BL6" s="5"/>
      <c r="BM6" s="5"/>
      <c r="BN6" s="2">
        <f t="shared" si="1"/>
        <v>42.248812247052612</v>
      </c>
      <c r="BO6" s="2">
        <f t="shared" ref="BO6:BO25" si="11">AVERAGE(BN3:BN6)</f>
        <v>38.9271866231866</v>
      </c>
      <c r="BP6" s="2">
        <v>42.253799092164989</v>
      </c>
      <c r="BQ6" s="2" t="s">
        <v>149</v>
      </c>
      <c r="BR6" s="6" t="s">
        <v>209</v>
      </c>
    </row>
    <row r="7" spans="1:72" x14ac:dyDescent="0.25">
      <c r="A7">
        <v>2021</v>
      </c>
      <c r="B7">
        <v>2</v>
      </c>
      <c r="C7">
        <v>5408</v>
      </c>
      <c r="D7" s="3">
        <f t="shared" si="2"/>
        <v>5798.5</v>
      </c>
      <c r="E7">
        <v>5608</v>
      </c>
      <c r="F7" s="2" t="s">
        <v>149</v>
      </c>
      <c r="G7">
        <v>150</v>
      </c>
      <c r="J7">
        <f t="shared" si="0"/>
        <v>2069</v>
      </c>
      <c r="K7" s="3">
        <f t="shared" si="3"/>
        <v>2385.75</v>
      </c>
      <c r="L7">
        <v>2389</v>
      </c>
      <c r="M7" s="2" t="s">
        <v>149</v>
      </c>
      <c r="N7">
        <v>125</v>
      </c>
      <c r="Q7">
        <v>3339</v>
      </c>
      <c r="R7" s="3">
        <f t="shared" si="4"/>
        <v>3412.75</v>
      </c>
      <c r="S7">
        <v>3219</v>
      </c>
      <c r="T7" s="2" t="s">
        <v>149</v>
      </c>
      <c r="U7">
        <v>150</v>
      </c>
      <c r="X7">
        <v>746</v>
      </c>
      <c r="Y7" s="3">
        <f t="shared" si="5"/>
        <v>878.75</v>
      </c>
      <c r="Z7">
        <v>816</v>
      </c>
      <c r="AA7" s="2" t="s">
        <v>149</v>
      </c>
      <c r="AB7">
        <v>40</v>
      </c>
      <c r="AE7">
        <v>2535</v>
      </c>
      <c r="AF7" s="3">
        <f t="shared" si="6"/>
        <v>2359.25</v>
      </c>
      <c r="AG7">
        <v>2188</v>
      </c>
      <c r="AH7" s="2" t="s">
        <v>149</v>
      </c>
      <c r="AI7">
        <v>125</v>
      </c>
      <c r="AL7" s="2">
        <v>6.6</v>
      </c>
      <c r="AM7" s="2">
        <f t="shared" si="7"/>
        <v>7.125</v>
      </c>
      <c r="AN7" s="2">
        <v>7</v>
      </c>
      <c r="AO7" s="2" t="s">
        <v>149</v>
      </c>
      <c r="AP7" s="6" t="s">
        <v>209</v>
      </c>
      <c r="AQ7" s="5"/>
      <c r="AR7" s="5"/>
      <c r="AS7" s="2">
        <v>3.2</v>
      </c>
      <c r="AT7" s="2">
        <f t="shared" si="8"/>
        <v>3.6749999999999998</v>
      </c>
      <c r="AU7" s="2">
        <v>3.7</v>
      </c>
      <c r="AV7" s="2" t="s">
        <v>149</v>
      </c>
      <c r="AW7" s="6" t="s">
        <v>209</v>
      </c>
      <c r="AX7" s="2"/>
      <c r="AY7" s="2"/>
      <c r="AZ7" s="2">
        <v>19.8</v>
      </c>
      <c r="BA7" s="2">
        <f t="shared" si="9"/>
        <v>20.8</v>
      </c>
      <c r="BB7" s="2">
        <v>20.5</v>
      </c>
      <c r="BC7" s="2" t="s">
        <v>149</v>
      </c>
      <c r="BD7" s="6" t="s">
        <v>209</v>
      </c>
      <c r="BE7" s="5"/>
      <c r="BF7" s="5"/>
      <c r="BG7" s="2">
        <v>8.1999999999999993</v>
      </c>
      <c r="BH7" s="2">
        <f t="shared" si="10"/>
        <v>9.4749999999999979</v>
      </c>
      <c r="BI7" s="2">
        <v>8.9</v>
      </c>
      <c r="BJ7" s="2" t="s">
        <v>149</v>
      </c>
      <c r="BK7" s="6" t="s">
        <v>209</v>
      </c>
      <c r="BL7" s="5"/>
      <c r="BM7" s="5"/>
      <c r="BN7" s="2">
        <f t="shared" si="1"/>
        <v>46.875</v>
      </c>
      <c r="BO7" s="2">
        <f t="shared" si="11"/>
        <v>40.892013655996877</v>
      </c>
      <c r="BP7" s="2">
        <v>39.015691868758914</v>
      </c>
      <c r="BQ7" s="2" t="s">
        <v>149</v>
      </c>
      <c r="BR7" s="6" t="s">
        <v>209</v>
      </c>
    </row>
    <row r="8" spans="1:72" x14ac:dyDescent="0.25">
      <c r="A8">
        <v>2021</v>
      </c>
      <c r="B8">
        <v>3</v>
      </c>
      <c r="C8">
        <v>5454</v>
      </c>
      <c r="D8" s="3">
        <f t="shared" si="2"/>
        <v>5604.25</v>
      </c>
      <c r="E8">
        <v>6231</v>
      </c>
      <c r="F8" s="2" t="s">
        <v>149</v>
      </c>
      <c r="G8">
        <v>150</v>
      </c>
      <c r="J8">
        <f t="shared" si="0"/>
        <v>2039</v>
      </c>
      <c r="K8" s="3">
        <f t="shared" si="3"/>
        <v>2215</v>
      </c>
      <c r="L8">
        <v>2722</v>
      </c>
      <c r="M8" s="2" t="s">
        <v>149</v>
      </c>
      <c r="N8">
        <v>125</v>
      </c>
      <c r="Q8">
        <v>3415</v>
      </c>
      <c r="R8" s="3">
        <f t="shared" si="4"/>
        <v>3389.25</v>
      </c>
      <c r="S8">
        <v>3509</v>
      </c>
      <c r="T8" s="2" t="s">
        <v>149</v>
      </c>
      <c r="U8">
        <v>150</v>
      </c>
      <c r="X8">
        <v>797</v>
      </c>
      <c r="Y8" s="3">
        <f t="shared" si="5"/>
        <v>813.75</v>
      </c>
      <c r="Z8">
        <v>1057</v>
      </c>
      <c r="AA8" s="2" t="s">
        <v>149</v>
      </c>
      <c r="AB8">
        <v>40</v>
      </c>
      <c r="AE8">
        <v>2701</v>
      </c>
      <c r="AF8" s="3">
        <f t="shared" si="6"/>
        <v>2472</v>
      </c>
      <c r="AG8">
        <v>2250</v>
      </c>
      <c r="AH8" s="2" t="s">
        <v>149</v>
      </c>
      <c r="AI8">
        <v>125</v>
      </c>
      <c r="AL8" s="2">
        <v>6.7</v>
      </c>
      <c r="AM8" s="2">
        <f t="shared" si="7"/>
        <v>6.8749999999999991</v>
      </c>
      <c r="AN8" s="2">
        <v>7.7</v>
      </c>
      <c r="AO8" s="2" t="s">
        <v>149</v>
      </c>
      <c r="AP8" s="6" t="s">
        <v>209</v>
      </c>
      <c r="AQ8" s="5"/>
      <c r="AR8" s="5"/>
      <c r="AS8" s="2">
        <v>3.1</v>
      </c>
      <c r="AT8" s="2">
        <f t="shared" si="8"/>
        <v>3.4</v>
      </c>
      <c r="AU8" s="2">
        <v>4.2</v>
      </c>
      <c r="AV8" s="2" t="s">
        <v>149</v>
      </c>
      <c r="AW8" s="6" t="s">
        <v>209</v>
      </c>
      <c r="AX8" s="2"/>
      <c r="AY8" s="2"/>
      <c r="AZ8" s="2">
        <v>20.100000000000001</v>
      </c>
      <c r="BA8" s="2">
        <f t="shared" si="9"/>
        <v>20.350000000000001</v>
      </c>
      <c r="BB8" s="2">
        <v>21.9</v>
      </c>
      <c r="BC8" s="2" t="s">
        <v>149</v>
      </c>
      <c r="BD8" s="6" t="s">
        <v>209</v>
      </c>
      <c r="BE8" s="5"/>
      <c r="BF8" s="5"/>
      <c r="BG8" s="2">
        <v>8.6999999999999993</v>
      </c>
      <c r="BH8" s="2">
        <f t="shared" si="10"/>
        <v>8.85</v>
      </c>
      <c r="BI8" s="2">
        <v>11.2</v>
      </c>
      <c r="BJ8" s="2" t="s">
        <v>149</v>
      </c>
      <c r="BK8" s="6" t="s">
        <v>209</v>
      </c>
      <c r="BL8" s="5"/>
      <c r="BM8" s="5"/>
      <c r="BN8" s="2">
        <f t="shared" si="1"/>
        <v>49.523285661899521</v>
      </c>
      <c r="BO8" s="2">
        <f t="shared" si="11"/>
        <v>44.245391643450567</v>
      </c>
      <c r="BP8" s="2">
        <v>36.109773712084738</v>
      </c>
      <c r="BQ8" s="2" t="s">
        <v>149</v>
      </c>
      <c r="BR8" s="6" t="s">
        <v>209</v>
      </c>
    </row>
    <row r="9" spans="1:72" x14ac:dyDescent="0.25">
      <c r="A9">
        <v>2021</v>
      </c>
      <c r="B9">
        <v>4</v>
      </c>
      <c r="C9">
        <v>5159</v>
      </c>
      <c r="D9" s="3">
        <f t="shared" si="2"/>
        <v>5426</v>
      </c>
      <c r="E9">
        <v>5872</v>
      </c>
      <c r="F9" s="2" t="s">
        <v>149</v>
      </c>
      <c r="G9">
        <v>150</v>
      </c>
      <c r="J9">
        <f t="shared" si="0"/>
        <v>1914</v>
      </c>
      <c r="K9" s="3">
        <f t="shared" si="3"/>
        <v>2081.5</v>
      </c>
      <c r="L9">
        <v>2448</v>
      </c>
      <c r="M9" s="2" t="s">
        <v>149</v>
      </c>
      <c r="N9">
        <v>125</v>
      </c>
      <c r="Q9">
        <v>3245</v>
      </c>
      <c r="R9" s="3">
        <f t="shared" si="4"/>
        <v>3344.5</v>
      </c>
      <c r="S9">
        <v>3424</v>
      </c>
      <c r="T9" s="2" t="s">
        <v>149</v>
      </c>
      <c r="U9">
        <v>150</v>
      </c>
      <c r="X9">
        <v>730</v>
      </c>
      <c r="Y9" s="3">
        <f t="shared" si="5"/>
        <v>773.75</v>
      </c>
      <c r="Z9">
        <v>890</v>
      </c>
      <c r="AA9" s="2" t="s">
        <v>149</v>
      </c>
      <c r="AB9">
        <v>40</v>
      </c>
      <c r="AE9">
        <v>2619</v>
      </c>
      <c r="AF9" s="3">
        <f t="shared" si="6"/>
        <v>2564</v>
      </c>
      <c r="AG9">
        <v>2251</v>
      </c>
      <c r="AH9" s="2" t="s">
        <v>149</v>
      </c>
      <c r="AI9">
        <v>125</v>
      </c>
      <c r="AL9" s="2">
        <v>6.3</v>
      </c>
      <c r="AM9" s="2">
        <f t="shared" si="7"/>
        <v>6.625</v>
      </c>
      <c r="AN9" s="2">
        <v>7.3</v>
      </c>
      <c r="AO9" s="2" t="s">
        <v>149</v>
      </c>
      <c r="AP9" s="6" t="s">
        <v>209</v>
      </c>
      <c r="AQ9" s="5"/>
      <c r="AR9" s="5"/>
      <c r="AS9" s="2">
        <v>3</v>
      </c>
      <c r="AT9" s="2">
        <f t="shared" si="8"/>
        <v>3.2</v>
      </c>
      <c r="AU9" s="2">
        <v>3.8</v>
      </c>
      <c r="AV9" s="2" t="s">
        <v>149</v>
      </c>
      <c r="AW9" s="6" t="s">
        <v>209</v>
      </c>
      <c r="AX9" s="2"/>
      <c r="AY9" s="2"/>
      <c r="AZ9" s="2">
        <v>19.3</v>
      </c>
      <c r="BA9" s="2">
        <f t="shared" si="9"/>
        <v>19.8</v>
      </c>
      <c r="BB9" s="2">
        <v>21.5</v>
      </c>
      <c r="BC9" s="2" t="s">
        <v>149</v>
      </c>
      <c r="BD9" s="6" t="s">
        <v>209</v>
      </c>
      <c r="BE9" s="5"/>
      <c r="BF9" s="5"/>
      <c r="BG9" s="2">
        <v>8</v>
      </c>
      <c r="BH9" s="2">
        <f t="shared" si="10"/>
        <v>8.4499999999999993</v>
      </c>
      <c r="BI9" s="2">
        <v>9.6</v>
      </c>
      <c r="BJ9" s="2" t="s">
        <v>149</v>
      </c>
      <c r="BK9" s="6" t="s">
        <v>209</v>
      </c>
      <c r="BL9" s="5"/>
      <c r="BM9" s="5"/>
      <c r="BN9" s="2">
        <f t="shared" si="1"/>
        <v>50.765652258189576</v>
      </c>
      <c r="BO9" s="2">
        <f t="shared" si="11"/>
        <v>47.353187541785431</v>
      </c>
      <c r="BP9" s="2">
        <v>38.334468664850135</v>
      </c>
      <c r="BQ9" s="2" t="s">
        <v>149</v>
      </c>
      <c r="BR9" s="6" t="s">
        <v>209</v>
      </c>
    </row>
    <row r="10" spans="1:72" x14ac:dyDescent="0.25">
      <c r="A10">
        <v>2022</v>
      </c>
      <c r="B10">
        <v>1</v>
      </c>
      <c r="C10">
        <v>4836</v>
      </c>
      <c r="D10" s="3">
        <f t="shared" si="2"/>
        <v>5214.25</v>
      </c>
      <c r="E10">
        <v>5683</v>
      </c>
      <c r="F10" s="2" t="s">
        <v>149</v>
      </c>
      <c r="G10">
        <v>150</v>
      </c>
      <c r="J10">
        <f t="shared" si="0"/>
        <v>1754</v>
      </c>
      <c r="K10" s="3">
        <f t="shared" si="3"/>
        <v>1944</v>
      </c>
      <c r="L10">
        <v>2304</v>
      </c>
      <c r="M10" s="2" t="s">
        <v>149</v>
      </c>
      <c r="N10">
        <v>125</v>
      </c>
      <c r="Q10">
        <v>3082</v>
      </c>
      <c r="R10" s="3">
        <f t="shared" si="4"/>
        <v>3270.25</v>
      </c>
      <c r="S10">
        <v>3379</v>
      </c>
      <c r="T10" s="2" t="s">
        <v>149</v>
      </c>
      <c r="U10">
        <v>150</v>
      </c>
      <c r="X10">
        <v>635</v>
      </c>
      <c r="Y10" s="3">
        <f t="shared" si="5"/>
        <v>727</v>
      </c>
      <c r="Z10">
        <v>822</v>
      </c>
      <c r="AA10" s="2" t="s">
        <v>149</v>
      </c>
      <c r="AB10">
        <v>40</v>
      </c>
      <c r="AE10">
        <v>2461</v>
      </c>
      <c r="AF10" s="3">
        <f t="shared" si="6"/>
        <v>2579</v>
      </c>
      <c r="AG10">
        <v>2401</v>
      </c>
      <c r="AH10" s="2" t="s">
        <v>149</v>
      </c>
      <c r="AI10">
        <v>125</v>
      </c>
      <c r="AL10" s="2">
        <v>6</v>
      </c>
      <c r="AM10" s="2">
        <f t="shared" si="7"/>
        <v>6.4</v>
      </c>
      <c r="AN10" s="2">
        <v>6.9</v>
      </c>
      <c r="AO10" s="2" t="s">
        <v>149</v>
      </c>
      <c r="AP10" s="6" t="s">
        <v>209</v>
      </c>
      <c r="AQ10" s="5"/>
      <c r="AR10" s="5"/>
      <c r="AS10" s="2">
        <v>2.7</v>
      </c>
      <c r="AT10" s="2">
        <f t="shared" si="8"/>
        <v>3</v>
      </c>
      <c r="AU10" s="2">
        <v>3.5</v>
      </c>
      <c r="AV10" s="2" t="s">
        <v>149</v>
      </c>
      <c r="AW10" s="6" t="s">
        <v>209</v>
      </c>
      <c r="AX10" s="2"/>
      <c r="AY10" s="2"/>
      <c r="AZ10" s="2">
        <v>18.3</v>
      </c>
      <c r="BA10" s="2">
        <f t="shared" si="9"/>
        <v>19.375</v>
      </c>
      <c r="BB10" s="2">
        <v>20</v>
      </c>
      <c r="BC10" s="2" t="s">
        <v>149</v>
      </c>
      <c r="BD10" s="6" t="s">
        <v>209</v>
      </c>
      <c r="BE10" s="5"/>
      <c r="BF10" s="5"/>
      <c r="BG10" s="2">
        <v>7.3</v>
      </c>
      <c r="BH10" s="2">
        <f t="shared" si="10"/>
        <v>8.0499999999999989</v>
      </c>
      <c r="BI10" s="2">
        <v>8.9</v>
      </c>
      <c r="BJ10" s="2" t="s">
        <v>149</v>
      </c>
      <c r="BK10" s="6" t="s">
        <v>209</v>
      </c>
      <c r="BL10" s="5"/>
      <c r="BM10" s="5"/>
      <c r="BN10" s="2">
        <f t="shared" si="1"/>
        <v>50.889164598842015</v>
      </c>
      <c r="BO10" s="2">
        <f t="shared" si="11"/>
        <v>49.513275629732775</v>
      </c>
      <c r="BP10" s="2">
        <v>42.248812247052612</v>
      </c>
      <c r="BQ10" s="2" t="s">
        <v>149</v>
      </c>
      <c r="BR10" s="6" t="s">
        <v>209</v>
      </c>
    </row>
    <row r="11" spans="1:72" x14ac:dyDescent="0.25">
      <c r="A11">
        <v>2022</v>
      </c>
      <c r="B11">
        <v>2</v>
      </c>
      <c r="C11">
        <v>4641</v>
      </c>
      <c r="D11" s="3">
        <f t="shared" si="2"/>
        <v>5022.5</v>
      </c>
      <c r="E11">
        <v>5408</v>
      </c>
      <c r="F11" s="2" t="s">
        <v>149</v>
      </c>
      <c r="G11">
        <v>150</v>
      </c>
      <c r="J11">
        <f t="shared" si="0"/>
        <v>1660</v>
      </c>
      <c r="K11" s="3">
        <f t="shared" si="3"/>
        <v>1841.75</v>
      </c>
      <c r="L11">
        <v>2069</v>
      </c>
      <c r="M11" s="2" t="s">
        <v>149</v>
      </c>
      <c r="N11">
        <v>125</v>
      </c>
      <c r="Q11">
        <v>2981</v>
      </c>
      <c r="R11" s="3">
        <f t="shared" si="4"/>
        <v>3180.75</v>
      </c>
      <c r="S11">
        <v>3339</v>
      </c>
      <c r="T11" s="2" t="s">
        <v>149</v>
      </c>
      <c r="U11">
        <v>150</v>
      </c>
      <c r="X11">
        <v>605</v>
      </c>
      <c r="Y11" s="3">
        <f t="shared" si="5"/>
        <v>691.75</v>
      </c>
      <c r="Z11">
        <v>746</v>
      </c>
      <c r="AA11" s="2" t="s">
        <v>149</v>
      </c>
      <c r="AB11">
        <v>40</v>
      </c>
      <c r="AE11">
        <v>2349</v>
      </c>
      <c r="AF11" s="3">
        <f t="shared" si="6"/>
        <v>2532.5</v>
      </c>
      <c r="AG11">
        <v>2535</v>
      </c>
      <c r="AH11" s="2" t="s">
        <v>149</v>
      </c>
      <c r="AI11">
        <v>125</v>
      </c>
      <c r="AL11" s="2">
        <v>5.8</v>
      </c>
      <c r="AM11" s="2">
        <f t="shared" si="7"/>
        <v>6.2</v>
      </c>
      <c r="AN11" s="2">
        <v>6.6</v>
      </c>
      <c r="AO11" s="2" t="s">
        <v>149</v>
      </c>
      <c r="AP11" s="6" t="s">
        <v>209</v>
      </c>
      <c r="AQ11" s="5"/>
      <c r="AR11" s="5"/>
      <c r="AS11" s="2">
        <v>2.6</v>
      </c>
      <c r="AT11" s="2">
        <f t="shared" si="8"/>
        <v>2.85</v>
      </c>
      <c r="AU11" s="2">
        <v>3.2</v>
      </c>
      <c r="AV11" s="2" t="s">
        <v>149</v>
      </c>
      <c r="AW11" s="6" t="s">
        <v>209</v>
      </c>
      <c r="AX11" s="2"/>
      <c r="AY11" s="2"/>
      <c r="AZ11" s="2">
        <v>17.8</v>
      </c>
      <c r="BA11" s="2">
        <f t="shared" si="9"/>
        <v>18.875</v>
      </c>
      <c r="BB11" s="2">
        <v>19.8</v>
      </c>
      <c r="BC11" s="2" t="s">
        <v>149</v>
      </c>
      <c r="BD11" s="6" t="s">
        <v>209</v>
      </c>
      <c r="BE11" s="5"/>
      <c r="BF11" s="5"/>
      <c r="BG11" s="2">
        <v>7</v>
      </c>
      <c r="BH11" s="2">
        <f t="shared" si="10"/>
        <v>7.75</v>
      </c>
      <c r="BI11" s="2">
        <v>8.1999999999999993</v>
      </c>
      <c r="BJ11" s="2" t="s">
        <v>149</v>
      </c>
      <c r="BK11" s="6" t="s">
        <v>209</v>
      </c>
      <c r="BL11" s="5"/>
      <c r="BM11" s="5"/>
      <c r="BN11" s="2">
        <f t="shared" si="1"/>
        <v>50.614091790562377</v>
      </c>
      <c r="BO11" s="2">
        <f t="shared" si="11"/>
        <v>50.44804857737337</v>
      </c>
      <c r="BP11" s="2">
        <v>46.875</v>
      </c>
      <c r="BQ11" s="2" t="s">
        <v>149</v>
      </c>
      <c r="BR11" s="6" t="s">
        <v>209</v>
      </c>
    </row>
    <row r="12" spans="1:72" x14ac:dyDescent="0.25">
      <c r="A12">
        <v>2022</v>
      </c>
      <c r="B12">
        <v>3</v>
      </c>
      <c r="C12">
        <v>4624</v>
      </c>
      <c r="D12" s="3">
        <f t="shared" si="2"/>
        <v>4815</v>
      </c>
      <c r="E12">
        <v>5454</v>
      </c>
      <c r="F12" s="2" t="s">
        <v>149</v>
      </c>
      <c r="G12">
        <v>150</v>
      </c>
      <c r="J12">
        <f t="shared" si="0"/>
        <v>1736</v>
      </c>
      <c r="K12" s="3">
        <f t="shared" si="3"/>
        <v>1766</v>
      </c>
      <c r="L12">
        <v>2039</v>
      </c>
      <c r="M12" s="2" t="s">
        <v>149</v>
      </c>
      <c r="N12">
        <v>125</v>
      </c>
      <c r="Q12">
        <v>2888</v>
      </c>
      <c r="R12" s="3">
        <f t="shared" si="4"/>
        <v>3049</v>
      </c>
      <c r="S12">
        <v>3415</v>
      </c>
      <c r="T12" s="2" t="s">
        <v>149</v>
      </c>
      <c r="U12">
        <v>150</v>
      </c>
      <c r="X12">
        <v>649</v>
      </c>
      <c r="Y12" s="3">
        <f t="shared" si="5"/>
        <v>654.75</v>
      </c>
      <c r="Z12">
        <v>797</v>
      </c>
      <c r="AA12" s="2" t="s">
        <v>149</v>
      </c>
      <c r="AB12">
        <v>40</v>
      </c>
      <c r="AE12">
        <v>2252</v>
      </c>
      <c r="AF12" s="3">
        <f t="shared" si="6"/>
        <v>2420.25</v>
      </c>
      <c r="AG12">
        <v>2701</v>
      </c>
      <c r="AH12" s="2" t="s">
        <v>149</v>
      </c>
      <c r="AI12">
        <v>125</v>
      </c>
      <c r="AL12" s="2">
        <v>5.9</v>
      </c>
      <c r="AM12" s="2">
        <f t="shared" si="7"/>
        <v>6</v>
      </c>
      <c r="AN12" s="2">
        <v>6.7</v>
      </c>
      <c r="AO12" s="2" t="s">
        <v>149</v>
      </c>
      <c r="AP12" s="6" t="s">
        <v>209</v>
      </c>
      <c r="AQ12" s="5"/>
      <c r="AR12" s="5"/>
      <c r="AS12" s="2">
        <v>2.9</v>
      </c>
      <c r="AT12" s="2">
        <f t="shared" si="8"/>
        <v>2.8000000000000003</v>
      </c>
      <c r="AU12" s="2">
        <v>3.1</v>
      </c>
      <c r="AV12" s="2" t="s">
        <v>149</v>
      </c>
      <c r="AW12" s="6" t="s">
        <v>209</v>
      </c>
      <c r="AX12" s="2"/>
      <c r="AY12" s="2"/>
      <c r="AZ12" s="2">
        <v>17.399999999999999</v>
      </c>
      <c r="BA12" s="2">
        <f t="shared" si="9"/>
        <v>18.200000000000003</v>
      </c>
      <c r="BB12" s="2">
        <v>20.100000000000001</v>
      </c>
      <c r="BC12" s="2" t="s">
        <v>149</v>
      </c>
      <c r="BD12" s="6" t="s">
        <v>209</v>
      </c>
      <c r="BE12" s="5"/>
      <c r="BF12" s="5"/>
      <c r="BG12" s="2">
        <v>7.5</v>
      </c>
      <c r="BH12" s="2">
        <f t="shared" si="10"/>
        <v>7.45</v>
      </c>
      <c r="BI12" s="2">
        <v>8.6999999999999993</v>
      </c>
      <c r="BJ12" s="2" t="s">
        <v>149</v>
      </c>
      <c r="BK12" s="6" t="s">
        <v>209</v>
      </c>
      <c r="BL12" s="5"/>
      <c r="BM12" s="5"/>
      <c r="BN12" s="2">
        <f t="shared" si="1"/>
        <v>48.702422145328725</v>
      </c>
      <c r="BO12" s="2">
        <f t="shared" si="11"/>
        <v>50.242832698230671</v>
      </c>
      <c r="BP12" s="2">
        <v>49.523285661899521</v>
      </c>
      <c r="BQ12" s="2" t="s">
        <v>149</v>
      </c>
      <c r="BR12" s="6" t="s">
        <v>209</v>
      </c>
    </row>
    <row r="13" spans="1:72" x14ac:dyDescent="0.25">
      <c r="A13">
        <v>2022</v>
      </c>
      <c r="B13">
        <v>4</v>
      </c>
      <c r="C13">
        <v>4734</v>
      </c>
      <c r="D13" s="3">
        <f t="shared" si="2"/>
        <v>4708.75</v>
      </c>
      <c r="E13">
        <v>5159</v>
      </c>
      <c r="F13" s="2" t="s">
        <v>149</v>
      </c>
      <c r="G13">
        <v>150</v>
      </c>
      <c r="J13">
        <f t="shared" si="0"/>
        <v>1751</v>
      </c>
      <c r="K13" s="3">
        <f t="shared" si="3"/>
        <v>1725.25</v>
      </c>
      <c r="L13">
        <v>1914</v>
      </c>
      <c r="M13" s="2" t="s">
        <v>149</v>
      </c>
      <c r="N13">
        <v>125</v>
      </c>
      <c r="Q13">
        <v>2983</v>
      </c>
      <c r="R13" s="3">
        <f t="shared" si="4"/>
        <v>2983.5</v>
      </c>
      <c r="S13">
        <v>3245</v>
      </c>
      <c r="T13" s="2" t="s">
        <v>149</v>
      </c>
      <c r="U13">
        <v>150</v>
      </c>
      <c r="X13">
        <v>669</v>
      </c>
      <c r="Y13" s="3">
        <f t="shared" si="5"/>
        <v>639.5</v>
      </c>
      <c r="Z13">
        <v>730</v>
      </c>
      <c r="AA13" s="2" t="s">
        <v>149</v>
      </c>
      <c r="AB13">
        <v>40</v>
      </c>
      <c r="AE13">
        <v>2270</v>
      </c>
      <c r="AF13" s="3">
        <f t="shared" si="6"/>
        <v>2333</v>
      </c>
      <c r="AG13">
        <v>2619</v>
      </c>
      <c r="AH13" s="2" t="s">
        <v>149</v>
      </c>
      <c r="AI13">
        <v>125</v>
      </c>
      <c r="AL13" s="2">
        <v>5.9</v>
      </c>
      <c r="AM13" s="2">
        <f t="shared" si="7"/>
        <v>5.9</v>
      </c>
      <c r="AN13" s="2">
        <v>6.3</v>
      </c>
      <c r="AO13" s="2" t="s">
        <v>149</v>
      </c>
      <c r="AP13" s="6" t="s">
        <v>209</v>
      </c>
      <c r="AQ13" s="5"/>
      <c r="AR13" s="5"/>
      <c r="AS13" s="2">
        <v>2.7</v>
      </c>
      <c r="AT13" s="2">
        <f t="shared" si="8"/>
        <v>2.7250000000000005</v>
      </c>
      <c r="AU13" s="2">
        <v>3</v>
      </c>
      <c r="AV13" s="2" t="s">
        <v>149</v>
      </c>
      <c r="AW13" s="6" t="s">
        <v>209</v>
      </c>
      <c r="AX13" s="2"/>
      <c r="AY13" s="2"/>
      <c r="AZ13" s="2">
        <v>17.899999999999999</v>
      </c>
      <c r="BA13" s="2">
        <f t="shared" si="9"/>
        <v>17.850000000000001</v>
      </c>
      <c r="BB13" s="2">
        <v>19.3</v>
      </c>
      <c r="BC13" s="2" t="s">
        <v>149</v>
      </c>
      <c r="BD13" s="6" t="s">
        <v>209</v>
      </c>
      <c r="BE13" s="5"/>
      <c r="BF13" s="5"/>
      <c r="BG13" s="2">
        <v>7.7</v>
      </c>
      <c r="BH13" s="2">
        <f t="shared" si="10"/>
        <v>7.375</v>
      </c>
      <c r="BI13" s="2">
        <v>8</v>
      </c>
      <c r="BJ13" s="2" t="s">
        <v>149</v>
      </c>
      <c r="BK13" s="6" t="s">
        <v>209</v>
      </c>
      <c r="BL13" s="5"/>
      <c r="BM13" s="5"/>
      <c r="BN13" s="2">
        <f t="shared" si="1"/>
        <v>47.950992817912969</v>
      </c>
      <c r="BO13" s="2">
        <f t="shared" si="11"/>
        <v>49.539167838161525</v>
      </c>
      <c r="BP13" s="2">
        <v>50.765652258189576</v>
      </c>
      <c r="BQ13" s="2" t="s">
        <v>149</v>
      </c>
      <c r="BR13" s="6" t="s">
        <v>209</v>
      </c>
    </row>
    <row r="14" spans="1:72" x14ac:dyDescent="0.25">
      <c r="A14">
        <v>2023</v>
      </c>
      <c r="B14">
        <v>1</v>
      </c>
      <c r="C14">
        <v>4699</v>
      </c>
      <c r="D14" s="3">
        <f t="shared" si="2"/>
        <v>4674.5</v>
      </c>
      <c r="E14">
        <v>4836</v>
      </c>
      <c r="F14" s="2" t="s">
        <v>149</v>
      </c>
      <c r="G14">
        <v>150</v>
      </c>
      <c r="J14">
        <f t="shared" si="0"/>
        <v>1714</v>
      </c>
      <c r="K14" s="3">
        <f t="shared" si="3"/>
        <v>1715.25</v>
      </c>
      <c r="L14">
        <v>1754</v>
      </c>
      <c r="M14" s="2" t="s">
        <v>149</v>
      </c>
      <c r="N14">
        <v>125</v>
      </c>
      <c r="Q14">
        <v>2985</v>
      </c>
      <c r="R14" s="3">
        <f t="shared" si="4"/>
        <v>2959.25</v>
      </c>
      <c r="S14">
        <v>3082</v>
      </c>
      <c r="T14" s="2" t="s">
        <v>149</v>
      </c>
      <c r="U14">
        <v>150</v>
      </c>
      <c r="X14">
        <v>639</v>
      </c>
      <c r="Y14" s="3">
        <f t="shared" si="5"/>
        <v>640.5</v>
      </c>
      <c r="Z14">
        <v>635</v>
      </c>
      <c r="AA14" s="2" t="s">
        <v>149</v>
      </c>
      <c r="AB14">
        <v>40</v>
      </c>
      <c r="AE14">
        <v>2209</v>
      </c>
      <c r="AF14" s="3">
        <f t="shared" si="6"/>
        <v>2270</v>
      </c>
      <c r="AG14">
        <v>2461</v>
      </c>
      <c r="AH14" s="2" t="s">
        <v>149</v>
      </c>
      <c r="AI14">
        <v>125</v>
      </c>
      <c r="AL14" s="2">
        <v>5.6</v>
      </c>
      <c r="AM14" s="2">
        <f t="shared" si="7"/>
        <v>5.8000000000000007</v>
      </c>
      <c r="AN14" s="2">
        <v>6</v>
      </c>
      <c r="AO14" s="2" t="s">
        <v>149</v>
      </c>
      <c r="AP14" s="6" t="s">
        <v>209</v>
      </c>
      <c r="AQ14" s="5"/>
      <c r="AR14" s="5"/>
      <c r="AS14" s="2">
        <v>2.6</v>
      </c>
      <c r="AT14" s="2">
        <f t="shared" si="8"/>
        <v>2.6999999999999997</v>
      </c>
      <c r="AU14" s="2">
        <v>2.7</v>
      </c>
      <c r="AV14" s="2" t="s">
        <v>149</v>
      </c>
      <c r="AW14" s="6" t="s">
        <v>209</v>
      </c>
      <c r="AX14" s="2"/>
      <c r="AY14" s="2"/>
      <c r="AZ14" s="2">
        <v>16.7</v>
      </c>
      <c r="BA14" s="2">
        <f t="shared" si="9"/>
        <v>17.45</v>
      </c>
      <c r="BB14" s="2">
        <v>18.3</v>
      </c>
      <c r="BC14" s="2" t="s">
        <v>149</v>
      </c>
      <c r="BD14" s="6" t="s">
        <v>209</v>
      </c>
      <c r="BE14" s="5"/>
      <c r="BF14" s="5"/>
      <c r="BG14" s="2">
        <v>6.2</v>
      </c>
      <c r="BH14" s="2">
        <f t="shared" si="10"/>
        <v>7.1</v>
      </c>
      <c r="BI14" s="2">
        <v>7.3</v>
      </c>
      <c r="BJ14" s="2" t="s">
        <v>149</v>
      </c>
      <c r="BK14" s="6" t="s">
        <v>209</v>
      </c>
      <c r="BL14" s="5"/>
      <c r="BM14" s="5"/>
      <c r="BN14" s="2">
        <f t="shared" si="1"/>
        <v>47.010002128112369</v>
      </c>
      <c r="BO14" s="2">
        <f t="shared" si="11"/>
        <v>48.569377220479112</v>
      </c>
      <c r="BP14" s="2">
        <v>50.889164598842015</v>
      </c>
      <c r="BQ14" s="2" t="s">
        <v>149</v>
      </c>
      <c r="BR14" s="6" t="s">
        <v>209</v>
      </c>
    </row>
    <row r="15" spans="1:72" x14ac:dyDescent="0.25">
      <c r="A15">
        <v>2023</v>
      </c>
      <c r="B15">
        <v>2</v>
      </c>
      <c r="C15">
        <v>4613</v>
      </c>
      <c r="D15" s="3">
        <f t="shared" si="2"/>
        <v>4667.5</v>
      </c>
      <c r="E15">
        <v>4641</v>
      </c>
      <c r="F15" s="2" t="s">
        <v>149</v>
      </c>
      <c r="G15">
        <v>150</v>
      </c>
      <c r="J15">
        <f t="shared" si="0"/>
        <v>1651</v>
      </c>
      <c r="K15" s="3">
        <f t="shared" si="3"/>
        <v>1713</v>
      </c>
      <c r="L15">
        <v>1660</v>
      </c>
      <c r="M15" s="2" t="s">
        <v>149</v>
      </c>
      <c r="N15">
        <v>125</v>
      </c>
      <c r="Q15">
        <v>2962</v>
      </c>
      <c r="R15" s="3">
        <f t="shared" si="4"/>
        <v>2954.5</v>
      </c>
      <c r="S15">
        <v>2981</v>
      </c>
      <c r="T15" s="2" t="s">
        <v>149</v>
      </c>
      <c r="U15">
        <v>150</v>
      </c>
      <c r="X15">
        <v>578</v>
      </c>
      <c r="Y15" s="3">
        <f t="shared" si="5"/>
        <v>633.75</v>
      </c>
      <c r="Z15">
        <v>605</v>
      </c>
      <c r="AA15" s="2" t="s">
        <v>149</v>
      </c>
      <c r="AB15">
        <v>40</v>
      </c>
      <c r="AE15">
        <v>2173</v>
      </c>
      <c r="AF15" s="3">
        <f t="shared" si="6"/>
        <v>2226</v>
      </c>
      <c r="AG15">
        <v>2349</v>
      </c>
      <c r="AH15" s="2" t="s">
        <v>149</v>
      </c>
      <c r="AI15">
        <v>125</v>
      </c>
      <c r="AL15" s="2">
        <v>5.5</v>
      </c>
      <c r="AM15" s="2">
        <f t="shared" si="7"/>
        <v>5.7249999999999996</v>
      </c>
      <c r="AN15" s="2">
        <v>5.8</v>
      </c>
      <c r="AO15" s="2" t="s">
        <v>149</v>
      </c>
      <c r="AP15" s="6" t="s">
        <v>209</v>
      </c>
      <c r="AQ15" s="5"/>
      <c r="AR15" s="5"/>
      <c r="AS15" s="2">
        <v>2.5</v>
      </c>
      <c r="AT15" s="2">
        <f t="shared" si="8"/>
        <v>2.6749999999999998</v>
      </c>
      <c r="AU15" s="2">
        <v>2.6</v>
      </c>
      <c r="AV15" s="2" t="s">
        <v>149</v>
      </c>
      <c r="AW15" s="6" t="s">
        <v>209</v>
      </c>
      <c r="AX15" s="2"/>
      <c r="AY15" s="2"/>
      <c r="AZ15" s="2">
        <v>16.5</v>
      </c>
      <c r="BA15" s="2">
        <f t="shared" si="9"/>
        <v>17.125</v>
      </c>
      <c r="BB15" s="2">
        <v>17.8</v>
      </c>
      <c r="BC15" s="2" t="s">
        <v>149</v>
      </c>
      <c r="BD15" s="6" t="s">
        <v>209</v>
      </c>
      <c r="BE15" s="5"/>
      <c r="BF15" s="5"/>
      <c r="BG15" s="2">
        <v>5.5</v>
      </c>
      <c r="BH15" s="2">
        <f t="shared" si="10"/>
        <v>6.7249999999999996</v>
      </c>
      <c r="BI15" s="2">
        <v>7</v>
      </c>
      <c r="BJ15" s="2" t="s">
        <v>149</v>
      </c>
      <c r="BK15" s="6" t="s">
        <v>209</v>
      </c>
      <c r="BL15" s="5"/>
      <c r="BM15" s="5"/>
      <c r="BN15" s="2">
        <f t="shared" si="1"/>
        <v>47.106004769130713</v>
      </c>
      <c r="BO15" s="2">
        <f t="shared" si="11"/>
        <v>47.692355465121196</v>
      </c>
      <c r="BP15" s="2">
        <v>50.614091790562377</v>
      </c>
      <c r="BQ15" s="2" t="s">
        <v>149</v>
      </c>
      <c r="BR15" s="6" t="s">
        <v>209</v>
      </c>
    </row>
    <row r="16" spans="1:72" x14ac:dyDescent="0.25">
      <c r="A16">
        <v>2023</v>
      </c>
      <c r="B16">
        <v>3</v>
      </c>
      <c r="C16">
        <v>4810</v>
      </c>
      <c r="D16" s="3">
        <f t="shared" si="2"/>
        <v>4714</v>
      </c>
      <c r="E16">
        <v>4624</v>
      </c>
      <c r="F16" s="2" t="s">
        <v>149</v>
      </c>
      <c r="G16">
        <v>150</v>
      </c>
      <c r="J16">
        <f t="shared" si="0"/>
        <v>1775</v>
      </c>
      <c r="K16" s="3">
        <f t="shared" si="3"/>
        <v>1722.75</v>
      </c>
      <c r="L16">
        <v>1736</v>
      </c>
      <c r="M16" s="2" t="s">
        <v>149</v>
      </c>
      <c r="N16">
        <v>125</v>
      </c>
      <c r="Q16">
        <v>3035</v>
      </c>
      <c r="R16" s="3">
        <f t="shared" si="4"/>
        <v>2991.25</v>
      </c>
      <c r="S16">
        <v>2888</v>
      </c>
      <c r="T16" s="2" t="s">
        <v>149</v>
      </c>
      <c r="U16">
        <v>150</v>
      </c>
      <c r="X16">
        <v>684</v>
      </c>
      <c r="Y16" s="3">
        <f t="shared" si="5"/>
        <v>642.5</v>
      </c>
      <c r="Z16">
        <v>649</v>
      </c>
      <c r="AA16" s="2" t="s">
        <v>149</v>
      </c>
      <c r="AB16">
        <v>40</v>
      </c>
      <c r="AE16">
        <v>2122</v>
      </c>
      <c r="AF16" s="3">
        <f t="shared" si="6"/>
        <v>2193.5</v>
      </c>
      <c r="AG16">
        <v>2252</v>
      </c>
      <c r="AH16" s="2" t="s">
        <v>149</v>
      </c>
      <c r="AI16">
        <v>125</v>
      </c>
      <c r="AL16" s="2">
        <v>5.7</v>
      </c>
      <c r="AM16" s="2">
        <f t="shared" si="7"/>
        <v>5.6749999999999998</v>
      </c>
      <c r="AN16" s="2">
        <v>5.9</v>
      </c>
      <c r="AO16" s="2" t="s">
        <v>149</v>
      </c>
      <c r="AP16" s="6" t="s">
        <v>209</v>
      </c>
      <c r="AQ16" s="5"/>
      <c r="AR16" s="5"/>
      <c r="AS16" s="2">
        <v>2.7</v>
      </c>
      <c r="AT16" s="2">
        <f t="shared" si="8"/>
        <v>2.625</v>
      </c>
      <c r="AU16" s="2">
        <v>2.9</v>
      </c>
      <c r="AV16" s="2" t="s">
        <v>149</v>
      </c>
      <c r="AW16" s="6" t="s">
        <v>209</v>
      </c>
      <c r="AX16" s="2"/>
      <c r="AY16" s="2"/>
      <c r="AZ16" s="2">
        <v>16.7</v>
      </c>
      <c r="BA16" s="2">
        <f t="shared" si="9"/>
        <v>16.95</v>
      </c>
      <c r="BB16" s="2">
        <v>17.399999999999999</v>
      </c>
      <c r="BC16" s="2" t="s">
        <v>149</v>
      </c>
      <c r="BD16" s="6" t="s">
        <v>209</v>
      </c>
      <c r="BE16" s="5"/>
      <c r="BF16" s="5"/>
      <c r="BG16" s="2">
        <v>6.5</v>
      </c>
      <c r="BH16" s="2">
        <f t="shared" si="10"/>
        <v>6.4749999999999996</v>
      </c>
      <c r="BI16" s="2">
        <v>7.5</v>
      </c>
      <c r="BJ16" s="2" t="s">
        <v>149</v>
      </c>
      <c r="BK16" s="6" t="s">
        <v>209</v>
      </c>
      <c r="BL16" s="5"/>
      <c r="BM16" s="5"/>
      <c r="BN16" s="2">
        <f t="shared" si="1"/>
        <v>44.11642411642412</v>
      </c>
      <c r="BO16" s="2">
        <f t="shared" si="11"/>
        <v>46.545855957895043</v>
      </c>
      <c r="BP16" s="2">
        <v>48.702422145328725</v>
      </c>
      <c r="BQ16" s="2" t="s">
        <v>149</v>
      </c>
      <c r="BR16" s="6" t="s">
        <v>209</v>
      </c>
    </row>
    <row r="17" spans="1:70" x14ac:dyDescent="0.25">
      <c r="A17">
        <v>2023</v>
      </c>
      <c r="B17">
        <v>4</v>
      </c>
      <c r="C17">
        <v>4735</v>
      </c>
      <c r="D17" s="3">
        <f t="shared" si="2"/>
        <v>4714.25</v>
      </c>
      <c r="E17">
        <v>4734</v>
      </c>
      <c r="F17" s="2" t="s">
        <v>149</v>
      </c>
      <c r="G17">
        <v>150</v>
      </c>
      <c r="J17">
        <f t="shared" si="0"/>
        <v>1728</v>
      </c>
      <c r="K17" s="3">
        <f t="shared" si="3"/>
        <v>1717</v>
      </c>
      <c r="L17">
        <v>1751</v>
      </c>
      <c r="M17" s="2" t="s">
        <v>149</v>
      </c>
      <c r="N17">
        <v>125</v>
      </c>
      <c r="Q17">
        <v>3007</v>
      </c>
      <c r="R17" s="3">
        <f t="shared" si="4"/>
        <v>2997.25</v>
      </c>
      <c r="S17">
        <v>2983</v>
      </c>
      <c r="T17" s="2" t="s">
        <v>149</v>
      </c>
      <c r="U17">
        <v>150</v>
      </c>
      <c r="X17">
        <v>667</v>
      </c>
      <c r="Y17" s="3">
        <f t="shared" si="5"/>
        <v>642</v>
      </c>
      <c r="Z17">
        <v>669</v>
      </c>
      <c r="AA17" s="2" t="s">
        <v>149</v>
      </c>
      <c r="AB17">
        <v>40</v>
      </c>
      <c r="AE17">
        <v>2072</v>
      </c>
      <c r="AF17" s="3">
        <f t="shared" si="6"/>
        <v>2144</v>
      </c>
      <c r="AG17">
        <v>2270</v>
      </c>
      <c r="AH17" s="2" t="s">
        <v>149</v>
      </c>
      <c r="AI17">
        <v>125</v>
      </c>
      <c r="AL17" s="2">
        <v>5.6</v>
      </c>
      <c r="AM17" s="2">
        <f t="shared" si="7"/>
        <v>5.6</v>
      </c>
      <c r="AN17" s="2">
        <v>5.9</v>
      </c>
      <c r="AO17" s="2" t="s">
        <v>149</v>
      </c>
      <c r="AP17" s="6" t="s">
        <v>209</v>
      </c>
      <c r="AQ17" s="5"/>
      <c r="AR17" s="5"/>
      <c r="AS17" s="2">
        <v>2.6</v>
      </c>
      <c r="AT17" s="2">
        <f t="shared" si="8"/>
        <v>2.6</v>
      </c>
      <c r="AU17" s="2">
        <v>2.7</v>
      </c>
      <c r="AV17" s="2" t="s">
        <v>149</v>
      </c>
      <c r="AW17" s="6" t="s">
        <v>209</v>
      </c>
      <c r="AX17" s="2"/>
      <c r="AY17" s="2"/>
      <c r="AZ17" s="2">
        <v>16.5</v>
      </c>
      <c r="BA17" s="2">
        <f t="shared" si="9"/>
        <v>16.600000000000001</v>
      </c>
      <c r="BB17" s="2">
        <v>17.899999999999999</v>
      </c>
      <c r="BC17" s="2" t="s">
        <v>149</v>
      </c>
      <c r="BD17" s="6" t="s">
        <v>209</v>
      </c>
      <c r="BE17" s="5"/>
      <c r="BF17" s="5"/>
      <c r="BG17" s="2">
        <v>6.3</v>
      </c>
      <c r="BH17" s="2">
        <f t="shared" si="10"/>
        <v>6.125</v>
      </c>
      <c r="BI17" s="2">
        <v>7.7</v>
      </c>
      <c r="BJ17" s="2" t="s">
        <v>149</v>
      </c>
      <c r="BK17" s="6" t="s">
        <v>209</v>
      </c>
      <c r="BL17" s="5"/>
      <c r="BM17" s="5"/>
      <c r="BN17" s="2">
        <f t="shared" si="1"/>
        <v>43.75923970432946</v>
      </c>
      <c r="BO17" s="2">
        <f t="shared" si="11"/>
        <v>45.497917679499167</v>
      </c>
      <c r="BP17" s="2">
        <v>47.950992817912969</v>
      </c>
      <c r="BQ17" s="2" t="s">
        <v>149</v>
      </c>
      <c r="BR17" s="6" t="s">
        <v>209</v>
      </c>
    </row>
    <row r="18" spans="1:70" x14ac:dyDescent="0.25">
      <c r="A18">
        <v>2024</v>
      </c>
      <c r="B18">
        <v>1</v>
      </c>
      <c r="C18">
        <v>5004</v>
      </c>
      <c r="D18" s="3">
        <f t="shared" si="2"/>
        <v>4790.5</v>
      </c>
      <c r="E18">
        <v>4699</v>
      </c>
      <c r="F18" s="2" t="s">
        <v>149</v>
      </c>
      <c r="G18">
        <v>150</v>
      </c>
      <c r="J18">
        <f t="shared" si="0"/>
        <v>1879</v>
      </c>
      <c r="K18" s="3">
        <f t="shared" si="3"/>
        <v>1758.25</v>
      </c>
      <c r="L18">
        <v>1714</v>
      </c>
      <c r="M18" s="2" t="s">
        <v>149</v>
      </c>
      <c r="N18">
        <v>125</v>
      </c>
      <c r="Q18">
        <v>3125</v>
      </c>
      <c r="R18" s="3">
        <f t="shared" si="4"/>
        <v>3032.25</v>
      </c>
      <c r="S18">
        <v>2985</v>
      </c>
      <c r="T18" s="2" t="s">
        <v>149</v>
      </c>
      <c r="U18">
        <v>150</v>
      </c>
      <c r="X18">
        <v>647</v>
      </c>
      <c r="Y18" s="3">
        <f t="shared" si="5"/>
        <v>644</v>
      </c>
      <c r="Z18">
        <v>639</v>
      </c>
      <c r="AA18" s="2" t="s">
        <v>149</v>
      </c>
      <c r="AB18">
        <v>40</v>
      </c>
      <c r="AE18">
        <v>2125</v>
      </c>
      <c r="AF18" s="3">
        <f t="shared" si="6"/>
        <v>2123</v>
      </c>
      <c r="AG18">
        <v>2209</v>
      </c>
      <c r="AH18" s="2" t="s">
        <v>149</v>
      </c>
      <c r="AI18">
        <v>125</v>
      </c>
      <c r="AL18" s="2">
        <v>5.9</v>
      </c>
      <c r="AM18" s="2">
        <f t="shared" si="7"/>
        <v>5.6749999999999989</v>
      </c>
      <c r="AN18" s="2">
        <v>5.6</v>
      </c>
      <c r="AO18" s="2" t="s">
        <v>149</v>
      </c>
      <c r="AP18" s="6" t="s">
        <v>209</v>
      </c>
      <c r="AQ18" s="5"/>
      <c r="AR18" s="5"/>
      <c r="AS18" s="2">
        <v>2.8</v>
      </c>
      <c r="AT18" s="2">
        <f t="shared" si="8"/>
        <v>2.6500000000000004</v>
      </c>
      <c r="AU18" s="2">
        <v>2.6</v>
      </c>
      <c r="AV18" s="2" t="s">
        <v>149</v>
      </c>
      <c r="AW18" s="6" t="s">
        <v>209</v>
      </c>
      <c r="AX18" s="2"/>
      <c r="AY18" s="2"/>
      <c r="AZ18" s="2">
        <v>16.899999999999999</v>
      </c>
      <c r="BA18" s="2">
        <f t="shared" si="9"/>
        <v>16.649999999999999</v>
      </c>
      <c r="BB18" s="2">
        <v>16.7</v>
      </c>
      <c r="BC18" s="2" t="s">
        <v>149</v>
      </c>
      <c r="BD18" s="6" t="s">
        <v>209</v>
      </c>
      <c r="BE18" s="5"/>
      <c r="BF18" s="5"/>
      <c r="BG18" s="2">
        <v>6</v>
      </c>
      <c r="BH18" s="2">
        <f t="shared" si="10"/>
        <v>6.0750000000000002</v>
      </c>
      <c r="BI18" s="2">
        <v>6.2</v>
      </c>
      <c r="BJ18" s="2" t="s">
        <v>149</v>
      </c>
      <c r="BK18" s="6" t="s">
        <v>209</v>
      </c>
      <c r="BL18" s="5"/>
      <c r="BM18" s="5"/>
      <c r="BN18" s="2">
        <f t="shared" si="1"/>
        <v>42.466027178257391</v>
      </c>
      <c r="BO18" s="2">
        <f t="shared" si="11"/>
        <v>44.361923942035418</v>
      </c>
      <c r="BP18" s="2">
        <v>47.010002128112369</v>
      </c>
      <c r="BQ18" s="2" t="s">
        <v>149</v>
      </c>
      <c r="BR18" s="6" t="s">
        <v>209</v>
      </c>
    </row>
    <row r="19" spans="1:70" x14ac:dyDescent="0.25">
      <c r="A19">
        <v>2024</v>
      </c>
      <c r="B19">
        <v>2</v>
      </c>
      <c r="C19">
        <v>4823</v>
      </c>
      <c r="D19" s="3">
        <f t="shared" si="2"/>
        <v>4843</v>
      </c>
      <c r="E19">
        <v>4613</v>
      </c>
      <c r="F19" s="2" t="s">
        <v>149</v>
      </c>
      <c r="G19">
        <v>150</v>
      </c>
      <c r="J19">
        <f t="shared" si="0"/>
        <v>1790</v>
      </c>
      <c r="K19" s="3">
        <f t="shared" si="3"/>
        <v>1793</v>
      </c>
      <c r="L19">
        <v>1651</v>
      </c>
      <c r="M19" s="2" t="s">
        <v>149</v>
      </c>
      <c r="N19">
        <v>125</v>
      </c>
      <c r="Q19">
        <v>3033</v>
      </c>
      <c r="R19" s="3">
        <f t="shared" si="4"/>
        <v>3050</v>
      </c>
      <c r="S19">
        <v>2962</v>
      </c>
      <c r="T19" s="2" t="s">
        <v>149</v>
      </c>
      <c r="U19">
        <v>150</v>
      </c>
      <c r="X19">
        <v>607</v>
      </c>
      <c r="Y19" s="3">
        <f t="shared" si="5"/>
        <v>651.25</v>
      </c>
      <c r="Z19">
        <v>578</v>
      </c>
      <c r="AA19" s="2" t="s">
        <v>149</v>
      </c>
      <c r="AB19">
        <v>40</v>
      </c>
      <c r="AE19">
        <v>2065</v>
      </c>
      <c r="AF19" s="3">
        <f t="shared" si="6"/>
        <v>2096</v>
      </c>
      <c r="AG19">
        <v>2173</v>
      </c>
      <c r="AH19" s="2" t="s">
        <v>149</v>
      </c>
      <c r="AI19">
        <v>125</v>
      </c>
      <c r="AL19" s="2">
        <v>5.7</v>
      </c>
      <c r="AM19" s="2">
        <f t="shared" si="7"/>
        <v>5.7250000000000005</v>
      </c>
      <c r="AN19" s="2">
        <v>5.5</v>
      </c>
      <c r="AO19" s="2" t="s">
        <v>149</v>
      </c>
      <c r="AP19" s="6" t="s">
        <v>209</v>
      </c>
      <c r="AQ19" s="5"/>
      <c r="AR19" s="5"/>
      <c r="AS19" s="2">
        <v>2.7</v>
      </c>
      <c r="AT19" s="2">
        <f t="shared" si="8"/>
        <v>2.7</v>
      </c>
      <c r="AU19" s="2">
        <v>2.5</v>
      </c>
      <c r="AV19" s="2" t="s">
        <v>149</v>
      </c>
      <c r="AW19" s="6" t="s">
        <v>209</v>
      </c>
      <c r="AX19" s="2"/>
      <c r="AY19" s="2"/>
      <c r="AZ19" s="2">
        <v>16.3</v>
      </c>
      <c r="BA19" s="2">
        <f t="shared" si="9"/>
        <v>16.600000000000001</v>
      </c>
      <c r="BB19" s="2">
        <v>16.5</v>
      </c>
      <c r="BC19" s="2" t="s">
        <v>149</v>
      </c>
      <c r="BD19" s="6" t="s">
        <v>209</v>
      </c>
      <c r="BE19" s="5"/>
      <c r="BF19" s="5"/>
      <c r="BG19" s="2">
        <v>5.7</v>
      </c>
      <c r="BH19" s="2">
        <f t="shared" si="10"/>
        <v>6.125</v>
      </c>
      <c r="BI19" s="2">
        <v>5.5</v>
      </c>
      <c r="BJ19" s="2" t="s">
        <v>149</v>
      </c>
      <c r="BK19" s="6" t="s">
        <v>209</v>
      </c>
      <c r="BL19" s="5"/>
      <c r="BM19" s="5"/>
      <c r="BN19" s="2">
        <f t="shared" si="1"/>
        <v>42.815674891146585</v>
      </c>
      <c r="BO19" s="2">
        <f t="shared" si="11"/>
        <v>43.289341472539384</v>
      </c>
      <c r="BP19" s="2">
        <v>47.106004769130713</v>
      </c>
      <c r="BQ19" s="2" t="s">
        <v>149</v>
      </c>
      <c r="BR19" s="6" t="s">
        <v>209</v>
      </c>
    </row>
    <row r="20" spans="1:70" x14ac:dyDescent="0.25">
      <c r="A20">
        <v>2024</v>
      </c>
      <c r="B20">
        <v>3</v>
      </c>
      <c r="C20">
        <v>5118</v>
      </c>
      <c r="D20" s="3">
        <f t="shared" si="2"/>
        <v>4920</v>
      </c>
      <c r="E20">
        <v>4810</v>
      </c>
      <c r="F20" s="2" t="s">
        <v>149</v>
      </c>
      <c r="G20">
        <v>150</v>
      </c>
      <c r="J20">
        <f t="shared" si="0"/>
        <v>2039</v>
      </c>
      <c r="K20" s="3">
        <f t="shared" si="3"/>
        <v>1859</v>
      </c>
      <c r="L20">
        <v>1775</v>
      </c>
      <c r="M20" s="2" t="s">
        <v>149</v>
      </c>
      <c r="N20">
        <v>125</v>
      </c>
      <c r="Q20">
        <v>3079</v>
      </c>
      <c r="R20" s="3">
        <f t="shared" si="4"/>
        <v>3061</v>
      </c>
      <c r="S20">
        <v>3035</v>
      </c>
      <c r="T20" s="2" t="s">
        <v>149</v>
      </c>
      <c r="U20">
        <v>150</v>
      </c>
      <c r="X20">
        <v>781</v>
      </c>
      <c r="Y20" s="3">
        <f t="shared" si="5"/>
        <v>675.5</v>
      </c>
      <c r="Z20">
        <v>684</v>
      </c>
      <c r="AA20" s="2" t="s">
        <v>149</v>
      </c>
      <c r="AB20">
        <v>40</v>
      </c>
      <c r="AE20">
        <v>2160</v>
      </c>
      <c r="AF20" s="3">
        <f t="shared" si="6"/>
        <v>2105.5</v>
      </c>
      <c r="AG20">
        <v>2122</v>
      </c>
      <c r="AH20" s="2" t="s">
        <v>149</v>
      </c>
      <c r="AI20">
        <v>125</v>
      </c>
      <c r="AL20" s="2">
        <v>6</v>
      </c>
      <c r="AM20" s="2">
        <f t="shared" si="7"/>
        <v>5.8</v>
      </c>
      <c r="AN20" s="2">
        <v>5.7</v>
      </c>
      <c r="AO20" s="2" t="s">
        <v>149</v>
      </c>
      <c r="AP20" s="6" t="s">
        <v>209</v>
      </c>
      <c r="AQ20" s="5"/>
      <c r="AR20" s="5"/>
      <c r="AS20" s="2">
        <v>3.1</v>
      </c>
      <c r="AT20" s="2">
        <f t="shared" si="8"/>
        <v>2.8000000000000003</v>
      </c>
      <c r="AU20" s="2">
        <v>2.7</v>
      </c>
      <c r="AV20" s="2" t="s">
        <v>149</v>
      </c>
      <c r="AW20" s="6" t="s">
        <v>209</v>
      </c>
      <c r="AX20" s="2"/>
      <c r="AY20" s="2"/>
      <c r="AZ20" s="2">
        <v>16.5</v>
      </c>
      <c r="BA20" s="2">
        <f t="shared" si="9"/>
        <v>16.55</v>
      </c>
      <c r="BB20" s="2">
        <v>16.7</v>
      </c>
      <c r="BC20" s="2" t="s">
        <v>149</v>
      </c>
      <c r="BD20" s="6" t="s">
        <v>209</v>
      </c>
      <c r="BE20" s="5"/>
      <c r="BF20" s="5"/>
      <c r="BG20" s="2">
        <v>7.3</v>
      </c>
      <c r="BH20" s="2">
        <f t="shared" si="10"/>
        <v>6.3250000000000002</v>
      </c>
      <c r="BI20" s="2">
        <v>6.5</v>
      </c>
      <c r="BJ20" s="2" t="s">
        <v>149</v>
      </c>
      <c r="BK20" s="6" t="s">
        <v>209</v>
      </c>
      <c r="BL20" s="5"/>
      <c r="BM20" s="5"/>
      <c r="BN20" s="2">
        <f t="shared" si="1"/>
        <v>42.203985932004692</v>
      </c>
      <c r="BO20" s="2">
        <f t="shared" si="11"/>
        <v>42.81123192643453</v>
      </c>
      <c r="BP20" s="2">
        <v>44.11642411642412</v>
      </c>
      <c r="BQ20" s="2" t="s">
        <v>149</v>
      </c>
      <c r="BR20" s="6" t="s">
        <v>209</v>
      </c>
    </row>
    <row r="21" spans="1:70" x14ac:dyDescent="0.25">
      <c r="A21">
        <v>2024</v>
      </c>
      <c r="B21">
        <v>4</v>
      </c>
      <c r="C21">
        <v>5134</v>
      </c>
      <c r="D21" s="3">
        <f t="shared" si="2"/>
        <v>5019.75</v>
      </c>
      <c r="E21">
        <v>4735</v>
      </c>
      <c r="F21" s="2" t="s">
        <v>149</v>
      </c>
      <c r="G21">
        <v>150</v>
      </c>
      <c r="J21">
        <f t="shared" si="0"/>
        <v>1990</v>
      </c>
      <c r="K21" s="3">
        <f t="shared" si="3"/>
        <v>1924.5</v>
      </c>
      <c r="L21">
        <v>1728</v>
      </c>
      <c r="M21" s="2" t="s">
        <v>149</v>
      </c>
      <c r="N21">
        <v>125</v>
      </c>
      <c r="Q21">
        <v>3144</v>
      </c>
      <c r="R21" s="3">
        <f t="shared" si="4"/>
        <v>3095.25</v>
      </c>
      <c r="S21">
        <v>3007</v>
      </c>
      <c r="T21" s="2" t="s">
        <v>149</v>
      </c>
      <c r="U21">
        <v>150</v>
      </c>
      <c r="X21">
        <v>722</v>
      </c>
      <c r="Y21" s="3">
        <f t="shared" si="5"/>
        <v>689.25</v>
      </c>
      <c r="Z21">
        <v>667</v>
      </c>
      <c r="AA21" s="2" t="s">
        <v>149</v>
      </c>
      <c r="AB21">
        <v>40</v>
      </c>
      <c r="AE21">
        <v>2184</v>
      </c>
      <c r="AF21" s="3">
        <f t="shared" si="6"/>
        <v>2133.5</v>
      </c>
      <c r="AG21">
        <v>2072</v>
      </c>
      <c r="AH21" s="2" t="s">
        <v>149</v>
      </c>
      <c r="AI21">
        <v>125</v>
      </c>
      <c r="AL21" s="2">
        <v>6</v>
      </c>
      <c r="AM21" s="2">
        <f t="shared" si="7"/>
        <v>5.9</v>
      </c>
      <c r="AN21" s="2">
        <v>5.6</v>
      </c>
      <c r="AO21" s="2" t="s">
        <v>149</v>
      </c>
      <c r="AP21" s="6" t="s">
        <v>209</v>
      </c>
      <c r="AQ21" s="5"/>
      <c r="AR21" s="5"/>
      <c r="AS21" s="2">
        <v>3</v>
      </c>
      <c r="AT21" s="2">
        <f t="shared" si="8"/>
        <v>2.9</v>
      </c>
      <c r="AU21" s="2">
        <v>2.6</v>
      </c>
      <c r="AV21" s="2" t="s">
        <v>149</v>
      </c>
      <c r="AW21" s="6" t="s">
        <v>209</v>
      </c>
      <c r="AX21" s="2"/>
      <c r="AY21" s="2"/>
      <c r="AZ21" s="2">
        <v>16.8</v>
      </c>
      <c r="BA21" s="2">
        <f t="shared" si="9"/>
        <v>16.625</v>
      </c>
      <c r="BB21" s="2">
        <v>16.5</v>
      </c>
      <c r="BC21" s="2" t="s">
        <v>149</v>
      </c>
      <c r="BD21" s="6" t="s">
        <v>209</v>
      </c>
      <c r="BE21" s="5"/>
      <c r="BF21" s="5"/>
      <c r="BG21" s="2">
        <v>6.8</v>
      </c>
      <c r="BH21" s="2">
        <f t="shared" si="10"/>
        <v>6.45</v>
      </c>
      <c r="BI21" s="2">
        <v>6.3</v>
      </c>
      <c r="BJ21" s="2" t="s">
        <v>149</v>
      </c>
      <c r="BK21" s="6" t="s">
        <v>209</v>
      </c>
      <c r="BL21" s="5"/>
      <c r="BM21" s="5"/>
      <c r="BN21" s="2">
        <f t="shared" si="1"/>
        <v>42.539929879236468</v>
      </c>
      <c r="BO21" s="2">
        <f t="shared" si="11"/>
        <v>42.506404470161286</v>
      </c>
      <c r="BP21" s="2">
        <v>43.75923970432946</v>
      </c>
      <c r="BQ21" s="2" t="s">
        <v>149</v>
      </c>
      <c r="BR21" s="6" t="s">
        <v>209</v>
      </c>
    </row>
    <row r="22" spans="1:70" x14ac:dyDescent="0.25">
      <c r="A22">
        <v>2025</v>
      </c>
      <c r="B22">
        <v>1</v>
      </c>
      <c r="C22">
        <v>5312</v>
      </c>
      <c r="D22" s="3">
        <f t="shared" si="2"/>
        <v>5096.75</v>
      </c>
      <c r="E22">
        <v>5004</v>
      </c>
      <c r="F22" s="2" t="s">
        <v>149</v>
      </c>
      <c r="G22">
        <v>150</v>
      </c>
      <c r="J22">
        <f t="shared" si="0"/>
        <v>2088</v>
      </c>
      <c r="K22" s="3">
        <f t="shared" si="3"/>
        <v>1976.75</v>
      </c>
      <c r="L22">
        <v>1879</v>
      </c>
      <c r="M22" s="2" t="s">
        <v>149</v>
      </c>
      <c r="N22">
        <v>125</v>
      </c>
      <c r="Q22">
        <v>3224</v>
      </c>
      <c r="R22" s="3">
        <f t="shared" si="4"/>
        <v>3120</v>
      </c>
      <c r="S22">
        <v>3125</v>
      </c>
      <c r="T22" s="2" t="s">
        <v>149</v>
      </c>
      <c r="U22">
        <v>150</v>
      </c>
      <c r="X22">
        <v>680</v>
      </c>
      <c r="Y22" s="3">
        <f t="shared" si="5"/>
        <v>697.5</v>
      </c>
      <c r="Z22">
        <v>647</v>
      </c>
      <c r="AA22" s="2" t="s">
        <v>149</v>
      </c>
      <c r="AB22">
        <v>40</v>
      </c>
      <c r="AE22">
        <v>2318</v>
      </c>
      <c r="AF22" s="3">
        <f t="shared" si="6"/>
        <v>2181.75</v>
      </c>
      <c r="AG22">
        <v>2125</v>
      </c>
      <c r="AH22" s="2" t="s">
        <v>149</v>
      </c>
      <c r="AI22">
        <v>125</v>
      </c>
      <c r="AL22" s="2">
        <v>6.2</v>
      </c>
      <c r="AM22" s="2">
        <f t="shared" si="7"/>
        <v>5.9749999999999996</v>
      </c>
      <c r="AN22" s="2">
        <v>5.9</v>
      </c>
      <c r="AO22" s="2" t="s">
        <v>149</v>
      </c>
      <c r="AP22" s="6" t="s">
        <v>209</v>
      </c>
      <c r="AQ22" s="5"/>
      <c r="AR22" s="5"/>
      <c r="AS22" s="2">
        <v>3.1</v>
      </c>
      <c r="AT22" s="2">
        <f t="shared" si="8"/>
        <v>2.9750000000000001</v>
      </c>
      <c r="AU22" s="2">
        <v>2.8</v>
      </c>
      <c r="AV22" s="2" t="s">
        <v>149</v>
      </c>
      <c r="AW22" s="6" t="s">
        <v>209</v>
      </c>
      <c r="AX22" s="2"/>
      <c r="AY22" s="2"/>
      <c r="AZ22" s="2">
        <v>17.100000000000001</v>
      </c>
      <c r="BA22" s="2">
        <f t="shared" si="9"/>
        <v>16.674999999999997</v>
      </c>
      <c r="BB22" s="2">
        <v>16.899999999999999</v>
      </c>
      <c r="BC22" s="2" t="s">
        <v>149</v>
      </c>
      <c r="BD22" s="6" t="s">
        <v>209</v>
      </c>
      <c r="BE22" s="5"/>
      <c r="BF22" s="5"/>
      <c r="BG22" s="2">
        <v>6.4</v>
      </c>
      <c r="BH22" s="2">
        <f t="shared" si="10"/>
        <v>6.5500000000000007</v>
      </c>
      <c r="BI22" s="2">
        <v>6</v>
      </c>
      <c r="BJ22" s="2" t="s">
        <v>149</v>
      </c>
      <c r="BK22" s="6" t="s">
        <v>209</v>
      </c>
      <c r="BL22" s="5"/>
      <c r="BM22" s="5"/>
      <c r="BN22" s="2">
        <f t="shared" si="1"/>
        <v>43.637048192771083</v>
      </c>
      <c r="BO22" s="2">
        <f t="shared" si="11"/>
        <v>42.799159723789707</v>
      </c>
      <c r="BP22" s="2">
        <v>42.466027178257391</v>
      </c>
      <c r="BQ22" s="2" t="s">
        <v>149</v>
      </c>
      <c r="BR22" s="6" t="s">
        <v>209</v>
      </c>
    </row>
    <row r="23" spans="1:70" x14ac:dyDescent="0.25">
      <c r="A23">
        <v>2025</v>
      </c>
      <c r="B23">
        <v>2</v>
      </c>
      <c r="C23">
        <v>5113</v>
      </c>
      <c r="D23" s="3">
        <f t="shared" si="2"/>
        <v>5169.25</v>
      </c>
      <c r="E23">
        <v>4823</v>
      </c>
      <c r="F23" s="2" t="s">
        <v>149</v>
      </c>
      <c r="G23">
        <v>150</v>
      </c>
      <c r="J23">
        <f t="shared" si="0"/>
        <v>2009</v>
      </c>
      <c r="K23" s="3">
        <f t="shared" si="3"/>
        <v>2031.5</v>
      </c>
      <c r="L23">
        <v>1790</v>
      </c>
      <c r="M23" s="2" t="s">
        <v>149</v>
      </c>
      <c r="N23">
        <v>125</v>
      </c>
      <c r="Q23">
        <v>3104</v>
      </c>
      <c r="R23" s="3">
        <f t="shared" si="4"/>
        <v>3137.75</v>
      </c>
      <c r="S23">
        <v>3033</v>
      </c>
      <c r="T23" s="2" t="s">
        <v>149</v>
      </c>
      <c r="U23">
        <v>150</v>
      </c>
      <c r="X23">
        <v>638</v>
      </c>
      <c r="Y23" s="3">
        <f t="shared" si="5"/>
        <v>705.25</v>
      </c>
      <c r="Z23">
        <v>607</v>
      </c>
      <c r="AA23" s="2" t="s">
        <v>149</v>
      </c>
      <c r="AB23">
        <v>40</v>
      </c>
      <c r="AE23">
        <v>2311</v>
      </c>
      <c r="AF23" s="3">
        <f t="shared" si="6"/>
        <v>2243.25</v>
      </c>
      <c r="AG23">
        <v>2065</v>
      </c>
      <c r="AH23" s="2" t="s">
        <v>149</v>
      </c>
      <c r="AI23">
        <v>125</v>
      </c>
      <c r="AL23" s="2">
        <v>6</v>
      </c>
      <c r="AM23" s="2">
        <f t="shared" si="7"/>
        <v>6.05</v>
      </c>
      <c r="AN23" s="2">
        <v>5.7</v>
      </c>
      <c r="AO23" s="2" t="s">
        <v>149</v>
      </c>
      <c r="AP23" s="6" t="s">
        <v>209</v>
      </c>
      <c r="AQ23" s="5"/>
      <c r="AR23" s="5"/>
      <c r="AS23" s="2">
        <v>3</v>
      </c>
      <c r="AT23" s="2">
        <f t="shared" si="8"/>
        <v>3.05</v>
      </c>
      <c r="AU23" s="2">
        <v>2.7</v>
      </c>
      <c r="AV23" s="2" t="s">
        <v>149</v>
      </c>
      <c r="AW23" s="6" t="s">
        <v>209</v>
      </c>
      <c r="AX23" s="2"/>
      <c r="AY23" s="2"/>
      <c r="AZ23" s="2">
        <v>16.399999999999999</v>
      </c>
      <c r="BA23" s="2">
        <f t="shared" si="9"/>
        <v>16.7</v>
      </c>
      <c r="BB23" s="2">
        <v>16.3</v>
      </c>
      <c r="BC23" s="2" t="s">
        <v>149</v>
      </c>
      <c r="BD23" s="6" t="s">
        <v>209</v>
      </c>
      <c r="BE23" s="5"/>
      <c r="BF23" s="5"/>
      <c r="BG23" s="2">
        <v>6</v>
      </c>
      <c r="BH23" s="2">
        <f t="shared" si="10"/>
        <v>6.625</v>
      </c>
      <c r="BI23" s="2">
        <v>5.7</v>
      </c>
      <c r="BJ23" s="2" t="s">
        <v>149</v>
      </c>
      <c r="BK23" s="6" t="s">
        <v>209</v>
      </c>
      <c r="BL23" s="5"/>
      <c r="BM23" s="5"/>
      <c r="BN23" s="2">
        <f t="shared" si="1"/>
        <v>45.198513592802655</v>
      </c>
      <c r="BO23" s="2">
        <f t="shared" si="11"/>
        <v>43.394869399203728</v>
      </c>
      <c r="BP23" s="2">
        <v>42.815674891146585</v>
      </c>
      <c r="BQ23" s="2" t="s">
        <v>149</v>
      </c>
      <c r="BR23" s="6" t="s">
        <v>209</v>
      </c>
    </row>
    <row r="24" spans="1:70" x14ac:dyDescent="0.25">
      <c r="A24">
        <v>2025</v>
      </c>
      <c r="B24">
        <v>3</v>
      </c>
      <c r="C24">
        <v>5310</v>
      </c>
      <c r="D24" s="3">
        <f t="shared" si="2"/>
        <v>5217.25</v>
      </c>
      <c r="E24">
        <v>5118</v>
      </c>
      <c r="F24" s="2" t="s">
        <v>149</v>
      </c>
      <c r="G24">
        <v>150</v>
      </c>
      <c r="J24">
        <f t="shared" si="0"/>
        <v>2221</v>
      </c>
      <c r="K24" s="3">
        <f t="shared" si="3"/>
        <v>2077</v>
      </c>
      <c r="L24">
        <v>2039</v>
      </c>
      <c r="M24" s="2" t="s">
        <v>149</v>
      </c>
      <c r="N24">
        <v>125</v>
      </c>
      <c r="Q24">
        <v>3089</v>
      </c>
      <c r="R24" s="3">
        <f t="shared" si="4"/>
        <v>3140.25</v>
      </c>
      <c r="S24">
        <v>3079</v>
      </c>
      <c r="T24" s="2" t="s">
        <v>149</v>
      </c>
      <c r="U24">
        <v>150</v>
      </c>
      <c r="X24">
        <v>769</v>
      </c>
      <c r="Y24" s="3">
        <f t="shared" si="5"/>
        <v>702.25</v>
      </c>
      <c r="Z24">
        <v>781</v>
      </c>
      <c r="AA24" s="2" t="s">
        <v>149</v>
      </c>
      <c r="AB24">
        <v>40</v>
      </c>
      <c r="AE24">
        <v>2335</v>
      </c>
      <c r="AF24" s="3">
        <f t="shared" si="6"/>
        <v>2287</v>
      </c>
      <c r="AG24">
        <v>2160</v>
      </c>
      <c r="AH24" s="2" t="s">
        <v>149</v>
      </c>
      <c r="AI24">
        <v>125</v>
      </c>
      <c r="AL24" s="2">
        <v>6.2</v>
      </c>
      <c r="AM24" s="2">
        <f t="shared" si="7"/>
        <v>6.1</v>
      </c>
      <c r="AN24" s="2">
        <v>6</v>
      </c>
      <c r="AO24" s="2" t="s">
        <v>149</v>
      </c>
      <c r="AP24" s="6" t="s">
        <v>209</v>
      </c>
      <c r="AQ24" s="5"/>
      <c r="AR24" s="5"/>
      <c r="AS24" s="2">
        <v>3.3</v>
      </c>
      <c r="AT24" s="2">
        <f t="shared" si="8"/>
        <v>3.0999999999999996</v>
      </c>
      <c r="AU24" s="2">
        <v>3.1</v>
      </c>
      <c r="AV24" s="2" t="s">
        <v>149</v>
      </c>
      <c r="AW24" s="6" t="s">
        <v>209</v>
      </c>
      <c r="AX24" s="2"/>
      <c r="AY24" s="2"/>
      <c r="AZ24" s="2">
        <v>16.3</v>
      </c>
      <c r="BA24" s="2">
        <f t="shared" si="9"/>
        <v>16.650000000000002</v>
      </c>
      <c r="BB24" s="2">
        <v>16.5</v>
      </c>
      <c r="BC24" s="2" t="s">
        <v>149</v>
      </c>
      <c r="BD24" s="6" t="s">
        <v>209</v>
      </c>
      <c r="BE24" s="5"/>
      <c r="BF24" s="5"/>
      <c r="BG24" s="2">
        <v>7.2</v>
      </c>
      <c r="BH24" s="2">
        <f t="shared" si="10"/>
        <v>6.6</v>
      </c>
      <c r="BI24" s="2">
        <v>7.3</v>
      </c>
      <c r="BJ24" s="2" t="s">
        <v>149</v>
      </c>
      <c r="BK24" s="6" t="s">
        <v>209</v>
      </c>
      <c r="BL24" s="5"/>
      <c r="BM24" s="5"/>
      <c r="BN24" s="2">
        <f t="shared" si="1"/>
        <v>43.973634651600754</v>
      </c>
      <c r="BO24" s="2">
        <f t="shared" si="11"/>
        <v>43.837281579102743</v>
      </c>
      <c r="BP24" s="2">
        <v>42.203985932004692</v>
      </c>
      <c r="BQ24" s="2" t="s">
        <v>149</v>
      </c>
      <c r="BR24" s="6" t="s">
        <v>209</v>
      </c>
    </row>
    <row r="25" spans="1:70" x14ac:dyDescent="0.25">
      <c r="A25">
        <v>2025</v>
      </c>
      <c r="B25">
        <v>4</v>
      </c>
      <c r="C25">
        <v>5106</v>
      </c>
      <c r="D25" s="3">
        <f t="shared" si="2"/>
        <v>5210.25</v>
      </c>
      <c r="E25">
        <v>5134</v>
      </c>
      <c r="F25" s="2" t="s">
        <v>149</v>
      </c>
      <c r="G25">
        <v>150</v>
      </c>
      <c r="J25">
        <f t="shared" si="0"/>
        <v>2158</v>
      </c>
      <c r="K25" s="3">
        <f t="shared" si="3"/>
        <v>2119</v>
      </c>
      <c r="L25">
        <v>1990</v>
      </c>
      <c r="M25" s="2" t="s">
        <v>149</v>
      </c>
      <c r="N25">
        <v>125</v>
      </c>
      <c r="Q25">
        <v>2948</v>
      </c>
      <c r="R25" s="3">
        <f t="shared" si="4"/>
        <v>3091.25</v>
      </c>
      <c r="S25">
        <v>3144</v>
      </c>
      <c r="T25" s="2" t="s">
        <v>149</v>
      </c>
      <c r="U25">
        <v>150</v>
      </c>
      <c r="X25">
        <v>724</v>
      </c>
      <c r="Y25" s="3">
        <f t="shared" si="5"/>
        <v>702.75</v>
      </c>
      <c r="Z25">
        <v>722</v>
      </c>
      <c r="AA25" s="2" t="s">
        <v>149</v>
      </c>
      <c r="AB25">
        <v>40</v>
      </c>
      <c r="AE25">
        <v>2316</v>
      </c>
      <c r="AF25" s="3">
        <f t="shared" si="6"/>
        <v>2320</v>
      </c>
      <c r="AG25">
        <v>2184</v>
      </c>
      <c r="AH25" s="2" t="s">
        <v>149</v>
      </c>
      <c r="AI25">
        <v>125</v>
      </c>
      <c r="AL25" s="2">
        <v>6</v>
      </c>
      <c r="AM25" s="2">
        <f t="shared" si="7"/>
        <v>6.1</v>
      </c>
      <c r="AN25" s="2">
        <v>6</v>
      </c>
      <c r="AO25" s="2" t="s">
        <v>149</v>
      </c>
      <c r="AP25" s="6" t="s">
        <v>209</v>
      </c>
      <c r="AQ25" s="5"/>
      <c r="AR25" s="5"/>
      <c r="AS25" s="2">
        <v>3.2</v>
      </c>
      <c r="AT25" s="2">
        <f t="shared" si="8"/>
        <v>3.1499999999999995</v>
      </c>
      <c r="AU25" s="2">
        <v>3</v>
      </c>
      <c r="AV25" s="2" t="s">
        <v>149</v>
      </c>
      <c r="AW25" s="6" t="s">
        <v>209</v>
      </c>
      <c r="AX25" s="2"/>
      <c r="AY25" s="2"/>
      <c r="AZ25" s="2">
        <v>15.5</v>
      </c>
      <c r="BA25" s="2">
        <f t="shared" si="9"/>
        <v>16.324999999999999</v>
      </c>
      <c r="BB25" s="2">
        <v>16.8</v>
      </c>
      <c r="BC25" s="2" t="s">
        <v>149</v>
      </c>
      <c r="BD25" s="6" t="s">
        <v>209</v>
      </c>
      <c r="BE25" s="5"/>
      <c r="BF25" s="5"/>
      <c r="BG25" s="2">
        <v>6.8</v>
      </c>
      <c r="BH25" s="2">
        <f t="shared" si="10"/>
        <v>6.6000000000000005</v>
      </c>
      <c r="BI25" s="2">
        <v>6.8</v>
      </c>
      <c r="BJ25" s="2" t="s">
        <v>149</v>
      </c>
      <c r="BK25" s="6" t="s">
        <v>209</v>
      </c>
      <c r="BL25" s="5"/>
      <c r="BM25" s="5"/>
      <c r="BN25" s="2">
        <f t="shared" si="1"/>
        <v>45.35840188014101</v>
      </c>
      <c r="BO25" s="2">
        <f t="shared" si="11"/>
        <v>44.54189957932887</v>
      </c>
      <c r="BP25" s="2">
        <v>42.539929879236468</v>
      </c>
      <c r="BQ25" s="2" t="s">
        <v>149</v>
      </c>
      <c r="BR25" s="6" t="s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90E-CE8C-45E1-8E7A-11FD8DC872F4}">
  <dimension ref="A1:B6"/>
  <sheetViews>
    <sheetView workbookViewId="0"/>
  </sheetViews>
  <sheetFormatPr defaultRowHeight="15" x14ac:dyDescent="0.25"/>
  <sheetData>
    <row r="1" spans="1:2" x14ac:dyDescent="0.25">
      <c r="A1" t="s">
        <v>47</v>
      </c>
    </row>
    <row r="3" spans="1:2" x14ac:dyDescent="0.25">
      <c r="A3">
        <v>1</v>
      </c>
      <c r="B3" t="s">
        <v>43</v>
      </c>
    </row>
    <row r="4" spans="1:2" x14ac:dyDescent="0.25">
      <c r="A4">
        <v>2</v>
      </c>
      <c r="B4" t="s">
        <v>44</v>
      </c>
    </row>
    <row r="5" spans="1:2" x14ac:dyDescent="0.25">
      <c r="A5">
        <v>3</v>
      </c>
      <c r="B5" t="s">
        <v>45</v>
      </c>
    </row>
    <row r="6" spans="1:2" x14ac:dyDescent="0.25">
      <c r="A6">
        <v>4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Befolkningsförändring</vt:lpstr>
      <vt:lpstr>Sysselsättning</vt:lpstr>
      <vt:lpstr>Bostadsbyggande</vt:lpstr>
      <vt:lpstr>Arbetslöshet</vt:lpstr>
      <vt:lpstr>Info om filerna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2026-02-23T14:43:01Z</dcterms:created>
  <dcterms:modified xsi:type="dcterms:W3CDTF">2026-02-27T18:09:36Z</dcterms:modified>
</cp:coreProperties>
</file>