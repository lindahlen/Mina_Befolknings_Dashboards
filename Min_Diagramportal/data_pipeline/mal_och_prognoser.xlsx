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_Diagramportal\data_pipeline\"/>
    </mc:Choice>
  </mc:AlternateContent>
  <xr:revisionPtr revIDLastSave="0" documentId="13_ncr:1_{61F5F25B-AFEF-4B7A-B1F0-FD4D1F0F5119}" xr6:coauthVersionLast="36" xr6:coauthVersionMax="36" xr10:uidLastSave="{00000000-0000-0000-0000-000000000000}"/>
  <bookViews>
    <workbookView xWindow="0" yWindow="0" windowWidth="38400" windowHeight="17505" activeTab="1" xr2:uid="{667748E1-8596-4103-B17E-56D7005BF702}"/>
  </bookViews>
  <sheets>
    <sheet name="Befolkningsförändringar" sheetId="1" r:id="rId1"/>
    <sheet name="Sysselsättning" sheetId="5" r:id="rId2"/>
    <sheet name="Bostadsbyggande" sheetId="3" r:id="rId3"/>
    <sheet name="Arbetslöshe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9" i="5" l="1"/>
  <c r="Y8" i="5"/>
  <c r="Y7" i="5"/>
  <c r="Y6" i="5"/>
  <c r="Y5" i="5"/>
  <c r="E5" i="5" l="1"/>
  <c r="G5" i="5"/>
  <c r="I5" i="5"/>
  <c r="M5" i="5"/>
  <c r="O5" i="5"/>
  <c r="Q5" i="5"/>
  <c r="S5" i="5"/>
  <c r="W5" i="5"/>
  <c r="AA5" i="5"/>
  <c r="AC5" i="5"/>
</calcChain>
</file>

<file path=xl/sharedStrings.xml><?xml version="1.0" encoding="utf-8"?>
<sst xmlns="http://schemas.openxmlformats.org/spreadsheetml/2006/main" count="1126" uniqueCount="64">
  <si>
    <t>Befolkningsförändring_Prognos</t>
  </si>
  <si>
    <t>Födda_barn_Prognos</t>
  </si>
  <si>
    <t>Döda_Prognos</t>
  </si>
  <si>
    <t>Låg</t>
  </si>
  <si>
    <t>Inflyttning_Prognos</t>
  </si>
  <si>
    <t>Utflyttning_Prognos</t>
  </si>
  <si>
    <t>Befolkning_Prognos</t>
  </si>
  <si>
    <t>..</t>
  </si>
  <si>
    <t>Färdigställda_bostäder_Prognos</t>
  </si>
  <si>
    <t>Färdigställda_småhus_Prognos</t>
  </si>
  <si>
    <t>Färdigställda_flerbostadshus_Prognos</t>
  </si>
  <si>
    <t>Påbörjade_bostäder_Prognos</t>
  </si>
  <si>
    <t>Påbörjade_småhus_Prognos</t>
  </si>
  <si>
    <t>Påbörjade_flerbostadshus_Prognos</t>
  </si>
  <si>
    <t>Inskrivna_arbetslösa_Prognos</t>
  </si>
  <si>
    <t>Inrikes_födda_arbetslösa_Prognos</t>
  </si>
  <si>
    <t>Utrikes_födda_arbetslösa_Prognos</t>
  </si>
  <si>
    <t>Ungdomar_arbetslösa_Prognos</t>
  </si>
  <si>
    <t>Ungdomar_arbetslösa_Polaritet</t>
  </si>
  <si>
    <t>Ungdomar_arbetslösa_Troskel</t>
  </si>
  <si>
    <t>Långtidsarbetslösa_Prognos</t>
  </si>
  <si>
    <t>Inskrivna_arbetslösa_%_Prognos</t>
  </si>
  <si>
    <t>Inrikes_födda_arbetslösa_%_Prognos</t>
  </si>
  <si>
    <t>Utrikes_födda_arbetslösa_%_Prognos</t>
  </si>
  <si>
    <t>Ungdomar_arbetslösa_%_Prognos</t>
  </si>
  <si>
    <t>Långtidsarbetslösa_%_Prognos</t>
  </si>
  <si>
    <t>År</t>
  </si>
  <si>
    <t>Kvartal</t>
  </si>
  <si>
    <t>Utflyttning_UtvecklingsPrognos</t>
  </si>
  <si>
    <t>Inflyttning_UtvecklingsPrognos</t>
  </si>
  <si>
    <t>Färdigställda_bostäder_UtvecklingsPrognos</t>
  </si>
  <si>
    <t>Färdigställda_småhus_UtvecklingsPrognos</t>
  </si>
  <si>
    <t>Färdigställda_flerbostadshus_UtvecklingsPrognos</t>
  </si>
  <si>
    <t>Påbörjade_flerbostadshus_UtvecklingsPrognos</t>
  </si>
  <si>
    <t>Påbörjade_småhus_UtvecklingsPrognos</t>
  </si>
  <si>
    <t>Påbörjade_bostäder_UtvecklingsPrognos</t>
  </si>
  <si>
    <t>Offentlig_förvaltning_UtvecklingsPrognos</t>
  </si>
  <si>
    <t>Offentlig_förvaltning_Prognos</t>
  </si>
  <si>
    <t>Vård_Omsorg_UtvecklingsPrognos</t>
  </si>
  <si>
    <t>Vård_Omsorg_Prognos</t>
  </si>
  <si>
    <t>Utbildning_UtvecklingsPrognos</t>
  </si>
  <si>
    <t>Utbildning_Prognos</t>
  </si>
  <si>
    <t>Företagstjänster_UtvecklingsPrognos</t>
  </si>
  <si>
    <t>Företagstjänster_Prognos</t>
  </si>
  <si>
    <t>IKT_UtvecklingsPrognos</t>
  </si>
  <si>
    <t>IKT_Prognos</t>
  </si>
  <si>
    <t>Handel_UtvecklingsPrognos</t>
  </si>
  <si>
    <t>Handel_Prognos</t>
  </si>
  <si>
    <t>Tillverkning_UtvecklingsPrognos</t>
  </si>
  <si>
    <t>Tillverkning_Prognos</t>
  </si>
  <si>
    <t>Sysselsatta_UtvecklingsPrognos</t>
  </si>
  <si>
    <t>Sysselsatta_Prognos</t>
  </si>
  <si>
    <t>Sysselsättningsgrad_Prognos</t>
  </si>
  <si>
    <t>Sysselsatt_nattbefolkning_Prognos</t>
  </si>
  <si>
    <t>Sysselsatta_inrikes_födda_Prognos</t>
  </si>
  <si>
    <t>Sysselsatta_utrikes_födda_Prognos</t>
  </si>
  <si>
    <t>Sysselsatta_privat_sektor_Prognos</t>
  </si>
  <si>
    <t>Sysselsatta_offentlig_sektor_Prognos</t>
  </si>
  <si>
    <t>Sysselsättningsgrad_UtvecklingsPrognos</t>
  </si>
  <si>
    <t>Sysselsatt_nattbefolkning_UtvecklingsPrognos</t>
  </si>
  <si>
    <t>Sysselsatta_inrikes_födda_UtvecklingsPrognos</t>
  </si>
  <si>
    <t>Sysselsatta_utrikes_födda_UtvecklingsPrognos</t>
  </si>
  <si>
    <t>Sysselsatta_privat_sektor_UtvecklingsPrognos</t>
  </si>
  <si>
    <t>Sysselsatta_offentlig_sektor_UtvecklingsPrognos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</si>
</sst>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8469-275E-48ED-9E68-C4E7FD82D6F9}">
  <dimension ref="A1:J65"/>
  <sheetViews>
    <sheetView workbookViewId="0">
      <selection activeCell="C26" sqref="C26"/>
    </sheetView>
  </sheetViews>
  <sheetFormatPr defaultRowHeight="15" x14ac:dyDescent="0.25"/>
  <cols>
    <col min="3" max="3" width="29.42578125" bestFit="1" customWidth="1"/>
    <col min="4" max="4" width="19.85546875" bestFit="1" customWidth="1"/>
    <col min="5" max="5" width="13.85546875" bestFit="1" customWidth="1"/>
    <col min="6" max="6" width="18.7109375" bestFit="1" customWidth="1"/>
    <col min="7" max="7" width="18.7109375" customWidth="1"/>
    <col min="8" max="8" width="19" bestFit="1" customWidth="1"/>
    <col min="9" max="9" width="19" customWidth="1"/>
    <col min="10" max="10" width="19" bestFit="1" customWidth="1"/>
  </cols>
  <sheetData>
    <row r="1" spans="1:10" x14ac:dyDescent="0.25">
      <c r="A1" t="s">
        <v>26</v>
      </c>
      <c r="B1" t="s">
        <v>27</v>
      </c>
      <c r="C1" t="s">
        <v>0</v>
      </c>
      <c r="D1" t="s">
        <v>1</v>
      </c>
      <c r="E1" t="s">
        <v>2</v>
      </c>
      <c r="F1" t="s">
        <v>4</v>
      </c>
      <c r="G1" t="s">
        <v>29</v>
      </c>
      <c r="H1" t="s">
        <v>5</v>
      </c>
      <c r="I1" t="s">
        <v>28</v>
      </c>
      <c r="J1" t="s">
        <v>6</v>
      </c>
    </row>
    <row r="2" spans="1:10" x14ac:dyDescent="0.25">
      <c r="A2">
        <v>2010</v>
      </c>
      <c r="B2">
        <v>1</v>
      </c>
      <c r="C2">
        <v>1462</v>
      </c>
      <c r="D2">
        <v>1810</v>
      </c>
      <c r="E2">
        <v>1260</v>
      </c>
      <c r="F2">
        <v>9000</v>
      </c>
      <c r="G2" s="1">
        <v>0</v>
      </c>
      <c r="H2">
        <v>7300</v>
      </c>
      <c r="I2" s="1">
        <v>0</v>
      </c>
      <c r="J2">
        <v>146935</v>
      </c>
    </row>
    <row r="3" spans="1:10" x14ac:dyDescent="0.25">
      <c r="A3">
        <v>2010</v>
      </c>
      <c r="B3">
        <v>2</v>
      </c>
      <c r="C3">
        <v>1462</v>
      </c>
      <c r="D3">
        <v>1810</v>
      </c>
      <c r="E3">
        <v>1260</v>
      </c>
      <c r="F3">
        <v>9000</v>
      </c>
      <c r="G3" s="1">
        <v>0</v>
      </c>
      <c r="H3">
        <v>7300</v>
      </c>
      <c r="I3" s="1">
        <v>0</v>
      </c>
      <c r="J3">
        <v>146935</v>
      </c>
    </row>
    <row r="4" spans="1:10" x14ac:dyDescent="0.25">
      <c r="A4">
        <v>2010</v>
      </c>
      <c r="B4">
        <v>3</v>
      </c>
      <c r="C4">
        <v>1462</v>
      </c>
      <c r="D4">
        <v>1810</v>
      </c>
      <c r="E4">
        <v>1260</v>
      </c>
      <c r="F4">
        <v>9000</v>
      </c>
      <c r="G4" s="1">
        <v>0</v>
      </c>
      <c r="H4">
        <v>7300</v>
      </c>
      <c r="I4" s="1">
        <v>0</v>
      </c>
      <c r="J4">
        <v>146935</v>
      </c>
    </row>
    <row r="5" spans="1:10" x14ac:dyDescent="0.25">
      <c r="A5">
        <v>2010</v>
      </c>
      <c r="B5">
        <v>4</v>
      </c>
      <c r="C5">
        <v>1462</v>
      </c>
      <c r="D5">
        <v>1810</v>
      </c>
      <c r="E5">
        <v>1260</v>
      </c>
      <c r="F5">
        <v>9000</v>
      </c>
      <c r="G5" s="1">
        <v>0</v>
      </c>
      <c r="H5">
        <v>7300</v>
      </c>
      <c r="I5" s="1">
        <v>0</v>
      </c>
      <c r="J5">
        <v>146935</v>
      </c>
    </row>
    <row r="6" spans="1:10" x14ac:dyDescent="0.25">
      <c r="A6">
        <v>2011</v>
      </c>
      <c r="B6">
        <v>1</v>
      </c>
      <c r="C6">
        <v>2245</v>
      </c>
      <c r="D6">
        <v>1850</v>
      </c>
      <c r="E6">
        <v>1240</v>
      </c>
      <c r="F6">
        <v>8500</v>
      </c>
      <c r="G6" s="1">
        <v>0</v>
      </c>
      <c r="H6">
        <v>7700</v>
      </c>
      <c r="I6" s="1">
        <v>0</v>
      </c>
      <c r="J6">
        <v>147824</v>
      </c>
    </row>
    <row r="7" spans="1:10" x14ac:dyDescent="0.25">
      <c r="A7">
        <v>2011</v>
      </c>
      <c r="B7">
        <v>2</v>
      </c>
      <c r="C7">
        <v>2245</v>
      </c>
      <c r="D7">
        <v>1850</v>
      </c>
      <c r="E7">
        <v>1240</v>
      </c>
      <c r="F7">
        <v>8500</v>
      </c>
      <c r="G7" s="1">
        <v>0</v>
      </c>
      <c r="H7">
        <v>7700</v>
      </c>
      <c r="I7" s="1">
        <v>0</v>
      </c>
      <c r="J7">
        <v>147824</v>
      </c>
    </row>
    <row r="8" spans="1:10" x14ac:dyDescent="0.25">
      <c r="A8">
        <v>2011</v>
      </c>
      <c r="B8">
        <v>3</v>
      </c>
      <c r="C8">
        <v>2245</v>
      </c>
      <c r="D8">
        <v>1850</v>
      </c>
      <c r="E8">
        <v>1240</v>
      </c>
      <c r="F8">
        <v>8500</v>
      </c>
      <c r="G8" s="1">
        <v>0</v>
      </c>
      <c r="H8">
        <v>7700</v>
      </c>
      <c r="I8" s="1">
        <v>0</v>
      </c>
      <c r="J8">
        <v>147824</v>
      </c>
    </row>
    <row r="9" spans="1:10" x14ac:dyDescent="0.25">
      <c r="A9">
        <v>2011</v>
      </c>
      <c r="B9">
        <v>4</v>
      </c>
      <c r="C9">
        <v>2245</v>
      </c>
      <c r="D9">
        <v>1850</v>
      </c>
      <c r="E9">
        <v>1240</v>
      </c>
      <c r="F9">
        <v>8500</v>
      </c>
      <c r="G9" s="1">
        <v>0</v>
      </c>
      <c r="H9">
        <v>7700</v>
      </c>
      <c r="I9" s="1">
        <v>0</v>
      </c>
      <c r="J9">
        <v>147824</v>
      </c>
    </row>
    <row r="10" spans="1:10" x14ac:dyDescent="0.25">
      <c r="A10">
        <v>2012</v>
      </c>
      <c r="B10">
        <v>1</v>
      </c>
      <c r="C10">
        <v>1408</v>
      </c>
      <c r="D10">
        <v>1800</v>
      </c>
      <c r="E10">
        <v>1240</v>
      </c>
      <c r="F10">
        <v>8350</v>
      </c>
      <c r="G10" s="1">
        <v>0</v>
      </c>
      <c r="H10">
        <v>7850</v>
      </c>
      <c r="I10" s="1">
        <v>0</v>
      </c>
      <c r="J10">
        <v>148397</v>
      </c>
    </row>
    <row r="11" spans="1:10" x14ac:dyDescent="0.25">
      <c r="A11">
        <v>2012</v>
      </c>
      <c r="B11">
        <v>2</v>
      </c>
      <c r="C11">
        <v>1408</v>
      </c>
      <c r="D11">
        <v>1800</v>
      </c>
      <c r="E11">
        <v>1240</v>
      </c>
      <c r="F11">
        <v>8350</v>
      </c>
      <c r="G11" s="1">
        <v>0</v>
      </c>
      <c r="H11">
        <v>7850</v>
      </c>
      <c r="I11" s="1">
        <v>0</v>
      </c>
      <c r="J11">
        <v>148397</v>
      </c>
    </row>
    <row r="12" spans="1:10" x14ac:dyDescent="0.25">
      <c r="A12">
        <v>2012</v>
      </c>
      <c r="B12">
        <v>3</v>
      </c>
      <c r="C12">
        <v>1408</v>
      </c>
      <c r="D12">
        <v>1800</v>
      </c>
      <c r="E12">
        <v>1240</v>
      </c>
      <c r="F12">
        <v>8350</v>
      </c>
      <c r="G12" s="1">
        <v>0</v>
      </c>
      <c r="H12">
        <v>7850</v>
      </c>
      <c r="I12" s="1">
        <v>0</v>
      </c>
      <c r="J12">
        <v>148397</v>
      </c>
    </row>
    <row r="13" spans="1:10" x14ac:dyDescent="0.25">
      <c r="A13">
        <v>2012</v>
      </c>
      <c r="B13">
        <v>4</v>
      </c>
      <c r="C13">
        <v>1408</v>
      </c>
      <c r="D13">
        <v>1800</v>
      </c>
      <c r="E13">
        <v>1240</v>
      </c>
      <c r="F13">
        <v>8350</v>
      </c>
      <c r="G13" s="1">
        <v>0</v>
      </c>
      <c r="H13">
        <v>7850</v>
      </c>
      <c r="I13" s="1">
        <v>0</v>
      </c>
      <c r="J13">
        <v>148397</v>
      </c>
    </row>
    <row r="14" spans="1:10" x14ac:dyDescent="0.25">
      <c r="A14">
        <v>2013</v>
      </c>
      <c r="B14">
        <v>1</v>
      </c>
      <c r="C14">
        <v>1063</v>
      </c>
      <c r="D14">
        <v>1910</v>
      </c>
      <c r="E14">
        <v>1220</v>
      </c>
      <c r="F14">
        <v>8510</v>
      </c>
      <c r="G14" s="1">
        <v>0</v>
      </c>
      <c r="H14">
        <v>7650</v>
      </c>
      <c r="I14" s="1">
        <v>0</v>
      </c>
      <c r="J14">
        <v>150070</v>
      </c>
    </row>
    <row r="15" spans="1:10" x14ac:dyDescent="0.25">
      <c r="A15">
        <v>2013</v>
      </c>
      <c r="B15">
        <v>2</v>
      </c>
      <c r="C15">
        <v>1063</v>
      </c>
      <c r="D15">
        <v>1910</v>
      </c>
      <c r="E15">
        <v>1220</v>
      </c>
      <c r="F15">
        <v>8510</v>
      </c>
      <c r="G15" s="1">
        <v>0</v>
      </c>
      <c r="H15">
        <v>7650</v>
      </c>
      <c r="I15" s="1">
        <v>0</v>
      </c>
      <c r="J15">
        <v>150070</v>
      </c>
    </row>
    <row r="16" spans="1:10" x14ac:dyDescent="0.25">
      <c r="A16">
        <v>2013</v>
      </c>
      <c r="B16">
        <v>3</v>
      </c>
      <c r="C16">
        <v>1063</v>
      </c>
      <c r="D16">
        <v>1910</v>
      </c>
      <c r="E16">
        <v>1220</v>
      </c>
      <c r="F16">
        <v>8510</v>
      </c>
      <c r="G16" s="1">
        <v>0</v>
      </c>
      <c r="H16">
        <v>7650</v>
      </c>
      <c r="I16" s="1">
        <v>0</v>
      </c>
      <c r="J16">
        <v>150070</v>
      </c>
    </row>
    <row r="17" spans="1:10" x14ac:dyDescent="0.25">
      <c r="A17">
        <v>2013</v>
      </c>
      <c r="B17">
        <v>4</v>
      </c>
      <c r="C17">
        <v>1063</v>
      </c>
      <c r="D17">
        <v>1910</v>
      </c>
      <c r="E17">
        <v>1220</v>
      </c>
      <c r="F17">
        <v>8510</v>
      </c>
      <c r="G17" s="1">
        <v>0</v>
      </c>
      <c r="H17">
        <v>7650</v>
      </c>
      <c r="I17" s="1">
        <v>0</v>
      </c>
      <c r="J17">
        <v>150070</v>
      </c>
    </row>
    <row r="18" spans="1:10" x14ac:dyDescent="0.25">
      <c r="A18">
        <v>2014</v>
      </c>
      <c r="B18">
        <v>1</v>
      </c>
      <c r="C18">
        <v>1649</v>
      </c>
      <c r="D18">
        <v>1910</v>
      </c>
      <c r="E18">
        <v>1220</v>
      </c>
      <c r="F18">
        <v>8460</v>
      </c>
      <c r="G18" s="1">
        <v>0</v>
      </c>
      <c r="H18">
        <v>7500</v>
      </c>
      <c r="I18" s="1">
        <v>0</v>
      </c>
      <c r="J18">
        <v>151851</v>
      </c>
    </row>
    <row r="19" spans="1:10" x14ac:dyDescent="0.25">
      <c r="A19">
        <v>2014</v>
      </c>
      <c r="B19">
        <v>2</v>
      </c>
      <c r="C19">
        <v>1649</v>
      </c>
      <c r="D19">
        <v>1910</v>
      </c>
      <c r="E19">
        <v>1220</v>
      </c>
      <c r="F19">
        <v>8460</v>
      </c>
      <c r="G19" s="1">
        <v>0</v>
      </c>
      <c r="H19">
        <v>7500</v>
      </c>
      <c r="I19" s="1">
        <v>1</v>
      </c>
      <c r="J19">
        <v>151851</v>
      </c>
    </row>
    <row r="20" spans="1:10" x14ac:dyDescent="0.25">
      <c r="A20">
        <v>2014</v>
      </c>
      <c r="B20">
        <v>3</v>
      </c>
      <c r="C20">
        <v>1649</v>
      </c>
      <c r="D20">
        <v>1910</v>
      </c>
      <c r="E20">
        <v>1220</v>
      </c>
      <c r="F20">
        <v>8460</v>
      </c>
      <c r="G20" s="1">
        <v>0</v>
      </c>
      <c r="H20">
        <v>7500</v>
      </c>
      <c r="I20" s="1">
        <v>1</v>
      </c>
      <c r="J20">
        <v>151851</v>
      </c>
    </row>
    <row r="21" spans="1:10" x14ac:dyDescent="0.25">
      <c r="A21">
        <v>2014</v>
      </c>
      <c r="B21">
        <v>4</v>
      </c>
      <c r="C21">
        <v>1649</v>
      </c>
      <c r="D21">
        <v>1910</v>
      </c>
      <c r="E21">
        <v>1220</v>
      </c>
      <c r="F21">
        <v>8460</v>
      </c>
      <c r="G21" s="1">
        <v>0</v>
      </c>
      <c r="H21">
        <v>7500</v>
      </c>
      <c r="I21" s="1">
        <v>1</v>
      </c>
      <c r="J21">
        <v>151851</v>
      </c>
    </row>
    <row r="22" spans="1:10" x14ac:dyDescent="0.25">
      <c r="A22">
        <v>2015</v>
      </c>
      <c r="B22">
        <v>1</v>
      </c>
      <c r="C22">
        <v>1507</v>
      </c>
      <c r="D22">
        <v>1970</v>
      </c>
      <c r="E22">
        <v>1230</v>
      </c>
      <c r="F22">
        <v>8650</v>
      </c>
      <c r="G22" s="1">
        <v>0</v>
      </c>
      <c r="H22">
        <v>7880</v>
      </c>
      <c r="I22" s="1">
        <v>1</v>
      </c>
      <c r="J22">
        <v>153388</v>
      </c>
    </row>
    <row r="23" spans="1:10" x14ac:dyDescent="0.25">
      <c r="A23">
        <v>2015</v>
      </c>
      <c r="B23">
        <v>2</v>
      </c>
      <c r="C23">
        <v>1507</v>
      </c>
      <c r="D23">
        <v>1970</v>
      </c>
      <c r="E23">
        <v>1230</v>
      </c>
      <c r="F23">
        <v>8650</v>
      </c>
      <c r="G23" s="1">
        <v>0</v>
      </c>
      <c r="H23">
        <v>7880</v>
      </c>
      <c r="I23" s="1">
        <v>2</v>
      </c>
      <c r="J23">
        <v>153388</v>
      </c>
    </row>
    <row r="24" spans="1:10" x14ac:dyDescent="0.25">
      <c r="A24">
        <v>2015</v>
      </c>
      <c r="B24">
        <v>3</v>
      </c>
      <c r="C24">
        <v>1507</v>
      </c>
      <c r="D24">
        <v>1970</v>
      </c>
      <c r="E24">
        <v>1230</v>
      </c>
      <c r="F24">
        <v>8650</v>
      </c>
      <c r="G24" s="1">
        <v>0</v>
      </c>
      <c r="H24">
        <v>7880</v>
      </c>
      <c r="I24" s="1">
        <v>2</v>
      </c>
      <c r="J24">
        <v>153388</v>
      </c>
    </row>
    <row r="25" spans="1:10" x14ac:dyDescent="0.25">
      <c r="A25">
        <v>2015</v>
      </c>
      <c r="B25">
        <v>4</v>
      </c>
      <c r="C25">
        <v>1507</v>
      </c>
      <c r="D25">
        <v>1970</v>
      </c>
      <c r="E25">
        <v>1230</v>
      </c>
      <c r="F25">
        <v>8650</v>
      </c>
      <c r="G25" s="1">
        <v>0</v>
      </c>
      <c r="H25">
        <v>7880</v>
      </c>
      <c r="I25" s="1">
        <v>2</v>
      </c>
      <c r="J25">
        <v>153388</v>
      </c>
    </row>
    <row r="26" spans="1:10" x14ac:dyDescent="0.25">
      <c r="A26">
        <v>2016</v>
      </c>
      <c r="B26">
        <v>1</v>
      </c>
      <c r="C26">
        <v>1926</v>
      </c>
      <c r="D26">
        <v>1930</v>
      </c>
      <c r="E26">
        <v>1230</v>
      </c>
      <c r="F26">
        <v>9150</v>
      </c>
      <c r="G26" s="1">
        <v>0</v>
      </c>
      <c r="H26">
        <v>7920</v>
      </c>
      <c r="I26" s="1">
        <v>2</v>
      </c>
      <c r="J26">
        <v>154892</v>
      </c>
    </row>
    <row r="27" spans="1:10" x14ac:dyDescent="0.25">
      <c r="A27">
        <v>2016</v>
      </c>
      <c r="B27">
        <v>2</v>
      </c>
      <c r="C27">
        <v>1926</v>
      </c>
      <c r="D27">
        <v>1930</v>
      </c>
      <c r="E27">
        <v>1230</v>
      </c>
      <c r="F27">
        <v>9150</v>
      </c>
      <c r="G27" s="1">
        <v>0</v>
      </c>
      <c r="H27">
        <v>7920</v>
      </c>
      <c r="I27" s="1">
        <v>2</v>
      </c>
      <c r="J27">
        <v>154892</v>
      </c>
    </row>
    <row r="28" spans="1:10" x14ac:dyDescent="0.25">
      <c r="A28">
        <v>2016</v>
      </c>
      <c r="B28">
        <v>3</v>
      </c>
      <c r="C28">
        <v>1926</v>
      </c>
      <c r="D28">
        <v>1930</v>
      </c>
      <c r="E28">
        <v>1230</v>
      </c>
      <c r="F28">
        <v>9150</v>
      </c>
      <c r="G28" s="1">
        <v>0</v>
      </c>
      <c r="H28">
        <v>7920</v>
      </c>
      <c r="I28" s="1">
        <v>2</v>
      </c>
      <c r="J28">
        <v>154892</v>
      </c>
    </row>
    <row r="29" spans="1:10" x14ac:dyDescent="0.25">
      <c r="A29">
        <v>2016</v>
      </c>
      <c r="B29">
        <v>4</v>
      </c>
      <c r="C29">
        <v>1926</v>
      </c>
      <c r="D29">
        <v>1930</v>
      </c>
      <c r="E29">
        <v>1230</v>
      </c>
      <c r="F29">
        <v>9150</v>
      </c>
      <c r="G29" s="1">
        <v>0</v>
      </c>
      <c r="H29">
        <v>7920</v>
      </c>
      <c r="I29" s="1">
        <v>2</v>
      </c>
      <c r="J29">
        <v>154892</v>
      </c>
    </row>
    <row r="30" spans="1:10" x14ac:dyDescent="0.25">
      <c r="A30">
        <v>2017</v>
      </c>
      <c r="B30">
        <v>1</v>
      </c>
      <c r="C30">
        <v>2597</v>
      </c>
      <c r="D30">
        <v>1890</v>
      </c>
      <c r="E30">
        <v>1240</v>
      </c>
      <c r="F30">
        <v>9850</v>
      </c>
      <c r="G30" s="1">
        <v>0</v>
      </c>
      <c r="H30">
        <v>7900</v>
      </c>
      <c r="I30" s="1">
        <v>2</v>
      </c>
      <c r="J30">
        <v>158414</v>
      </c>
    </row>
    <row r="31" spans="1:10" x14ac:dyDescent="0.25">
      <c r="A31">
        <v>2017</v>
      </c>
      <c r="B31">
        <v>2</v>
      </c>
      <c r="C31">
        <v>2597</v>
      </c>
      <c r="D31">
        <v>1890</v>
      </c>
      <c r="E31">
        <v>1240</v>
      </c>
      <c r="F31">
        <v>9850</v>
      </c>
      <c r="G31" s="1">
        <v>0</v>
      </c>
      <c r="H31">
        <v>7900</v>
      </c>
      <c r="I31" s="1">
        <v>2</v>
      </c>
      <c r="J31">
        <v>158414</v>
      </c>
    </row>
    <row r="32" spans="1:10" x14ac:dyDescent="0.25">
      <c r="A32">
        <v>2017</v>
      </c>
      <c r="B32">
        <v>3</v>
      </c>
      <c r="C32">
        <v>2597</v>
      </c>
      <c r="D32">
        <v>1890</v>
      </c>
      <c r="E32">
        <v>1240</v>
      </c>
      <c r="F32">
        <v>9850</v>
      </c>
      <c r="G32" s="1">
        <v>0</v>
      </c>
      <c r="H32">
        <v>7900</v>
      </c>
      <c r="I32" s="1">
        <v>1</v>
      </c>
      <c r="J32">
        <v>158414</v>
      </c>
    </row>
    <row r="33" spans="1:10" x14ac:dyDescent="0.25">
      <c r="A33">
        <v>2017</v>
      </c>
      <c r="B33">
        <v>4</v>
      </c>
      <c r="C33">
        <v>2597</v>
      </c>
      <c r="D33">
        <v>1890</v>
      </c>
      <c r="E33">
        <v>1240</v>
      </c>
      <c r="F33">
        <v>9850</v>
      </c>
      <c r="G33" s="1">
        <v>0</v>
      </c>
      <c r="H33">
        <v>7900</v>
      </c>
      <c r="I33" s="1">
        <v>1</v>
      </c>
      <c r="J33">
        <v>158414</v>
      </c>
    </row>
    <row r="34" spans="1:10" x14ac:dyDescent="0.25">
      <c r="A34">
        <v>2018</v>
      </c>
      <c r="B34">
        <v>1</v>
      </c>
      <c r="C34">
        <v>1924</v>
      </c>
      <c r="D34">
        <v>1840</v>
      </c>
      <c r="E34">
        <v>1240</v>
      </c>
      <c r="F34">
        <v>9170</v>
      </c>
      <c r="G34" s="1">
        <v>0</v>
      </c>
      <c r="H34">
        <v>7850</v>
      </c>
      <c r="I34" s="1">
        <v>1</v>
      </c>
      <c r="J34">
        <v>160444</v>
      </c>
    </row>
    <row r="35" spans="1:10" x14ac:dyDescent="0.25">
      <c r="A35">
        <v>2018</v>
      </c>
      <c r="B35">
        <v>2</v>
      </c>
      <c r="C35">
        <v>1924</v>
      </c>
      <c r="D35">
        <v>1840</v>
      </c>
      <c r="E35">
        <v>1240</v>
      </c>
      <c r="F35">
        <v>9170</v>
      </c>
      <c r="G35" s="1">
        <v>0</v>
      </c>
      <c r="H35">
        <v>7850</v>
      </c>
      <c r="I35" s="1">
        <v>1</v>
      </c>
      <c r="J35">
        <v>160444</v>
      </c>
    </row>
    <row r="36" spans="1:10" x14ac:dyDescent="0.25">
      <c r="A36">
        <v>2018</v>
      </c>
      <c r="B36">
        <v>3</v>
      </c>
      <c r="C36">
        <v>1924</v>
      </c>
      <c r="D36">
        <v>1840</v>
      </c>
      <c r="E36">
        <v>1240</v>
      </c>
      <c r="F36">
        <v>9170</v>
      </c>
      <c r="G36" s="1">
        <v>0</v>
      </c>
      <c r="H36">
        <v>7850</v>
      </c>
      <c r="I36" s="1">
        <v>1</v>
      </c>
      <c r="J36">
        <v>160444</v>
      </c>
    </row>
    <row r="37" spans="1:10" x14ac:dyDescent="0.25">
      <c r="A37">
        <v>2018</v>
      </c>
      <c r="B37">
        <v>4</v>
      </c>
      <c r="C37">
        <v>1924</v>
      </c>
      <c r="D37">
        <v>1840</v>
      </c>
      <c r="E37">
        <v>1240</v>
      </c>
      <c r="F37">
        <v>9170</v>
      </c>
      <c r="G37" s="1">
        <v>0</v>
      </c>
      <c r="H37">
        <v>7850</v>
      </c>
      <c r="I37" s="1">
        <v>1</v>
      </c>
      <c r="J37">
        <v>160444</v>
      </c>
    </row>
    <row r="38" spans="1:10" x14ac:dyDescent="0.25">
      <c r="A38">
        <v>2019</v>
      </c>
      <c r="B38">
        <v>1</v>
      </c>
      <c r="C38">
        <v>2350</v>
      </c>
      <c r="D38">
        <v>1840</v>
      </c>
      <c r="E38">
        <v>1240</v>
      </c>
      <c r="F38">
        <v>9730</v>
      </c>
      <c r="G38" s="1">
        <v>1</v>
      </c>
      <c r="H38">
        <v>7990</v>
      </c>
      <c r="I38" s="1">
        <v>1</v>
      </c>
      <c r="J38">
        <v>163384</v>
      </c>
    </row>
    <row r="39" spans="1:10" x14ac:dyDescent="0.25">
      <c r="A39">
        <v>2019</v>
      </c>
      <c r="B39">
        <v>2</v>
      </c>
      <c r="C39">
        <v>2350</v>
      </c>
      <c r="D39">
        <v>1840</v>
      </c>
      <c r="E39">
        <v>1240</v>
      </c>
      <c r="F39">
        <v>9730</v>
      </c>
      <c r="G39" s="1">
        <v>1</v>
      </c>
      <c r="H39">
        <v>7990</v>
      </c>
      <c r="I39" s="1">
        <v>1</v>
      </c>
      <c r="J39">
        <v>163384</v>
      </c>
    </row>
    <row r="40" spans="1:10" x14ac:dyDescent="0.25">
      <c r="A40">
        <v>2019</v>
      </c>
      <c r="B40">
        <v>3</v>
      </c>
      <c r="C40">
        <v>2350</v>
      </c>
      <c r="D40">
        <v>1840</v>
      </c>
      <c r="E40">
        <v>1240</v>
      </c>
      <c r="F40">
        <v>9730</v>
      </c>
      <c r="G40" s="1">
        <v>1</v>
      </c>
      <c r="H40">
        <v>7990</v>
      </c>
      <c r="I40" s="1">
        <v>1</v>
      </c>
      <c r="J40">
        <v>163384</v>
      </c>
    </row>
    <row r="41" spans="1:10" x14ac:dyDescent="0.25">
      <c r="A41">
        <v>2019</v>
      </c>
      <c r="B41">
        <v>4</v>
      </c>
      <c r="C41">
        <v>2350</v>
      </c>
      <c r="D41">
        <v>1840</v>
      </c>
      <c r="E41">
        <v>1240</v>
      </c>
      <c r="F41">
        <v>9730</v>
      </c>
      <c r="G41" s="1">
        <v>1</v>
      </c>
      <c r="H41">
        <v>7990</v>
      </c>
      <c r="I41" s="1">
        <v>1</v>
      </c>
      <c r="J41">
        <v>163384</v>
      </c>
    </row>
    <row r="42" spans="1:10" x14ac:dyDescent="0.25">
      <c r="A42">
        <v>2020</v>
      </c>
      <c r="B42">
        <v>1</v>
      </c>
      <c r="C42">
        <v>1840</v>
      </c>
      <c r="D42">
        <v>1890</v>
      </c>
      <c r="E42">
        <v>1250</v>
      </c>
      <c r="F42">
        <v>9400</v>
      </c>
      <c r="G42" t="s">
        <v>7</v>
      </c>
      <c r="H42">
        <v>8200</v>
      </c>
      <c r="I42" t="s">
        <v>7</v>
      </c>
      <c r="J42">
        <v>164891</v>
      </c>
    </row>
    <row r="43" spans="1:10" x14ac:dyDescent="0.25">
      <c r="A43">
        <v>2020</v>
      </c>
      <c r="B43">
        <v>2</v>
      </c>
      <c r="C43">
        <v>1840</v>
      </c>
      <c r="D43">
        <v>1890</v>
      </c>
      <c r="E43">
        <v>1250</v>
      </c>
      <c r="F43">
        <v>9400</v>
      </c>
      <c r="G43" t="s">
        <v>7</v>
      </c>
      <c r="H43">
        <v>8200</v>
      </c>
      <c r="I43" t="s">
        <v>7</v>
      </c>
      <c r="J43">
        <v>164891</v>
      </c>
    </row>
    <row r="44" spans="1:10" x14ac:dyDescent="0.25">
      <c r="A44">
        <v>2020</v>
      </c>
      <c r="B44">
        <v>3</v>
      </c>
      <c r="C44">
        <v>1840</v>
      </c>
      <c r="D44">
        <v>1890</v>
      </c>
      <c r="E44">
        <v>1250</v>
      </c>
      <c r="F44">
        <v>9400</v>
      </c>
      <c r="G44" t="s">
        <v>7</v>
      </c>
      <c r="H44">
        <v>8200</v>
      </c>
      <c r="I44" t="s">
        <v>7</v>
      </c>
      <c r="J44">
        <v>164891</v>
      </c>
    </row>
    <row r="45" spans="1:10" x14ac:dyDescent="0.25">
      <c r="A45">
        <v>2020</v>
      </c>
      <c r="B45">
        <v>4</v>
      </c>
      <c r="C45">
        <v>1840</v>
      </c>
      <c r="D45">
        <v>1890</v>
      </c>
      <c r="E45">
        <v>1250</v>
      </c>
      <c r="F45">
        <v>9400</v>
      </c>
      <c r="G45" t="s">
        <v>7</v>
      </c>
      <c r="H45">
        <v>8200</v>
      </c>
      <c r="I45" t="s">
        <v>7</v>
      </c>
      <c r="J45">
        <v>164891</v>
      </c>
    </row>
    <row r="46" spans="1:10" x14ac:dyDescent="0.25">
      <c r="A46">
        <v>2021</v>
      </c>
      <c r="B46">
        <v>1</v>
      </c>
      <c r="C46">
        <v>1315</v>
      </c>
      <c r="D46">
        <v>1830</v>
      </c>
      <c r="E46">
        <v>1230</v>
      </c>
      <c r="F46">
        <v>8760</v>
      </c>
      <c r="G46" t="s">
        <v>7</v>
      </c>
      <c r="H46">
        <v>8050</v>
      </c>
      <c r="I46" t="s">
        <v>7</v>
      </c>
      <c r="J46">
        <v>165931</v>
      </c>
    </row>
    <row r="47" spans="1:10" x14ac:dyDescent="0.25">
      <c r="A47">
        <v>2021</v>
      </c>
      <c r="B47">
        <v>2</v>
      </c>
      <c r="C47">
        <v>1315</v>
      </c>
      <c r="D47">
        <v>1830</v>
      </c>
      <c r="E47">
        <v>1230</v>
      </c>
      <c r="F47">
        <v>8760</v>
      </c>
      <c r="G47" t="s">
        <v>7</v>
      </c>
      <c r="H47">
        <v>8050</v>
      </c>
      <c r="I47" t="s">
        <v>7</v>
      </c>
      <c r="J47">
        <v>165931</v>
      </c>
    </row>
    <row r="48" spans="1:10" x14ac:dyDescent="0.25">
      <c r="A48">
        <v>2021</v>
      </c>
      <c r="B48">
        <v>3</v>
      </c>
      <c r="C48">
        <v>1315</v>
      </c>
      <c r="D48">
        <v>1830</v>
      </c>
      <c r="E48">
        <v>1230</v>
      </c>
      <c r="F48">
        <v>8760</v>
      </c>
      <c r="G48" t="s">
        <v>7</v>
      </c>
      <c r="H48">
        <v>8050</v>
      </c>
      <c r="I48" t="s">
        <v>7</v>
      </c>
      <c r="J48">
        <v>165931</v>
      </c>
    </row>
    <row r="49" spans="1:10" x14ac:dyDescent="0.25">
      <c r="A49">
        <v>2021</v>
      </c>
      <c r="B49">
        <v>4</v>
      </c>
      <c r="C49">
        <v>1315</v>
      </c>
      <c r="D49">
        <v>1830</v>
      </c>
      <c r="E49">
        <v>1230</v>
      </c>
      <c r="F49">
        <v>8760</v>
      </c>
      <c r="G49" t="s">
        <v>7</v>
      </c>
      <c r="H49">
        <v>8050</v>
      </c>
      <c r="I49" t="s">
        <v>7</v>
      </c>
      <c r="J49">
        <v>165931</v>
      </c>
    </row>
    <row r="50" spans="1:10" x14ac:dyDescent="0.25">
      <c r="A50">
        <v>2022</v>
      </c>
      <c r="B50">
        <v>1</v>
      </c>
      <c r="C50">
        <v>883</v>
      </c>
      <c r="D50">
        <v>1840</v>
      </c>
      <c r="E50">
        <v>1330</v>
      </c>
      <c r="F50">
        <v>9950</v>
      </c>
      <c r="G50" t="s">
        <v>7</v>
      </c>
      <c r="H50">
        <v>9580</v>
      </c>
      <c r="I50" t="s">
        <v>7</v>
      </c>
      <c r="J50">
        <v>166410</v>
      </c>
    </row>
    <row r="51" spans="1:10" x14ac:dyDescent="0.25">
      <c r="A51">
        <v>2022</v>
      </c>
      <c r="B51">
        <v>2</v>
      </c>
      <c r="C51">
        <v>883</v>
      </c>
      <c r="D51">
        <v>1840</v>
      </c>
      <c r="E51">
        <v>1330</v>
      </c>
      <c r="F51">
        <v>9950</v>
      </c>
      <c r="G51" t="s">
        <v>7</v>
      </c>
      <c r="H51">
        <v>9580</v>
      </c>
      <c r="I51" t="s">
        <v>7</v>
      </c>
      <c r="J51">
        <v>166410</v>
      </c>
    </row>
    <row r="52" spans="1:10" x14ac:dyDescent="0.25">
      <c r="A52">
        <v>2022</v>
      </c>
      <c r="B52">
        <v>3</v>
      </c>
      <c r="C52">
        <v>883</v>
      </c>
      <c r="D52">
        <v>1840</v>
      </c>
      <c r="E52">
        <v>1330</v>
      </c>
      <c r="F52">
        <v>9950</v>
      </c>
      <c r="G52" t="s">
        <v>7</v>
      </c>
      <c r="H52">
        <v>9580</v>
      </c>
      <c r="I52" t="s">
        <v>7</v>
      </c>
      <c r="J52">
        <v>166410</v>
      </c>
    </row>
    <row r="53" spans="1:10" x14ac:dyDescent="0.25">
      <c r="A53">
        <v>2022</v>
      </c>
      <c r="B53">
        <v>4</v>
      </c>
      <c r="C53">
        <v>883</v>
      </c>
      <c r="D53">
        <v>1840</v>
      </c>
      <c r="E53">
        <v>1330</v>
      </c>
      <c r="F53">
        <v>9950</v>
      </c>
      <c r="G53" t="s">
        <v>7</v>
      </c>
      <c r="H53">
        <v>9580</v>
      </c>
      <c r="I53" t="s">
        <v>7</v>
      </c>
      <c r="J53">
        <v>166410</v>
      </c>
    </row>
    <row r="54" spans="1:10" x14ac:dyDescent="0.25">
      <c r="A54">
        <v>2023</v>
      </c>
      <c r="B54">
        <v>1</v>
      </c>
      <c r="C54">
        <v>1363</v>
      </c>
      <c r="D54">
        <v>1640</v>
      </c>
      <c r="E54">
        <v>1270</v>
      </c>
      <c r="F54">
        <v>10240</v>
      </c>
      <c r="G54" t="s">
        <v>7</v>
      </c>
      <c r="H54">
        <v>9240</v>
      </c>
      <c r="I54" t="s">
        <v>7</v>
      </c>
      <c r="J54">
        <v>168036</v>
      </c>
    </row>
    <row r="55" spans="1:10" x14ac:dyDescent="0.25">
      <c r="A55">
        <v>2023</v>
      </c>
      <c r="B55">
        <v>2</v>
      </c>
      <c r="C55">
        <v>1363</v>
      </c>
      <c r="D55">
        <v>1640</v>
      </c>
      <c r="E55">
        <v>1270</v>
      </c>
      <c r="F55">
        <v>10240</v>
      </c>
      <c r="G55" t="s">
        <v>7</v>
      </c>
      <c r="H55">
        <v>9240</v>
      </c>
      <c r="I55" t="s">
        <v>7</v>
      </c>
      <c r="J55">
        <v>168036</v>
      </c>
    </row>
    <row r="56" spans="1:10" x14ac:dyDescent="0.25">
      <c r="A56">
        <v>2023</v>
      </c>
      <c r="B56">
        <v>3</v>
      </c>
      <c r="C56">
        <v>1363</v>
      </c>
      <c r="D56">
        <v>1640</v>
      </c>
      <c r="E56">
        <v>1270</v>
      </c>
      <c r="F56">
        <v>10240</v>
      </c>
      <c r="G56" t="s">
        <v>7</v>
      </c>
      <c r="H56">
        <v>9240</v>
      </c>
      <c r="I56" t="s">
        <v>7</v>
      </c>
      <c r="J56">
        <v>168036</v>
      </c>
    </row>
    <row r="57" spans="1:10" x14ac:dyDescent="0.25">
      <c r="A57">
        <v>2023</v>
      </c>
      <c r="B57">
        <v>4</v>
      </c>
      <c r="C57">
        <v>1363</v>
      </c>
      <c r="D57">
        <v>1640</v>
      </c>
      <c r="E57">
        <v>1270</v>
      </c>
      <c r="F57">
        <v>10240</v>
      </c>
      <c r="G57" t="s">
        <v>7</v>
      </c>
      <c r="H57">
        <v>9240</v>
      </c>
      <c r="I57" t="s">
        <v>7</v>
      </c>
      <c r="J57">
        <v>168036</v>
      </c>
    </row>
    <row r="58" spans="1:10" x14ac:dyDescent="0.25">
      <c r="A58">
        <v>2024</v>
      </c>
      <c r="B58">
        <v>1</v>
      </c>
      <c r="C58">
        <v>946</v>
      </c>
      <c r="D58">
        <v>1600</v>
      </c>
      <c r="E58">
        <v>1250</v>
      </c>
      <c r="F58">
        <v>9930</v>
      </c>
      <c r="G58" t="s">
        <v>7</v>
      </c>
      <c r="H58">
        <v>9330</v>
      </c>
      <c r="I58" t="s">
        <v>7</v>
      </c>
      <c r="J58">
        <v>168350</v>
      </c>
    </row>
    <row r="59" spans="1:10" x14ac:dyDescent="0.25">
      <c r="A59">
        <v>2024</v>
      </c>
      <c r="B59">
        <v>2</v>
      </c>
      <c r="C59">
        <v>946</v>
      </c>
      <c r="D59">
        <v>1600</v>
      </c>
      <c r="E59">
        <v>1250</v>
      </c>
      <c r="F59">
        <v>9930</v>
      </c>
      <c r="G59" t="s">
        <v>7</v>
      </c>
      <c r="H59">
        <v>9330</v>
      </c>
      <c r="I59" t="s">
        <v>7</v>
      </c>
      <c r="J59">
        <v>168350</v>
      </c>
    </row>
    <row r="60" spans="1:10" x14ac:dyDescent="0.25">
      <c r="A60">
        <v>2024</v>
      </c>
      <c r="B60">
        <v>3</v>
      </c>
      <c r="C60">
        <v>946</v>
      </c>
      <c r="D60">
        <v>1600</v>
      </c>
      <c r="E60">
        <v>1250</v>
      </c>
      <c r="F60">
        <v>9930</v>
      </c>
      <c r="G60" t="s">
        <v>7</v>
      </c>
      <c r="H60">
        <v>9330</v>
      </c>
      <c r="I60" t="s">
        <v>7</v>
      </c>
      <c r="J60">
        <v>168350</v>
      </c>
    </row>
    <row r="61" spans="1:10" x14ac:dyDescent="0.25">
      <c r="A61">
        <v>2024</v>
      </c>
      <c r="B61">
        <v>4</v>
      </c>
      <c r="C61">
        <v>946</v>
      </c>
      <c r="D61">
        <v>1600</v>
      </c>
      <c r="E61">
        <v>1250</v>
      </c>
      <c r="F61">
        <v>9930</v>
      </c>
      <c r="G61" t="s">
        <v>7</v>
      </c>
      <c r="H61">
        <v>9330</v>
      </c>
      <c r="I61" t="s">
        <v>7</v>
      </c>
      <c r="J61">
        <v>168350</v>
      </c>
    </row>
    <row r="62" spans="1:10" x14ac:dyDescent="0.25">
      <c r="A62">
        <v>2025</v>
      </c>
      <c r="B62">
        <v>1</v>
      </c>
      <c r="C62">
        <v>745</v>
      </c>
      <c r="D62">
        <v>1580</v>
      </c>
      <c r="E62">
        <v>1280</v>
      </c>
      <c r="F62">
        <v>9720</v>
      </c>
      <c r="G62" t="s">
        <v>7</v>
      </c>
      <c r="H62">
        <v>9270</v>
      </c>
      <c r="I62" t="s">
        <v>7</v>
      </c>
      <c r="J62">
        <v>168780</v>
      </c>
    </row>
    <row r="63" spans="1:10" x14ac:dyDescent="0.25">
      <c r="A63">
        <v>2025</v>
      </c>
      <c r="B63">
        <v>2</v>
      </c>
      <c r="C63">
        <v>745</v>
      </c>
      <c r="D63">
        <v>1580</v>
      </c>
      <c r="E63">
        <v>1280</v>
      </c>
      <c r="F63">
        <v>9720</v>
      </c>
      <c r="G63" t="s">
        <v>7</v>
      </c>
      <c r="H63">
        <v>9270</v>
      </c>
      <c r="I63" t="s">
        <v>7</v>
      </c>
      <c r="J63">
        <v>168780</v>
      </c>
    </row>
    <row r="64" spans="1:10" x14ac:dyDescent="0.25">
      <c r="A64">
        <v>2025</v>
      </c>
      <c r="B64">
        <v>3</v>
      </c>
      <c r="C64">
        <v>745</v>
      </c>
      <c r="D64">
        <v>1580</v>
      </c>
      <c r="E64">
        <v>1280</v>
      </c>
      <c r="F64">
        <v>9720</v>
      </c>
      <c r="G64" t="s">
        <v>7</v>
      </c>
      <c r="H64">
        <v>9270</v>
      </c>
      <c r="I64" t="s">
        <v>7</v>
      </c>
      <c r="J64">
        <v>168780</v>
      </c>
    </row>
    <row r="65" spans="1:10" x14ac:dyDescent="0.25">
      <c r="A65">
        <v>2025</v>
      </c>
      <c r="B65">
        <v>4</v>
      </c>
      <c r="C65">
        <v>745</v>
      </c>
      <c r="D65">
        <v>1580</v>
      </c>
      <c r="E65">
        <v>1280</v>
      </c>
      <c r="F65">
        <v>9720</v>
      </c>
      <c r="G65" t="s">
        <v>7</v>
      </c>
      <c r="H65">
        <v>9270</v>
      </c>
      <c r="I65" t="s">
        <v>7</v>
      </c>
      <c r="J65">
        <v>168780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125D-35C7-4035-8CB1-7D5ADFD973FE}">
  <dimension ref="A1:AE25"/>
  <sheetViews>
    <sheetView tabSelected="1" workbookViewId="0">
      <selection activeCell="C2" sqref="C2"/>
    </sheetView>
  </sheetViews>
  <sheetFormatPr defaultRowHeight="15" x14ac:dyDescent="0.25"/>
  <cols>
    <col min="3" max="3" width="11.5703125" bestFit="1" customWidth="1"/>
    <col min="5" max="5" width="9.5703125" bestFit="1" customWidth="1"/>
    <col min="7" max="7" width="9.5703125" bestFit="1" customWidth="1"/>
    <col min="8" max="8" width="9.28515625" bestFit="1" customWidth="1"/>
    <col min="9" max="9" width="9.5703125" bestFit="1" customWidth="1"/>
    <col min="10" max="14" width="9.28515625" bestFit="1" customWidth="1"/>
    <col min="15" max="15" width="9.5703125" bestFit="1" customWidth="1"/>
    <col min="16" max="16" width="9.28515625" bestFit="1" customWidth="1"/>
    <col min="17" max="17" width="9.5703125" bestFit="1" customWidth="1"/>
    <col min="18" max="18" width="9.28515625" bestFit="1" customWidth="1"/>
    <col min="19" max="19" width="9.5703125" bestFit="1" customWidth="1"/>
    <col min="20" max="22" width="9.28515625" bestFit="1" customWidth="1"/>
  </cols>
  <sheetData>
    <row r="1" spans="1:31" x14ac:dyDescent="0.25">
      <c r="A1" t="s">
        <v>26</v>
      </c>
      <c r="B1" t="s">
        <v>27</v>
      </c>
      <c r="C1" t="s">
        <v>52</v>
      </c>
      <c r="D1" t="s">
        <v>58</v>
      </c>
      <c r="E1" t="s">
        <v>53</v>
      </c>
      <c r="F1" t="s">
        <v>59</v>
      </c>
      <c r="G1" t="s">
        <v>51</v>
      </c>
      <c r="H1" t="s">
        <v>50</v>
      </c>
      <c r="I1" t="s">
        <v>49</v>
      </c>
      <c r="J1" t="s">
        <v>48</v>
      </c>
      <c r="K1" t="s">
        <v>47</v>
      </c>
      <c r="L1" t="s">
        <v>46</v>
      </c>
      <c r="M1" t="s">
        <v>45</v>
      </c>
      <c r="N1" t="s">
        <v>44</v>
      </c>
      <c r="O1" t="s">
        <v>43</v>
      </c>
      <c r="P1" t="s">
        <v>42</v>
      </c>
      <c r="Q1" t="s">
        <v>41</v>
      </c>
      <c r="R1" t="s">
        <v>40</v>
      </c>
      <c r="S1" t="s">
        <v>39</v>
      </c>
      <c r="T1" t="s">
        <v>38</v>
      </c>
      <c r="U1" t="s">
        <v>37</v>
      </c>
      <c r="V1" t="s">
        <v>36</v>
      </c>
      <c r="W1" t="s">
        <v>54</v>
      </c>
      <c r="X1" t="s">
        <v>60</v>
      </c>
      <c r="Y1" t="s">
        <v>55</v>
      </c>
      <c r="Z1" t="s">
        <v>61</v>
      </c>
      <c r="AA1" t="s">
        <v>56</v>
      </c>
      <c r="AB1" t="s">
        <v>62</v>
      </c>
      <c r="AC1" t="s">
        <v>57</v>
      </c>
      <c r="AD1" t="s">
        <v>63</v>
      </c>
    </row>
    <row r="2" spans="1:31" x14ac:dyDescent="0.25">
      <c r="A2">
        <v>2020</v>
      </c>
      <c r="B2">
        <v>1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  <c r="H2" s="3" t="s">
        <v>7</v>
      </c>
      <c r="I2" s="3" t="s">
        <v>7</v>
      </c>
      <c r="J2" s="3" t="s">
        <v>7</v>
      </c>
      <c r="K2" s="3" t="s">
        <v>7</v>
      </c>
      <c r="L2" s="3" t="s">
        <v>7</v>
      </c>
      <c r="M2" s="3" t="s">
        <v>7</v>
      </c>
      <c r="N2" s="3" t="s">
        <v>7</v>
      </c>
      <c r="O2" s="3" t="s">
        <v>7</v>
      </c>
      <c r="P2" s="3" t="s">
        <v>7</v>
      </c>
      <c r="Q2" s="3" t="s">
        <v>7</v>
      </c>
      <c r="R2" s="3" t="s">
        <v>7</v>
      </c>
      <c r="S2" s="3" t="s">
        <v>7</v>
      </c>
      <c r="T2" s="3" t="s">
        <v>7</v>
      </c>
      <c r="U2" s="3" t="s">
        <v>7</v>
      </c>
      <c r="V2" s="3" t="s">
        <v>7</v>
      </c>
      <c r="W2" s="3" t="s">
        <v>7</v>
      </c>
      <c r="X2" s="3" t="s">
        <v>7</v>
      </c>
      <c r="Y2" s="3" t="s">
        <v>7</v>
      </c>
      <c r="Z2" s="3" t="s">
        <v>7</v>
      </c>
      <c r="AA2" s="3" t="s">
        <v>7</v>
      </c>
      <c r="AB2" s="3" t="s">
        <v>7</v>
      </c>
      <c r="AC2" s="3" t="s">
        <v>7</v>
      </c>
      <c r="AD2" s="3" t="s">
        <v>7</v>
      </c>
      <c r="AE2" s="3"/>
    </row>
    <row r="3" spans="1:31" x14ac:dyDescent="0.25">
      <c r="A3">
        <v>2020</v>
      </c>
      <c r="B3">
        <v>2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  <c r="H3" s="3" t="s">
        <v>7</v>
      </c>
      <c r="I3" s="3" t="s">
        <v>7</v>
      </c>
      <c r="J3" s="3" t="s">
        <v>7</v>
      </c>
      <c r="K3" s="3" t="s">
        <v>7</v>
      </c>
      <c r="L3" s="3" t="s">
        <v>7</v>
      </c>
      <c r="M3" s="3" t="s">
        <v>7</v>
      </c>
      <c r="N3" s="3" t="s">
        <v>7</v>
      </c>
      <c r="O3" s="3" t="s">
        <v>7</v>
      </c>
      <c r="P3" s="3" t="s">
        <v>7</v>
      </c>
      <c r="Q3" s="3" t="s">
        <v>7</v>
      </c>
      <c r="R3" s="3" t="s">
        <v>7</v>
      </c>
      <c r="S3" s="3" t="s">
        <v>7</v>
      </c>
      <c r="T3" s="3" t="s">
        <v>7</v>
      </c>
      <c r="U3" s="3" t="s">
        <v>7</v>
      </c>
      <c r="V3" s="3" t="s">
        <v>7</v>
      </c>
      <c r="W3" s="3" t="s">
        <v>7</v>
      </c>
      <c r="X3" s="3" t="s">
        <v>7</v>
      </c>
      <c r="Y3" s="3" t="s">
        <v>7</v>
      </c>
      <c r="Z3" s="3" t="s">
        <v>7</v>
      </c>
      <c r="AA3" s="3" t="s">
        <v>7</v>
      </c>
      <c r="AB3" s="3" t="s">
        <v>7</v>
      </c>
      <c r="AC3" s="3" t="s">
        <v>7</v>
      </c>
      <c r="AD3" s="3" t="s">
        <v>7</v>
      </c>
      <c r="AE3" s="3"/>
    </row>
    <row r="4" spans="1:31" x14ac:dyDescent="0.25">
      <c r="A4">
        <v>2020</v>
      </c>
      <c r="B4">
        <v>3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  <c r="O4" s="3" t="s">
        <v>7</v>
      </c>
      <c r="P4" s="3" t="s">
        <v>7</v>
      </c>
      <c r="Q4" s="3" t="s">
        <v>7</v>
      </c>
      <c r="R4" s="3" t="s">
        <v>7</v>
      </c>
      <c r="S4" s="3" t="s">
        <v>7</v>
      </c>
      <c r="T4" s="3" t="s">
        <v>7</v>
      </c>
      <c r="U4" s="3" t="s">
        <v>7</v>
      </c>
      <c r="V4" s="3" t="s">
        <v>7</v>
      </c>
      <c r="W4" s="3" t="s">
        <v>7</v>
      </c>
      <c r="X4" s="3" t="s">
        <v>7</v>
      </c>
      <c r="Y4" s="3" t="s">
        <v>7</v>
      </c>
      <c r="Z4" s="3" t="s">
        <v>7</v>
      </c>
      <c r="AA4" s="3" t="s">
        <v>7</v>
      </c>
      <c r="AB4" s="3" t="s">
        <v>7</v>
      </c>
      <c r="AC4" s="3" t="s">
        <v>7</v>
      </c>
      <c r="AD4" s="3" t="s">
        <v>7</v>
      </c>
      <c r="AE4" s="3"/>
    </row>
    <row r="5" spans="1:31" x14ac:dyDescent="0.25">
      <c r="A5">
        <v>2020</v>
      </c>
      <c r="B5">
        <v>4</v>
      </c>
      <c r="C5" s="2">
        <v>76.8</v>
      </c>
      <c r="D5" s="3" t="s">
        <v>7</v>
      </c>
      <c r="E5" s="3">
        <f>+E6+E6-E7</f>
        <v>78965</v>
      </c>
      <c r="F5" s="3" t="s">
        <v>7</v>
      </c>
      <c r="G5" s="3">
        <f>+G6+G6-G7</f>
        <v>89241</v>
      </c>
      <c r="H5" s="3">
        <v>0</v>
      </c>
      <c r="I5" s="3">
        <f>+I6+I6-I7</f>
        <v>11365</v>
      </c>
      <c r="J5" s="3">
        <v>0</v>
      </c>
      <c r="K5" s="3">
        <v>7650</v>
      </c>
      <c r="L5" s="3">
        <v>0</v>
      </c>
      <c r="M5" s="3">
        <f>+M6+M6-M7</f>
        <v>5729</v>
      </c>
      <c r="N5" s="3">
        <v>0</v>
      </c>
      <c r="O5" s="3">
        <f>+O6+O6-O7</f>
        <v>12695</v>
      </c>
      <c r="P5" s="3">
        <v>0</v>
      </c>
      <c r="Q5" s="3">
        <f>+Q6+Q6-Q7</f>
        <v>11820</v>
      </c>
      <c r="R5" s="3">
        <v>0</v>
      </c>
      <c r="S5" s="3">
        <f>+S6+S6-S7</f>
        <v>15123</v>
      </c>
      <c r="T5" s="3">
        <v>0</v>
      </c>
      <c r="U5" s="3">
        <v>6450</v>
      </c>
      <c r="V5" s="3">
        <v>0</v>
      </c>
      <c r="W5" s="3">
        <f>+W6+W6-W7</f>
        <v>74731</v>
      </c>
      <c r="X5" s="3" t="s">
        <v>7</v>
      </c>
      <c r="Y5" s="3">
        <f>+G5-W5</f>
        <v>14510</v>
      </c>
      <c r="Z5" s="3" t="s">
        <v>7</v>
      </c>
      <c r="AA5" s="3">
        <f>+AA6+AA6-AA7</f>
        <v>58778</v>
      </c>
      <c r="AB5" s="3" t="s">
        <v>7</v>
      </c>
      <c r="AC5" s="3">
        <f>+AC6+AC6-AC7</f>
        <v>28675</v>
      </c>
      <c r="AD5" s="3" t="s">
        <v>7</v>
      </c>
      <c r="AE5" s="3"/>
    </row>
    <row r="6" spans="1:31" x14ac:dyDescent="0.25">
      <c r="A6">
        <v>2021</v>
      </c>
      <c r="B6">
        <v>1</v>
      </c>
      <c r="C6" s="2">
        <v>76.7</v>
      </c>
      <c r="D6" s="3" t="s">
        <v>7</v>
      </c>
      <c r="E6" s="3">
        <v>78954</v>
      </c>
      <c r="F6" s="3" t="s">
        <v>7</v>
      </c>
      <c r="G6" s="3">
        <v>88921</v>
      </c>
      <c r="H6" s="3">
        <v>0</v>
      </c>
      <c r="I6" s="3">
        <v>11400</v>
      </c>
      <c r="J6" s="3">
        <v>0</v>
      </c>
      <c r="K6" s="3">
        <v>7600</v>
      </c>
      <c r="L6" s="3">
        <v>0</v>
      </c>
      <c r="M6" s="3">
        <v>5782</v>
      </c>
      <c r="N6" s="3">
        <v>0</v>
      </c>
      <c r="O6" s="3">
        <v>12619</v>
      </c>
      <c r="P6" s="3">
        <v>0</v>
      </c>
      <c r="Q6" s="3">
        <v>11653</v>
      </c>
      <c r="R6" s="3">
        <v>0</v>
      </c>
      <c r="S6" s="3">
        <v>15303</v>
      </c>
      <c r="T6" s="3">
        <v>0</v>
      </c>
      <c r="U6" s="3">
        <v>6550</v>
      </c>
      <c r="V6" s="3">
        <v>0</v>
      </c>
      <c r="W6" s="3">
        <v>74585</v>
      </c>
      <c r="X6" s="3" t="s">
        <v>7</v>
      </c>
      <c r="Y6" s="3">
        <f t="shared" ref="Y6:Y9" si="0">+G6-W6</f>
        <v>14336</v>
      </c>
      <c r="Z6" s="3" t="s">
        <v>7</v>
      </c>
      <c r="AA6" s="3">
        <v>58258</v>
      </c>
      <c r="AB6" s="3" t="s">
        <v>7</v>
      </c>
      <c r="AC6" s="3">
        <v>28866</v>
      </c>
      <c r="AD6" s="3" t="s">
        <v>7</v>
      </c>
      <c r="AE6" s="3"/>
    </row>
    <row r="7" spans="1:31" x14ac:dyDescent="0.25">
      <c r="A7">
        <v>2021</v>
      </c>
      <c r="B7">
        <v>2</v>
      </c>
      <c r="C7" s="2">
        <v>76.599999999999994</v>
      </c>
      <c r="D7" s="3" t="s">
        <v>7</v>
      </c>
      <c r="E7" s="3">
        <v>78943</v>
      </c>
      <c r="F7" s="3" t="s">
        <v>7</v>
      </c>
      <c r="G7" s="3">
        <v>88601</v>
      </c>
      <c r="H7" s="3">
        <v>0</v>
      </c>
      <c r="I7" s="3">
        <v>11435</v>
      </c>
      <c r="J7" s="3">
        <v>0</v>
      </c>
      <c r="K7" s="3">
        <v>7600</v>
      </c>
      <c r="L7" s="3">
        <v>0</v>
      </c>
      <c r="M7" s="3">
        <v>5835</v>
      </c>
      <c r="N7" s="3">
        <v>0</v>
      </c>
      <c r="O7" s="3">
        <v>12543</v>
      </c>
      <c r="P7" s="3">
        <v>0</v>
      </c>
      <c r="Q7" s="3">
        <v>11486</v>
      </c>
      <c r="R7" s="3">
        <v>0</v>
      </c>
      <c r="S7" s="3">
        <v>15483</v>
      </c>
      <c r="T7" s="3">
        <v>0</v>
      </c>
      <c r="U7" s="3">
        <v>6600</v>
      </c>
      <c r="V7" s="3">
        <v>0</v>
      </c>
      <c r="W7" s="3">
        <v>74439</v>
      </c>
      <c r="X7" s="3" t="s">
        <v>7</v>
      </c>
      <c r="Y7" s="3">
        <f t="shared" si="0"/>
        <v>14162</v>
      </c>
      <c r="Z7" s="3" t="s">
        <v>7</v>
      </c>
      <c r="AA7" s="3">
        <v>57738</v>
      </c>
      <c r="AB7" s="3" t="s">
        <v>7</v>
      </c>
      <c r="AC7" s="3">
        <v>29057</v>
      </c>
      <c r="AD7" s="3" t="s">
        <v>7</v>
      </c>
      <c r="AE7" s="3"/>
    </row>
    <row r="8" spans="1:31" x14ac:dyDescent="0.25">
      <c r="A8">
        <v>2021</v>
      </c>
      <c r="B8">
        <v>3</v>
      </c>
      <c r="C8" s="2">
        <v>76.5</v>
      </c>
      <c r="D8" s="3" t="s">
        <v>7</v>
      </c>
      <c r="E8" s="3">
        <v>79000</v>
      </c>
      <c r="F8" s="3" t="s">
        <v>7</v>
      </c>
      <c r="G8" s="3">
        <v>88750</v>
      </c>
      <c r="H8" s="3">
        <v>0</v>
      </c>
      <c r="I8" s="3">
        <v>11450</v>
      </c>
      <c r="J8" s="3">
        <v>0</v>
      </c>
      <c r="K8" s="3">
        <v>7600</v>
      </c>
      <c r="L8" s="3">
        <v>0</v>
      </c>
      <c r="M8" s="3">
        <v>5840</v>
      </c>
      <c r="N8" s="3">
        <v>0</v>
      </c>
      <c r="O8" s="3">
        <v>12500</v>
      </c>
      <c r="P8" s="3">
        <v>0</v>
      </c>
      <c r="Q8" s="3">
        <v>11500</v>
      </c>
      <c r="R8" s="3">
        <v>0</v>
      </c>
      <c r="S8" s="3">
        <v>15600</v>
      </c>
      <c r="T8" s="3">
        <v>0</v>
      </c>
      <c r="U8" s="3">
        <v>6650</v>
      </c>
      <c r="V8" s="3">
        <v>0</v>
      </c>
      <c r="W8" s="3">
        <v>74600</v>
      </c>
      <c r="X8" s="3" t="s">
        <v>7</v>
      </c>
      <c r="Y8" s="3">
        <f t="shared" si="0"/>
        <v>14150</v>
      </c>
      <c r="Z8" s="3" t="s">
        <v>7</v>
      </c>
      <c r="AA8" s="3">
        <v>57800</v>
      </c>
      <c r="AB8" s="3" t="s">
        <v>7</v>
      </c>
      <c r="AC8" s="3">
        <v>29100</v>
      </c>
      <c r="AD8" s="3" t="s">
        <v>7</v>
      </c>
      <c r="AE8" s="3"/>
    </row>
    <row r="9" spans="1:31" x14ac:dyDescent="0.25">
      <c r="A9">
        <v>2021</v>
      </c>
      <c r="B9">
        <v>4</v>
      </c>
      <c r="C9" s="2">
        <v>76.400000000000006</v>
      </c>
      <c r="D9" s="3" t="s">
        <v>7</v>
      </c>
      <c r="E9" s="3">
        <v>79638.5</v>
      </c>
      <c r="F9" s="3" t="s">
        <v>7</v>
      </c>
      <c r="G9" s="3">
        <v>88992.25</v>
      </c>
      <c r="H9" s="3">
        <v>0</v>
      </c>
      <c r="I9" s="3">
        <v>11469.75</v>
      </c>
      <c r="J9" s="3">
        <v>0</v>
      </c>
      <c r="K9" s="3">
        <v>7575</v>
      </c>
      <c r="L9" s="3">
        <v>0</v>
      </c>
      <c r="M9" s="3">
        <v>5835.75</v>
      </c>
      <c r="N9" s="3">
        <v>0</v>
      </c>
      <c r="O9" s="3">
        <v>12491.25</v>
      </c>
      <c r="P9" s="3">
        <v>0</v>
      </c>
      <c r="Q9" s="3">
        <v>11504</v>
      </c>
      <c r="R9" s="3">
        <v>0</v>
      </c>
      <c r="S9" s="3">
        <v>15713.25</v>
      </c>
      <c r="T9" s="3">
        <v>0</v>
      </c>
      <c r="U9" s="3">
        <v>6700</v>
      </c>
      <c r="V9" s="3">
        <v>0</v>
      </c>
      <c r="W9" s="3">
        <v>74700.75</v>
      </c>
      <c r="X9" s="3" t="s">
        <v>7</v>
      </c>
      <c r="Y9" s="3">
        <f t="shared" si="0"/>
        <v>14291.5</v>
      </c>
      <c r="Z9" s="3" t="s">
        <v>7</v>
      </c>
      <c r="AA9" s="3">
        <v>57963</v>
      </c>
      <c r="AB9" s="3" t="s">
        <v>7</v>
      </c>
      <c r="AC9" s="3">
        <v>29208.25</v>
      </c>
      <c r="AD9" s="3" t="s">
        <v>7</v>
      </c>
      <c r="AE9" s="3"/>
    </row>
    <row r="10" spans="1:31" x14ac:dyDescent="0.25">
      <c r="A10">
        <v>2022</v>
      </c>
      <c r="B10">
        <v>1</v>
      </c>
      <c r="C10" t="s">
        <v>7</v>
      </c>
      <c r="D10" s="3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  <c r="Z10" t="s">
        <v>7</v>
      </c>
      <c r="AA10" t="s">
        <v>7</v>
      </c>
      <c r="AB10" t="s">
        <v>7</v>
      </c>
      <c r="AC10" t="s">
        <v>7</v>
      </c>
      <c r="AD10" t="s">
        <v>7</v>
      </c>
    </row>
    <row r="11" spans="1:31" x14ac:dyDescent="0.25">
      <c r="A11">
        <v>2022</v>
      </c>
      <c r="B11">
        <v>2</v>
      </c>
      <c r="C11" t="s">
        <v>7</v>
      </c>
      <c r="D11" s="3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7</v>
      </c>
      <c r="Y11" t="s">
        <v>7</v>
      </c>
      <c r="Z11" t="s">
        <v>7</v>
      </c>
      <c r="AA11" t="s">
        <v>7</v>
      </c>
      <c r="AB11" t="s">
        <v>7</v>
      </c>
      <c r="AC11" t="s">
        <v>7</v>
      </c>
      <c r="AD11" t="s">
        <v>7</v>
      </c>
    </row>
    <row r="12" spans="1:31" x14ac:dyDescent="0.25">
      <c r="A12">
        <v>2022</v>
      </c>
      <c r="B12">
        <v>3</v>
      </c>
      <c r="C12" t="s">
        <v>7</v>
      </c>
      <c r="D12" s="3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7</v>
      </c>
      <c r="Y12" t="s">
        <v>7</v>
      </c>
      <c r="Z12" t="s">
        <v>7</v>
      </c>
      <c r="AA12" t="s">
        <v>7</v>
      </c>
      <c r="AB12" t="s">
        <v>7</v>
      </c>
      <c r="AC12" t="s">
        <v>7</v>
      </c>
      <c r="AD12" t="s">
        <v>7</v>
      </c>
    </row>
    <row r="13" spans="1:31" x14ac:dyDescent="0.25">
      <c r="A13">
        <v>2022</v>
      </c>
      <c r="B13">
        <v>4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7</v>
      </c>
      <c r="X13" t="s">
        <v>7</v>
      </c>
      <c r="Y13" t="s">
        <v>7</v>
      </c>
      <c r="Z13" t="s">
        <v>7</v>
      </c>
      <c r="AA13" t="s">
        <v>7</v>
      </c>
      <c r="AB13" t="s">
        <v>7</v>
      </c>
      <c r="AC13" t="s">
        <v>7</v>
      </c>
      <c r="AD13" t="s">
        <v>7</v>
      </c>
    </row>
    <row r="14" spans="1:31" x14ac:dyDescent="0.25">
      <c r="A14">
        <v>2023</v>
      </c>
      <c r="B14">
        <v>1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7</v>
      </c>
      <c r="Y14" t="s">
        <v>7</v>
      </c>
      <c r="Z14" t="s">
        <v>7</v>
      </c>
      <c r="AA14" t="s">
        <v>7</v>
      </c>
      <c r="AB14" t="s">
        <v>7</v>
      </c>
      <c r="AC14" t="s">
        <v>7</v>
      </c>
      <c r="AD14" t="s">
        <v>7</v>
      </c>
    </row>
    <row r="15" spans="1:31" x14ac:dyDescent="0.25">
      <c r="A15">
        <v>2023</v>
      </c>
      <c r="B15">
        <v>2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7</v>
      </c>
      <c r="Y15" t="s">
        <v>7</v>
      </c>
      <c r="Z15" t="s">
        <v>7</v>
      </c>
      <c r="AA15" t="s">
        <v>7</v>
      </c>
      <c r="AB15" t="s">
        <v>7</v>
      </c>
      <c r="AC15" t="s">
        <v>7</v>
      </c>
      <c r="AD15" t="s">
        <v>7</v>
      </c>
    </row>
    <row r="16" spans="1:31" x14ac:dyDescent="0.25">
      <c r="A16">
        <v>2023</v>
      </c>
      <c r="B16">
        <v>3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7</v>
      </c>
      <c r="Y16" t="s">
        <v>7</v>
      </c>
      <c r="Z16" t="s">
        <v>7</v>
      </c>
      <c r="AA16" t="s">
        <v>7</v>
      </c>
      <c r="AB16" t="s">
        <v>7</v>
      </c>
      <c r="AC16" t="s">
        <v>7</v>
      </c>
      <c r="AD16" t="s">
        <v>7</v>
      </c>
    </row>
    <row r="17" spans="1:30" x14ac:dyDescent="0.25">
      <c r="A17">
        <v>2023</v>
      </c>
      <c r="B17">
        <v>4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7</v>
      </c>
      <c r="Y17" t="s">
        <v>7</v>
      </c>
      <c r="Z17" t="s">
        <v>7</v>
      </c>
      <c r="AA17" t="s">
        <v>7</v>
      </c>
      <c r="AB17" t="s">
        <v>7</v>
      </c>
      <c r="AC17" t="s">
        <v>7</v>
      </c>
      <c r="AD17" t="s">
        <v>7</v>
      </c>
    </row>
    <row r="18" spans="1:30" x14ac:dyDescent="0.25">
      <c r="A18">
        <v>2024</v>
      </c>
      <c r="B18">
        <v>1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t="s">
        <v>7</v>
      </c>
      <c r="AD18" t="s">
        <v>7</v>
      </c>
    </row>
    <row r="19" spans="1:30" x14ac:dyDescent="0.25">
      <c r="A19">
        <v>2024</v>
      </c>
      <c r="B19">
        <v>2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7</v>
      </c>
      <c r="Y19" t="s">
        <v>7</v>
      </c>
      <c r="Z19" t="s">
        <v>7</v>
      </c>
      <c r="AA19" t="s">
        <v>7</v>
      </c>
      <c r="AB19" t="s">
        <v>7</v>
      </c>
      <c r="AC19" t="s">
        <v>7</v>
      </c>
      <c r="AD19" t="s">
        <v>7</v>
      </c>
    </row>
    <row r="20" spans="1:30" x14ac:dyDescent="0.25">
      <c r="A20">
        <v>2024</v>
      </c>
      <c r="B20">
        <v>3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7</v>
      </c>
      <c r="Y20" t="s">
        <v>7</v>
      </c>
      <c r="Z20" t="s">
        <v>7</v>
      </c>
      <c r="AA20" t="s">
        <v>7</v>
      </c>
      <c r="AB20" t="s">
        <v>7</v>
      </c>
      <c r="AC20" t="s">
        <v>7</v>
      </c>
      <c r="AD20" t="s">
        <v>7</v>
      </c>
    </row>
    <row r="21" spans="1:30" x14ac:dyDescent="0.25">
      <c r="A21">
        <v>2024</v>
      </c>
      <c r="B21">
        <v>4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7</v>
      </c>
      <c r="Y21" t="s">
        <v>7</v>
      </c>
      <c r="Z21" t="s">
        <v>7</v>
      </c>
      <c r="AA21" t="s">
        <v>7</v>
      </c>
      <c r="AB21" t="s">
        <v>7</v>
      </c>
      <c r="AC21" t="s">
        <v>7</v>
      </c>
      <c r="AD21" t="s">
        <v>7</v>
      </c>
    </row>
    <row r="22" spans="1:30" x14ac:dyDescent="0.25">
      <c r="A22">
        <v>2025</v>
      </c>
      <c r="B22">
        <v>1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7</v>
      </c>
      <c r="Y22" t="s">
        <v>7</v>
      </c>
      <c r="Z22" t="s">
        <v>7</v>
      </c>
      <c r="AA22" t="s">
        <v>7</v>
      </c>
      <c r="AB22" t="s">
        <v>7</v>
      </c>
      <c r="AC22" t="s">
        <v>7</v>
      </c>
      <c r="AD22" t="s">
        <v>7</v>
      </c>
    </row>
    <row r="23" spans="1:30" x14ac:dyDescent="0.25">
      <c r="A23">
        <v>2025</v>
      </c>
      <c r="B23">
        <v>2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7</v>
      </c>
      <c r="Y23" t="s">
        <v>7</v>
      </c>
      <c r="Z23" t="s">
        <v>7</v>
      </c>
      <c r="AA23" t="s">
        <v>7</v>
      </c>
      <c r="AB23" t="s">
        <v>7</v>
      </c>
      <c r="AC23" t="s">
        <v>7</v>
      </c>
      <c r="AD23" t="s">
        <v>7</v>
      </c>
    </row>
    <row r="24" spans="1:30" x14ac:dyDescent="0.25">
      <c r="A24">
        <v>2025</v>
      </c>
      <c r="B24">
        <v>3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7</v>
      </c>
      <c r="Y24" t="s">
        <v>7</v>
      </c>
      <c r="Z24" t="s">
        <v>7</v>
      </c>
      <c r="AA24" t="s">
        <v>7</v>
      </c>
      <c r="AB24" t="s">
        <v>7</v>
      </c>
      <c r="AC24" t="s">
        <v>7</v>
      </c>
      <c r="AD24" t="s">
        <v>7</v>
      </c>
    </row>
    <row r="25" spans="1:30" x14ac:dyDescent="0.25">
      <c r="A25">
        <v>2025</v>
      </c>
      <c r="B25">
        <v>4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7</v>
      </c>
      <c r="V25" t="s">
        <v>7</v>
      </c>
      <c r="W25" t="s">
        <v>7</v>
      </c>
      <c r="X25" t="s">
        <v>7</v>
      </c>
      <c r="Y25" t="s">
        <v>7</v>
      </c>
      <c r="Z25" t="s">
        <v>7</v>
      </c>
      <c r="AA25" t="s">
        <v>7</v>
      </c>
      <c r="AB25" t="s">
        <v>7</v>
      </c>
      <c r="AC25" t="s">
        <v>7</v>
      </c>
      <c r="AD2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CB21-F5B0-4B44-9D7F-366C4D3FED9C}">
  <dimension ref="A1:N65"/>
  <sheetViews>
    <sheetView workbookViewId="0">
      <selection activeCell="G13" sqref="G13"/>
    </sheetView>
  </sheetViews>
  <sheetFormatPr defaultRowHeight="15" x14ac:dyDescent="0.25"/>
  <sheetData>
    <row r="1" spans="1:14" x14ac:dyDescent="0.25">
      <c r="A1" t="s">
        <v>26</v>
      </c>
      <c r="B1" t="s">
        <v>27</v>
      </c>
      <c r="C1" t="s">
        <v>8</v>
      </c>
      <c r="D1" t="s">
        <v>30</v>
      </c>
      <c r="E1" t="s">
        <v>9</v>
      </c>
      <c r="F1" t="s">
        <v>31</v>
      </c>
      <c r="G1" t="s">
        <v>10</v>
      </c>
      <c r="H1" t="s">
        <v>32</v>
      </c>
      <c r="I1" t="s">
        <v>11</v>
      </c>
      <c r="J1" t="s">
        <v>35</v>
      </c>
      <c r="K1" t="s">
        <v>12</v>
      </c>
      <c r="L1" t="s">
        <v>34</v>
      </c>
      <c r="M1" t="s">
        <v>13</v>
      </c>
      <c r="N1" t="s">
        <v>33</v>
      </c>
    </row>
    <row r="2" spans="1:14" x14ac:dyDescent="0.25">
      <c r="A2">
        <v>2010</v>
      </c>
      <c r="B2">
        <v>1</v>
      </c>
      <c r="C2" t="s">
        <v>7</v>
      </c>
      <c r="D2">
        <v>2</v>
      </c>
      <c r="E2" t="s">
        <v>7</v>
      </c>
      <c r="F2">
        <v>2</v>
      </c>
      <c r="G2" t="s">
        <v>7</v>
      </c>
      <c r="H2">
        <v>2</v>
      </c>
      <c r="I2" t="s">
        <v>7</v>
      </c>
      <c r="J2">
        <v>2</v>
      </c>
      <c r="K2" t="s">
        <v>7</v>
      </c>
      <c r="L2">
        <v>2</v>
      </c>
      <c r="M2" t="s">
        <v>7</v>
      </c>
      <c r="N2">
        <v>2</v>
      </c>
    </row>
    <row r="3" spans="1:14" x14ac:dyDescent="0.25">
      <c r="A3">
        <v>2010</v>
      </c>
      <c r="B3">
        <v>2</v>
      </c>
      <c r="C3" t="s">
        <v>7</v>
      </c>
      <c r="D3">
        <v>2</v>
      </c>
      <c r="E3" t="s">
        <v>7</v>
      </c>
      <c r="F3">
        <v>2</v>
      </c>
      <c r="G3" t="s">
        <v>7</v>
      </c>
      <c r="H3">
        <v>2</v>
      </c>
      <c r="I3" t="s">
        <v>7</v>
      </c>
      <c r="J3">
        <v>2</v>
      </c>
      <c r="K3" t="s">
        <v>7</v>
      </c>
      <c r="L3">
        <v>2</v>
      </c>
      <c r="M3" t="s">
        <v>7</v>
      </c>
      <c r="N3">
        <v>2</v>
      </c>
    </row>
    <row r="4" spans="1:14" x14ac:dyDescent="0.25">
      <c r="A4">
        <v>2010</v>
      </c>
      <c r="B4">
        <v>3</v>
      </c>
      <c r="C4" t="s">
        <v>7</v>
      </c>
      <c r="D4">
        <v>2</v>
      </c>
      <c r="E4" t="s">
        <v>7</v>
      </c>
      <c r="F4">
        <v>2</v>
      </c>
      <c r="G4" t="s">
        <v>7</v>
      </c>
      <c r="H4">
        <v>2</v>
      </c>
      <c r="I4" t="s">
        <v>7</v>
      </c>
      <c r="J4">
        <v>2</v>
      </c>
      <c r="K4" t="s">
        <v>7</v>
      </c>
      <c r="L4">
        <v>2</v>
      </c>
      <c r="M4" t="s">
        <v>7</v>
      </c>
      <c r="N4">
        <v>2</v>
      </c>
    </row>
    <row r="5" spans="1:14" x14ac:dyDescent="0.25">
      <c r="A5">
        <v>2010</v>
      </c>
      <c r="B5">
        <v>4</v>
      </c>
      <c r="C5" t="s">
        <v>7</v>
      </c>
      <c r="D5">
        <v>2</v>
      </c>
      <c r="E5" t="s">
        <v>7</v>
      </c>
      <c r="F5">
        <v>2</v>
      </c>
      <c r="G5" t="s">
        <v>7</v>
      </c>
      <c r="H5">
        <v>2</v>
      </c>
      <c r="I5" t="s">
        <v>7</v>
      </c>
      <c r="J5">
        <v>2</v>
      </c>
      <c r="K5" t="s">
        <v>7</v>
      </c>
      <c r="L5">
        <v>2</v>
      </c>
      <c r="M5" t="s">
        <v>7</v>
      </c>
      <c r="N5">
        <v>2</v>
      </c>
    </row>
    <row r="6" spans="1:14" x14ac:dyDescent="0.25">
      <c r="A6">
        <v>2011</v>
      </c>
      <c r="B6">
        <v>1</v>
      </c>
      <c r="C6" t="s">
        <v>7</v>
      </c>
      <c r="D6">
        <v>2</v>
      </c>
      <c r="E6" t="s">
        <v>7</v>
      </c>
      <c r="F6">
        <v>2</v>
      </c>
      <c r="G6" t="s">
        <v>7</v>
      </c>
      <c r="H6">
        <v>2</v>
      </c>
      <c r="I6" t="s">
        <v>7</v>
      </c>
      <c r="J6">
        <v>2</v>
      </c>
      <c r="K6" t="s">
        <v>7</v>
      </c>
      <c r="L6">
        <v>2</v>
      </c>
      <c r="M6" t="s">
        <v>7</v>
      </c>
      <c r="N6">
        <v>2</v>
      </c>
    </row>
    <row r="7" spans="1:14" x14ac:dyDescent="0.25">
      <c r="A7">
        <v>2011</v>
      </c>
      <c r="B7">
        <v>2</v>
      </c>
      <c r="C7" t="s">
        <v>7</v>
      </c>
      <c r="D7">
        <v>2</v>
      </c>
      <c r="E7" t="s">
        <v>7</v>
      </c>
      <c r="F7">
        <v>2</v>
      </c>
      <c r="G7" t="s">
        <v>7</v>
      </c>
      <c r="H7">
        <v>2</v>
      </c>
      <c r="I7" t="s">
        <v>7</v>
      </c>
      <c r="J7">
        <v>2</v>
      </c>
      <c r="K7" t="s">
        <v>7</v>
      </c>
      <c r="L7">
        <v>2</v>
      </c>
      <c r="M7" t="s">
        <v>7</v>
      </c>
      <c r="N7">
        <v>2</v>
      </c>
    </row>
    <row r="8" spans="1:14" x14ac:dyDescent="0.25">
      <c r="A8">
        <v>2011</v>
      </c>
      <c r="B8">
        <v>3</v>
      </c>
      <c r="C8" t="s">
        <v>7</v>
      </c>
      <c r="D8">
        <v>2</v>
      </c>
      <c r="E8" t="s">
        <v>7</v>
      </c>
      <c r="F8">
        <v>2</v>
      </c>
      <c r="G8" t="s">
        <v>7</v>
      </c>
      <c r="H8">
        <v>2</v>
      </c>
      <c r="I8" t="s">
        <v>7</v>
      </c>
      <c r="J8">
        <v>2</v>
      </c>
      <c r="K8" t="s">
        <v>7</v>
      </c>
      <c r="L8">
        <v>2</v>
      </c>
      <c r="M8" t="s">
        <v>7</v>
      </c>
      <c r="N8">
        <v>2</v>
      </c>
    </row>
    <row r="9" spans="1:14" x14ac:dyDescent="0.25">
      <c r="A9">
        <v>2011</v>
      </c>
      <c r="B9">
        <v>4</v>
      </c>
      <c r="C9" t="s">
        <v>7</v>
      </c>
      <c r="D9">
        <v>2</v>
      </c>
      <c r="E9" t="s">
        <v>7</v>
      </c>
      <c r="F9">
        <v>2</v>
      </c>
      <c r="G9" t="s">
        <v>7</v>
      </c>
      <c r="H9">
        <v>2</v>
      </c>
      <c r="I9" t="s">
        <v>7</v>
      </c>
      <c r="J9">
        <v>2</v>
      </c>
      <c r="K9" t="s">
        <v>7</v>
      </c>
      <c r="L9">
        <v>2</v>
      </c>
      <c r="M9" t="s">
        <v>7</v>
      </c>
      <c r="N9">
        <v>2</v>
      </c>
    </row>
    <row r="10" spans="1:14" x14ac:dyDescent="0.25">
      <c r="A10">
        <v>2012</v>
      </c>
      <c r="B10">
        <v>1</v>
      </c>
      <c r="C10" t="s">
        <v>7</v>
      </c>
      <c r="D10">
        <v>2</v>
      </c>
      <c r="E10" t="s">
        <v>7</v>
      </c>
      <c r="F10">
        <v>2</v>
      </c>
      <c r="G10" t="s">
        <v>7</v>
      </c>
      <c r="H10">
        <v>2</v>
      </c>
      <c r="I10" t="s">
        <v>7</v>
      </c>
      <c r="J10">
        <v>2</v>
      </c>
      <c r="K10" t="s">
        <v>7</v>
      </c>
      <c r="L10">
        <v>2</v>
      </c>
      <c r="M10" t="s">
        <v>7</v>
      </c>
      <c r="N10">
        <v>2</v>
      </c>
    </row>
    <row r="11" spans="1:14" x14ac:dyDescent="0.25">
      <c r="A11">
        <v>2012</v>
      </c>
      <c r="B11">
        <v>2</v>
      </c>
      <c r="C11" t="s">
        <v>7</v>
      </c>
      <c r="D11">
        <v>2</v>
      </c>
      <c r="E11" t="s">
        <v>7</v>
      </c>
      <c r="F11">
        <v>2</v>
      </c>
      <c r="G11" t="s">
        <v>7</v>
      </c>
      <c r="H11">
        <v>2</v>
      </c>
      <c r="I11" t="s">
        <v>7</v>
      </c>
      <c r="J11">
        <v>2</v>
      </c>
      <c r="K11" t="s">
        <v>7</v>
      </c>
      <c r="L11">
        <v>2</v>
      </c>
      <c r="M11" t="s">
        <v>7</v>
      </c>
      <c r="N11">
        <v>2</v>
      </c>
    </row>
    <row r="12" spans="1:14" x14ac:dyDescent="0.25">
      <c r="A12">
        <v>2012</v>
      </c>
      <c r="B12">
        <v>3</v>
      </c>
      <c r="C12" t="s">
        <v>7</v>
      </c>
      <c r="D12">
        <v>2</v>
      </c>
      <c r="E12" t="s">
        <v>7</v>
      </c>
      <c r="F12">
        <v>2</v>
      </c>
      <c r="G12" t="s">
        <v>7</v>
      </c>
      <c r="H12">
        <v>2</v>
      </c>
      <c r="I12" t="s">
        <v>7</v>
      </c>
      <c r="J12">
        <v>2</v>
      </c>
      <c r="K12" t="s">
        <v>7</v>
      </c>
      <c r="L12">
        <v>2</v>
      </c>
      <c r="M12" t="s">
        <v>7</v>
      </c>
      <c r="N12">
        <v>2</v>
      </c>
    </row>
    <row r="13" spans="1:14" x14ac:dyDescent="0.25">
      <c r="A13">
        <v>2012</v>
      </c>
      <c r="B13">
        <v>4</v>
      </c>
      <c r="C13" t="s">
        <v>7</v>
      </c>
      <c r="D13">
        <v>2</v>
      </c>
      <c r="E13" t="s">
        <v>7</v>
      </c>
      <c r="F13">
        <v>2</v>
      </c>
      <c r="G13" t="s">
        <v>7</v>
      </c>
      <c r="H13">
        <v>2</v>
      </c>
      <c r="I13" t="s">
        <v>7</v>
      </c>
      <c r="J13">
        <v>2</v>
      </c>
      <c r="K13" t="s">
        <v>7</v>
      </c>
      <c r="L13">
        <v>2</v>
      </c>
      <c r="M13" t="s">
        <v>7</v>
      </c>
      <c r="N13">
        <v>2</v>
      </c>
    </row>
    <row r="14" spans="1:14" x14ac:dyDescent="0.25">
      <c r="A14">
        <v>2013</v>
      </c>
      <c r="B14">
        <v>1</v>
      </c>
      <c r="C14" t="s">
        <v>7</v>
      </c>
      <c r="D14">
        <v>2</v>
      </c>
      <c r="E14" t="s">
        <v>7</v>
      </c>
      <c r="F14">
        <v>2</v>
      </c>
      <c r="G14" t="s">
        <v>7</v>
      </c>
      <c r="H14">
        <v>2</v>
      </c>
      <c r="I14" t="s">
        <v>7</v>
      </c>
      <c r="J14">
        <v>2</v>
      </c>
      <c r="K14" t="s">
        <v>7</v>
      </c>
      <c r="L14">
        <v>2</v>
      </c>
      <c r="M14" t="s">
        <v>7</v>
      </c>
      <c r="N14">
        <v>2</v>
      </c>
    </row>
    <row r="15" spans="1:14" x14ac:dyDescent="0.25">
      <c r="A15">
        <v>2013</v>
      </c>
      <c r="B15">
        <v>2</v>
      </c>
      <c r="C15" t="s">
        <v>7</v>
      </c>
      <c r="D15">
        <v>2</v>
      </c>
      <c r="E15" t="s">
        <v>7</v>
      </c>
      <c r="F15">
        <v>2</v>
      </c>
      <c r="G15" t="s">
        <v>7</v>
      </c>
      <c r="H15">
        <v>2</v>
      </c>
      <c r="I15" t="s">
        <v>7</v>
      </c>
      <c r="J15">
        <v>2</v>
      </c>
      <c r="K15" t="s">
        <v>7</v>
      </c>
      <c r="L15">
        <v>2</v>
      </c>
      <c r="M15" t="s">
        <v>7</v>
      </c>
      <c r="N15">
        <v>2</v>
      </c>
    </row>
    <row r="16" spans="1:14" x14ac:dyDescent="0.25">
      <c r="A16">
        <v>2013</v>
      </c>
      <c r="B16">
        <v>3</v>
      </c>
      <c r="C16" t="s">
        <v>7</v>
      </c>
      <c r="D16">
        <v>2</v>
      </c>
      <c r="E16" t="s">
        <v>7</v>
      </c>
      <c r="F16">
        <v>2</v>
      </c>
      <c r="G16" t="s">
        <v>7</v>
      </c>
      <c r="H16">
        <v>2</v>
      </c>
      <c r="I16" t="s">
        <v>7</v>
      </c>
      <c r="J16">
        <v>2</v>
      </c>
      <c r="K16" t="s">
        <v>7</v>
      </c>
      <c r="L16">
        <v>2</v>
      </c>
      <c r="M16" t="s">
        <v>7</v>
      </c>
      <c r="N16">
        <v>2</v>
      </c>
    </row>
    <row r="17" spans="1:14" x14ac:dyDescent="0.25">
      <c r="A17">
        <v>2013</v>
      </c>
      <c r="B17">
        <v>4</v>
      </c>
      <c r="C17" t="s">
        <v>7</v>
      </c>
      <c r="D17">
        <v>2</v>
      </c>
      <c r="E17" t="s">
        <v>7</v>
      </c>
      <c r="F17">
        <v>2</v>
      </c>
      <c r="G17" t="s">
        <v>7</v>
      </c>
      <c r="H17">
        <v>2</v>
      </c>
      <c r="I17" t="s">
        <v>7</v>
      </c>
      <c r="J17">
        <v>2</v>
      </c>
      <c r="K17" t="s">
        <v>7</v>
      </c>
      <c r="L17">
        <v>2</v>
      </c>
      <c r="M17" t="s">
        <v>7</v>
      </c>
      <c r="N17">
        <v>2</v>
      </c>
    </row>
    <row r="18" spans="1:14" x14ac:dyDescent="0.25">
      <c r="A18">
        <v>2014</v>
      </c>
      <c r="B18">
        <v>1</v>
      </c>
      <c r="C18" t="s">
        <v>7</v>
      </c>
      <c r="D18">
        <v>2</v>
      </c>
      <c r="E18" t="s">
        <v>7</v>
      </c>
      <c r="F18">
        <v>2</v>
      </c>
      <c r="G18" t="s">
        <v>7</v>
      </c>
      <c r="H18">
        <v>2</v>
      </c>
      <c r="I18" t="s">
        <v>7</v>
      </c>
      <c r="J18">
        <v>2</v>
      </c>
      <c r="K18" t="s">
        <v>7</v>
      </c>
      <c r="L18">
        <v>2</v>
      </c>
      <c r="M18" t="s">
        <v>7</v>
      </c>
      <c r="N18">
        <v>2</v>
      </c>
    </row>
    <row r="19" spans="1:14" x14ac:dyDescent="0.25">
      <c r="A19">
        <v>2014</v>
      </c>
      <c r="B19">
        <v>2</v>
      </c>
      <c r="C19" t="s">
        <v>7</v>
      </c>
      <c r="D19">
        <v>2</v>
      </c>
      <c r="E19" t="s">
        <v>7</v>
      </c>
      <c r="F19">
        <v>2</v>
      </c>
      <c r="G19" t="s">
        <v>7</v>
      </c>
      <c r="H19">
        <v>2</v>
      </c>
      <c r="I19" t="s">
        <v>7</v>
      </c>
      <c r="J19">
        <v>2</v>
      </c>
      <c r="K19" t="s">
        <v>7</v>
      </c>
      <c r="L19">
        <v>2</v>
      </c>
      <c r="M19" t="s">
        <v>7</v>
      </c>
      <c r="N19">
        <v>2</v>
      </c>
    </row>
    <row r="20" spans="1:14" x14ac:dyDescent="0.25">
      <c r="A20">
        <v>2014</v>
      </c>
      <c r="B20">
        <v>3</v>
      </c>
      <c r="C20" t="s">
        <v>7</v>
      </c>
      <c r="D20">
        <v>2</v>
      </c>
      <c r="E20" t="s">
        <v>7</v>
      </c>
      <c r="F20">
        <v>2</v>
      </c>
      <c r="G20" t="s">
        <v>7</v>
      </c>
      <c r="H20">
        <v>2</v>
      </c>
      <c r="I20" t="s">
        <v>7</v>
      </c>
      <c r="J20">
        <v>2</v>
      </c>
      <c r="K20" t="s">
        <v>7</v>
      </c>
      <c r="L20">
        <v>2</v>
      </c>
      <c r="M20" t="s">
        <v>7</v>
      </c>
      <c r="N20">
        <v>2</v>
      </c>
    </row>
    <row r="21" spans="1:14" x14ac:dyDescent="0.25">
      <c r="A21">
        <v>2014</v>
      </c>
      <c r="B21">
        <v>4</v>
      </c>
      <c r="C21" t="s">
        <v>7</v>
      </c>
      <c r="D21">
        <v>2</v>
      </c>
      <c r="E21" t="s">
        <v>7</v>
      </c>
      <c r="F21">
        <v>2</v>
      </c>
      <c r="G21" t="s">
        <v>7</v>
      </c>
      <c r="H21">
        <v>2</v>
      </c>
      <c r="I21" t="s">
        <v>7</v>
      </c>
      <c r="J21">
        <v>2</v>
      </c>
      <c r="K21" t="s">
        <v>7</v>
      </c>
      <c r="L21">
        <v>2</v>
      </c>
      <c r="M21" t="s">
        <v>7</v>
      </c>
      <c r="N21">
        <v>2</v>
      </c>
    </row>
    <row r="22" spans="1:14" x14ac:dyDescent="0.25">
      <c r="A22">
        <v>2015</v>
      </c>
      <c r="B22">
        <v>1</v>
      </c>
      <c r="C22" t="s">
        <v>7</v>
      </c>
      <c r="D22">
        <v>2</v>
      </c>
      <c r="E22" t="s">
        <v>7</v>
      </c>
      <c r="F22">
        <v>2</v>
      </c>
      <c r="G22" t="s">
        <v>7</v>
      </c>
      <c r="H22">
        <v>2</v>
      </c>
      <c r="I22" t="s">
        <v>7</v>
      </c>
      <c r="J22">
        <v>2</v>
      </c>
      <c r="K22" t="s">
        <v>7</v>
      </c>
      <c r="L22">
        <v>2</v>
      </c>
      <c r="M22" t="s">
        <v>7</v>
      </c>
      <c r="N22">
        <v>2</v>
      </c>
    </row>
    <row r="23" spans="1:14" x14ac:dyDescent="0.25">
      <c r="A23">
        <v>2015</v>
      </c>
      <c r="B23">
        <v>2</v>
      </c>
      <c r="C23" t="s">
        <v>7</v>
      </c>
      <c r="D23">
        <v>2</v>
      </c>
      <c r="E23" t="s">
        <v>7</v>
      </c>
      <c r="F23">
        <v>2</v>
      </c>
      <c r="G23" t="s">
        <v>7</v>
      </c>
      <c r="H23">
        <v>2</v>
      </c>
      <c r="I23" t="s">
        <v>7</v>
      </c>
      <c r="J23">
        <v>2</v>
      </c>
      <c r="K23" t="s">
        <v>7</v>
      </c>
      <c r="L23">
        <v>2</v>
      </c>
      <c r="M23" t="s">
        <v>7</v>
      </c>
      <c r="N23">
        <v>2</v>
      </c>
    </row>
    <row r="24" spans="1:14" x14ac:dyDescent="0.25">
      <c r="A24">
        <v>2015</v>
      </c>
      <c r="B24">
        <v>3</v>
      </c>
      <c r="C24" t="s">
        <v>7</v>
      </c>
      <c r="D24">
        <v>2</v>
      </c>
      <c r="E24" t="s">
        <v>7</v>
      </c>
      <c r="F24">
        <v>2</v>
      </c>
      <c r="G24" t="s">
        <v>7</v>
      </c>
      <c r="H24">
        <v>2</v>
      </c>
      <c r="I24" t="s">
        <v>7</v>
      </c>
      <c r="J24">
        <v>2</v>
      </c>
      <c r="K24" t="s">
        <v>7</v>
      </c>
      <c r="L24">
        <v>2</v>
      </c>
      <c r="M24" t="s">
        <v>7</v>
      </c>
      <c r="N24">
        <v>2</v>
      </c>
    </row>
    <row r="25" spans="1:14" x14ac:dyDescent="0.25">
      <c r="A25">
        <v>2015</v>
      </c>
      <c r="B25">
        <v>4</v>
      </c>
      <c r="C25" t="s">
        <v>7</v>
      </c>
      <c r="D25">
        <v>2</v>
      </c>
      <c r="E25" t="s">
        <v>7</v>
      </c>
      <c r="F25">
        <v>2</v>
      </c>
      <c r="G25" t="s">
        <v>7</v>
      </c>
      <c r="H25">
        <v>2</v>
      </c>
      <c r="I25" t="s">
        <v>7</v>
      </c>
      <c r="J25">
        <v>2</v>
      </c>
      <c r="K25" t="s">
        <v>7</v>
      </c>
      <c r="L25">
        <v>2</v>
      </c>
      <c r="M25" t="s">
        <v>7</v>
      </c>
      <c r="N25">
        <v>2</v>
      </c>
    </row>
    <row r="26" spans="1:14" x14ac:dyDescent="0.25">
      <c r="A26">
        <v>2016</v>
      </c>
      <c r="B26">
        <v>1</v>
      </c>
      <c r="C26" t="s">
        <v>7</v>
      </c>
      <c r="D26">
        <v>8</v>
      </c>
      <c r="E26" t="s">
        <v>7</v>
      </c>
      <c r="F26">
        <v>8</v>
      </c>
      <c r="G26" t="s">
        <v>7</v>
      </c>
      <c r="H26">
        <v>8</v>
      </c>
      <c r="I26" t="s">
        <v>7</v>
      </c>
      <c r="J26">
        <v>8</v>
      </c>
      <c r="K26" t="s">
        <v>7</v>
      </c>
      <c r="L26">
        <v>8</v>
      </c>
      <c r="M26" t="s">
        <v>7</v>
      </c>
      <c r="N26">
        <v>8</v>
      </c>
    </row>
    <row r="27" spans="1:14" x14ac:dyDescent="0.25">
      <c r="A27">
        <v>2016</v>
      </c>
      <c r="B27">
        <v>2</v>
      </c>
      <c r="C27" t="s">
        <v>7</v>
      </c>
      <c r="D27">
        <v>8</v>
      </c>
      <c r="E27" t="s">
        <v>7</v>
      </c>
      <c r="F27">
        <v>8</v>
      </c>
      <c r="G27" t="s">
        <v>7</v>
      </c>
      <c r="H27">
        <v>8</v>
      </c>
      <c r="I27" t="s">
        <v>7</v>
      </c>
      <c r="J27">
        <v>8</v>
      </c>
      <c r="K27" t="s">
        <v>7</v>
      </c>
      <c r="L27">
        <v>8</v>
      </c>
      <c r="M27" t="s">
        <v>7</v>
      </c>
      <c r="N27">
        <v>8</v>
      </c>
    </row>
    <row r="28" spans="1:14" x14ac:dyDescent="0.25">
      <c r="A28">
        <v>2016</v>
      </c>
      <c r="B28">
        <v>3</v>
      </c>
      <c r="C28" t="s">
        <v>7</v>
      </c>
      <c r="D28">
        <v>8</v>
      </c>
      <c r="E28" t="s">
        <v>7</v>
      </c>
      <c r="F28">
        <v>8</v>
      </c>
      <c r="G28" t="s">
        <v>7</v>
      </c>
      <c r="H28">
        <v>8</v>
      </c>
      <c r="I28" t="s">
        <v>7</v>
      </c>
      <c r="J28">
        <v>8</v>
      </c>
      <c r="K28" t="s">
        <v>7</v>
      </c>
      <c r="L28">
        <v>8</v>
      </c>
      <c r="M28" t="s">
        <v>7</v>
      </c>
      <c r="N28">
        <v>8</v>
      </c>
    </row>
    <row r="29" spans="1:14" x14ac:dyDescent="0.25">
      <c r="A29">
        <v>2016</v>
      </c>
      <c r="B29">
        <v>4</v>
      </c>
      <c r="C29" t="s">
        <v>7</v>
      </c>
      <c r="D29">
        <v>8</v>
      </c>
      <c r="E29" t="s">
        <v>7</v>
      </c>
      <c r="F29">
        <v>8</v>
      </c>
      <c r="G29" t="s">
        <v>7</v>
      </c>
      <c r="H29">
        <v>8</v>
      </c>
      <c r="I29" t="s">
        <v>7</v>
      </c>
      <c r="J29">
        <v>8</v>
      </c>
      <c r="K29" t="s">
        <v>7</v>
      </c>
      <c r="L29">
        <v>8</v>
      </c>
      <c r="M29" t="s">
        <v>7</v>
      </c>
      <c r="N29">
        <v>8</v>
      </c>
    </row>
    <row r="30" spans="1:14" x14ac:dyDescent="0.25">
      <c r="A30">
        <v>2017</v>
      </c>
      <c r="B30">
        <v>1</v>
      </c>
      <c r="C30" t="s">
        <v>7</v>
      </c>
      <c r="D30">
        <v>0</v>
      </c>
      <c r="E30" t="s">
        <v>7</v>
      </c>
      <c r="F30">
        <v>0</v>
      </c>
      <c r="G30" t="s">
        <v>7</v>
      </c>
      <c r="H30">
        <v>0</v>
      </c>
      <c r="I30" t="s">
        <v>7</v>
      </c>
      <c r="J30">
        <v>0</v>
      </c>
      <c r="K30" t="s">
        <v>7</v>
      </c>
      <c r="L30">
        <v>0</v>
      </c>
      <c r="M30" t="s">
        <v>7</v>
      </c>
      <c r="N30">
        <v>0</v>
      </c>
    </row>
    <row r="31" spans="1:14" x14ac:dyDescent="0.25">
      <c r="A31">
        <v>2017</v>
      </c>
      <c r="B31">
        <v>2</v>
      </c>
      <c r="C31" t="s">
        <v>7</v>
      </c>
      <c r="D31">
        <v>0</v>
      </c>
      <c r="E31" t="s">
        <v>7</v>
      </c>
      <c r="F31">
        <v>0</v>
      </c>
      <c r="G31" t="s">
        <v>7</v>
      </c>
      <c r="H31">
        <v>0</v>
      </c>
      <c r="I31" t="s">
        <v>7</v>
      </c>
      <c r="J31">
        <v>0</v>
      </c>
      <c r="K31" t="s">
        <v>7</v>
      </c>
      <c r="L31">
        <v>0</v>
      </c>
      <c r="M31" t="s">
        <v>7</v>
      </c>
      <c r="N31">
        <v>0</v>
      </c>
    </row>
    <row r="32" spans="1:14" x14ac:dyDescent="0.25">
      <c r="A32">
        <v>2017</v>
      </c>
      <c r="B32">
        <v>3</v>
      </c>
      <c r="C32" t="s">
        <v>7</v>
      </c>
      <c r="D32">
        <v>0</v>
      </c>
      <c r="E32" t="s">
        <v>7</v>
      </c>
      <c r="F32">
        <v>0</v>
      </c>
      <c r="G32" t="s">
        <v>7</v>
      </c>
      <c r="H32">
        <v>0</v>
      </c>
      <c r="I32" t="s">
        <v>7</v>
      </c>
      <c r="J32">
        <v>0</v>
      </c>
      <c r="K32" t="s">
        <v>7</v>
      </c>
      <c r="L32">
        <v>0</v>
      </c>
      <c r="M32" t="s">
        <v>7</v>
      </c>
      <c r="N32">
        <v>0</v>
      </c>
    </row>
    <row r="33" spans="1:14" x14ac:dyDescent="0.25">
      <c r="A33">
        <v>2017</v>
      </c>
      <c r="B33">
        <v>4</v>
      </c>
      <c r="C33" t="s">
        <v>7</v>
      </c>
      <c r="D33">
        <v>0</v>
      </c>
      <c r="E33" t="s">
        <v>7</v>
      </c>
      <c r="F33">
        <v>0</v>
      </c>
      <c r="G33" t="s">
        <v>7</v>
      </c>
      <c r="H33">
        <v>0</v>
      </c>
      <c r="I33" t="s">
        <v>7</v>
      </c>
      <c r="J33">
        <v>0</v>
      </c>
      <c r="K33" t="s">
        <v>7</v>
      </c>
      <c r="L33">
        <v>0</v>
      </c>
      <c r="M33" t="s">
        <v>7</v>
      </c>
      <c r="N33">
        <v>0</v>
      </c>
    </row>
    <row r="34" spans="1:14" x14ac:dyDescent="0.25">
      <c r="A34">
        <v>2018</v>
      </c>
      <c r="B34">
        <v>1</v>
      </c>
      <c r="C34" t="s">
        <v>7</v>
      </c>
      <c r="D34">
        <v>2</v>
      </c>
      <c r="E34" t="s">
        <v>7</v>
      </c>
      <c r="F34">
        <v>2</v>
      </c>
      <c r="G34" t="s">
        <v>7</v>
      </c>
      <c r="H34">
        <v>2</v>
      </c>
      <c r="I34" t="s">
        <v>7</v>
      </c>
      <c r="J34">
        <v>2</v>
      </c>
      <c r="K34" t="s">
        <v>7</v>
      </c>
      <c r="L34">
        <v>2</v>
      </c>
      <c r="M34" t="s">
        <v>7</v>
      </c>
      <c r="N34">
        <v>2</v>
      </c>
    </row>
    <row r="35" spans="1:14" x14ac:dyDescent="0.25">
      <c r="A35">
        <v>2018</v>
      </c>
      <c r="B35">
        <v>2</v>
      </c>
      <c r="C35" t="s">
        <v>7</v>
      </c>
      <c r="D35">
        <v>2</v>
      </c>
      <c r="E35" t="s">
        <v>7</v>
      </c>
      <c r="F35">
        <v>2</v>
      </c>
      <c r="G35" t="s">
        <v>7</v>
      </c>
      <c r="H35">
        <v>2</v>
      </c>
      <c r="I35" t="s">
        <v>7</v>
      </c>
      <c r="J35">
        <v>2</v>
      </c>
      <c r="K35" t="s">
        <v>7</v>
      </c>
      <c r="L35">
        <v>2</v>
      </c>
      <c r="M35" t="s">
        <v>7</v>
      </c>
      <c r="N35">
        <v>2</v>
      </c>
    </row>
    <row r="36" spans="1:14" x14ac:dyDescent="0.25">
      <c r="A36">
        <v>2018</v>
      </c>
      <c r="B36">
        <v>3</v>
      </c>
      <c r="C36" t="s">
        <v>7</v>
      </c>
      <c r="D36">
        <v>2</v>
      </c>
      <c r="E36" t="s">
        <v>7</v>
      </c>
      <c r="F36">
        <v>2</v>
      </c>
      <c r="G36" t="s">
        <v>7</v>
      </c>
      <c r="H36">
        <v>2</v>
      </c>
      <c r="I36" t="s">
        <v>7</v>
      </c>
      <c r="J36">
        <v>2</v>
      </c>
      <c r="K36" t="s">
        <v>7</v>
      </c>
      <c r="L36">
        <v>2</v>
      </c>
      <c r="M36" t="s">
        <v>7</v>
      </c>
      <c r="N36">
        <v>2</v>
      </c>
    </row>
    <row r="37" spans="1:14" x14ac:dyDescent="0.25">
      <c r="A37">
        <v>2018</v>
      </c>
      <c r="B37">
        <v>4</v>
      </c>
      <c r="C37" t="s">
        <v>7</v>
      </c>
      <c r="D37">
        <v>2</v>
      </c>
      <c r="E37" t="s">
        <v>7</v>
      </c>
      <c r="F37">
        <v>2</v>
      </c>
      <c r="G37" t="s">
        <v>7</v>
      </c>
      <c r="H37">
        <v>2</v>
      </c>
      <c r="I37" t="s">
        <v>7</v>
      </c>
      <c r="J37">
        <v>2</v>
      </c>
      <c r="K37" t="s">
        <v>7</v>
      </c>
      <c r="L37">
        <v>2</v>
      </c>
      <c r="M37" t="s">
        <v>7</v>
      </c>
      <c r="N37">
        <v>2</v>
      </c>
    </row>
    <row r="38" spans="1:14" x14ac:dyDescent="0.25">
      <c r="A38">
        <v>2019</v>
      </c>
      <c r="B38">
        <v>1</v>
      </c>
      <c r="C38" t="s">
        <v>7</v>
      </c>
      <c r="D38">
        <v>2</v>
      </c>
      <c r="E38" t="s">
        <v>7</v>
      </c>
      <c r="F38">
        <v>2</v>
      </c>
      <c r="G38" t="s">
        <v>7</v>
      </c>
      <c r="H38">
        <v>2</v>
      </c>
      <c r="I38" t="s">
        <v>7</v>
      </c>
      <c r="J38">
        <v>2</v>
      </c>
      <c r="K38" t="s">
        <v>7</v>
      </c>
      <c r="L38">
        <v>2</v>
      </c>
      <c r="M38" t="s">
        <v>7</v>
      </c>
      <c r="N38">
        <v>2</v>
      </c>
    </row>
    <row r="39" spans="1:14" x14ac:dyDescent="0.25">
      <c r="A39">
        <v>2019</v>
      </c>
      <c r="B39">
        <v>2</v>
      </c>
      <c r="C39" t="s">
        <v>7</v>
      </c>
      <c r="D39">
        <v>2</v>
      </c>
      <c r="E39" t="s">
        <v>7</v>
      </c>
      <c r="F39">
        <v>2</v>
      </c>
      <c r="G39" t="s">
        <v>7</v>
      </c>
      <c r="H39">
        <v>2</v>
      </c>
      <c r="I39" t="s">
        <v>7</v>
      </c>
      <c r="J39">
        <v>2</v>
      </c>
      <c r="K39" t="s">
        <v>7</v>
      </c>
      <c r="L39">
        <v>2</v>
      </c>
      <c r="M39" t="s">
        <v>7</v>
      </c>
      <c r="N39">
        <v>2</v>
      </c>
    </row>
    <row r="40" spans="1:14" x14ac:dyDescent="0.25">
      <c r="A40">
        <v>2019</v>
      </c>
      <c r="B40">
        <v>3</v>
      </c>
      <c r="C40" t="s">
        <v>7</v>
      </c>
      <c r="D40">
        <v>2</v>
      </c>
      <c r="E40" t="s">
        <v>7</v>
      </c>
      <c r="F40">
        <v>2</v>
      </c>
      <c r="G40" t="s">
        <v>7</v>
      </c>
      <c r="H40">
        <v>2</v>
      </c>
      <c r="I40" t="s">
        <v>7</v>
      </c>
      <c r="J40">
        <v>2</v>
      </c>
      <c r="K40" t="s">
        <v>7</v>
      </c>
      <c r="L40">
        <v>2</v>
      </c>
      <c r="M40" t="s">
        <v>7</v>
      </c>
      <c r="N40">
        <v>2</v>
      </c>
    </row>
    <row r="41" spans="1:14" x14ac:dyDescent="0.25">
      <c r="A41">
        <v>2019</v>
      </c>
      <c r="B41">
        <v>4</v>
      </c>
      <c r="C41" t="s">
        <v>7</v>
      </c>
      <c r="D41">
        <v>2</v>
      </c>
      <c r="E41" t="s">
        <v>7</v>
      </c>
      <c r="F41">
        <v>2</v>
      </c>
      <c r="G41" t="s">
        <v>7</v>
      </c>
      <c r="H41">
        <v>2</v>
      </c>
      <c r="I41" t="s">
        <v>7</v>
      </c>
      <c r="J41">
        <v>2</v>
      </c>
      <c r="K41" t="s">
        <v>7</v>
      </c>
      <c r="L41">
        <v>2</v>
      </c>
      <c r="M41" t="s">
        <v>7</v>
      </c>
      <c r="N41">
        <v>2</v>
      </c>
    </row>
    <row r="42" spans="1:14" x14ac:dyDescent="0.25">
      <c r="A42">
        <v>2020</v>
      </c>
      <c r="B42">
        <v>1</v>
      </c>
      <c r="C42">
        <v>1021</v>
      </c>
      <c r="D42" t="s">
        <v>7</v>
      </c>
      <c r="E42">
        <v>288</v>
      </c>
      <c r="F42" t="s">
        <v>7</v>
      </c>
      <c r="G42">
        <v>733</v>
      </c>
      <c r="H42" t="s">
        <v>7</v>
      </c>
      <c r="I42">
        <v>788</v>
      </c>
      <c r="J42" t="s">
        <v>7</v>
      </c>
      <c r="K42">
        <v>133</v>
      </c>
      <c r="L42" t="s">
        <v>7</v>
      </c>
      <c r="M42">
        <v>655</v>
      </c>
      <c r="N42" t="s">
        <v>7</v>
      </c>
    </row>
    <row r="43" spans="1:14" x14ac:dyDescent="0.25">
      <c r="A43">
        <v>2020</v>
      </c>
      <c r="B43">
        <v>2</v>
      </c>
      <c r="C43">
        <v>963</v>
      </c>
      <c r="D43" t="s">
        <v>7</v>
      </c>
      <c r="E43">
        <v>175</v>
      </c>
      <c r="F43" t="s">
        <v>7</v>
      </c>
      <c r="G43">
        <v>788</v>
      </c>
      <c r="H43" t="s">
        <v>7</v>
      </c>
      <c r="I43">
        <v>666</v>
      </c>
      <c r="J43" t="s">
        <v>7</v>
      </c>
      <c r="K43">
        <v>122</v>
      </c>
      <c r="L43" t="s">
        <v>7</v>
      </c>
      <c r="M43">
        <v>544</v>
      </c>
      <c r="N43" t="s">
        <v>7</v>
      </c>
    </row>
    <row r="44" spans="1:14" x14ac:dyDescent="0.25">
      <c r="A44">
        <v>2020</v>
      </c>
      <c r="B44">
        <v>3</v>
      </c>
      <c r="C44">
        <v>1127</v>
      </c>
      <c r="D44" t="s">
        <v>7</v>
      </c>
      <c r="E44">
        <v>163</v>
      </c>
      <c r="F44" t="s">
        <v>7</v>
      </c>
      <c r="G44">
        <v>964</v>
      </c>
      <c r="H44" t="s">
        <v>7</v>
      </c>
      <c r="I44">
        <v>1124</v>
      </c>
      <c r="J44" t="s">
        <v>7</v>
      </c>
      <c r="K44">
        <v>146</v>
      </c>
      <c r="L44" t="s">
        <v>7</v>
      </c>
      <c r="M44">
        <v>978</v>
      </c>
      <c r="N44" t="s">
        <v>7</v>
      </c>
    </row>
    <row r="45" spans="1:14" x14ac:dyDescent="0.25">
      <c r="A45">
        <v>2020</v>
      </c>
      <c r="B45">
        <v>4</v>
      </c>
      <c r="C45">
        <v>896</v>
      </c>
      <c r="D45" t="s">
        <v>7</v>
      </c>
      <c r="E45">
        <v>118</v>
      </c>
      <c r="F45" t="s">
        <v>7</v>
      </c>
      <c r="G45">
        <v>778</v>
      </c>
      <c r="H45" t="s">
        <v>7</v>
      </c>
      <c r="I45">
        <v>1177</v>
      </c>
      <c r="J45" t="s">
        <v>7</v>
      </c>
      <c r="K45">
        <v>170</v>
      </c>
      <c r="L45" t="s">
        <v>7</v>
      </c>
      <c r="M45">
        <v>1007</v>
      </c>
      <c r="N45" t="s">
        <v>7</v>
      </c>
    </row>
    <row r="46" spans="1:14" x14ac:dyDescent="0.25">
      <c r="A46">
        <v>2021</v>
      </c>
      <c r="B46">
        <v>1</v>
      </c>
      <c r="C46">
        <v>1341</v>
      </c>
      <c r="D46" t="s">
        <v>7</v>
      </c>
      <c r="E46">
        <v>116</v>
      </c>
      <c r="F46" t="s">
        <v>7</v>
      </c>
      <c r="G46">
        <v>1225</v>
      </c>
      <c r="H46" t="s">
        <v>7</v>
      </c>
      <c r="I46">
        <v>1040</v>
      </c>
      <c r="J46" t="s">
        <v>7</v>
      </c>
      <c r="K46">
        <v>172</v>
      </c>
      <c r="L46" t="s">
        <v>7</v>
      </c>
      <c r="M46">
        <v>868</v>
      </c>
      <c r="N46" t="s">
        <v>7</v>
      </c>
    </row>
    <row r="47" spans="1:14" x14ac:dyDescent="0.25">
      <c r="A47">
        <v>2021</v>
      </c>
      <c r="B47">
        <v>2</v>
      </c>
      <c r="C47">
        <v>1447</v>
      </c>
      <c r="D47" t="s">
        <v>7</v>
      </c>
      <c r="E47">
        <v>108</v>
      </c>
      <c r="F47" t="s">
        <v>7</v>
      </c>
      <c r="G47">
        <v>1339</v>
      </c>
      <c r="H47" t="s">
        <v>7</v>
      </c>
      <c r="I47">
        <v>1276</v>
      </c>
      <c r="J47" t="s">
        <v>7</v>
      </c>
      <c r="K47">
        <v>177</v>
      </c>
      <c r="L47" t="s">
        <v>7</v>
      </c>
      <c r="M47">
        <v>1099</v>
      </c>
      <c r="N47" t="s">
        <v>7</v>
      </c>
    </row>
    <row r="48" spans="1:14" x14ac:dyDescent="0.25">
      <c r="A48">
        <v>2021</v>
      </c>
      <c r="B48">
        <v>3</v>
      </c>
      <c r="C48">
        <v>1341</v>
      </c>
      <c r="D48" t="s">
        <v>7</v>
      </c>
      <c r="E48">
        <v>135</v>
      </c>
      <c r="F48" t="s">
        <v>7</v>
      </c>
      <c r="G48">
        <v>1206</v>
      </c>
      <c r="H48" t="s">
        <v>7</v>
      </c>
      <c r="I48">
        <v>921</v>
      </c>
      <c r="J48" t="s">
        <v>7</v>
      </c>
      <c r="K48">
        <v>156</v>
      </c>
      <c r="L48" t="s">
        <v>7</v>
      </c>
      <c r="M48">
        <v>765</v>
      </c>
      <c r="N48" t="s">
        <v>7</v>
      </c>
    </row>
    <row r="49" spans="1:14" x14ac:dyDescent="0.25">
      <c r="A49">
        <v>2021</v>
      </c>
      <c r="B49">
        <v>4</v>
      </c>
      <c r="C49">
        <v>1515</v>
      </c>
      <c r="D49" t="s">
        <v>7</v>
      </c>
      <c r="E49">
        <v>162</v>
      </c>
      <c r="F49" t="s">
        <v>7</v>
      </c>
      <c r="G49">
        <v>1353</v>
      </c>
      <c r="H49" t="s">
        <v>7</v>
      </c>
      <c r="I49">
        <v>754</v>
      </c>
      <c r="J49" t="s">
        <v>7</v>
      </c>
      <c r="K49">
        <v>144</v>
      </c>
      <c r="L49" t="s">
        <v>7</v>
      </c>
      <c r="M49">
        <v>610</v>
      </c>
      <c r="N49" t="s">
        <v>7</v>
      </c>
    </row>
    <row r="50" spans="1:14" x14ac:dyDescent="0.25">
      <c r="A50">
        <v>2022</v>
      </c>
      <c r="B50">
        <v>1</v>
      </c>
      <c r="C50">
        <v>1227</v>
      </c>
      <c r="D50" t="s">
        <v>7</v>
      </c>
      <c r="E50">
        <v>165</v>
      </c>
      <c r="F50" t="s">
        <v>7</v>
      </c>
      <c r="G50">
        <v>1062</v>
      </c>
      <c r="H50" t="s">
        <v>7</v>
      </c>
      <c r="I50">
        <v>987</v>
      </c>
      <c r="J50" t="s">
        <v>7</v>
      </c>
      <c r="K50">
        <v>129</v>
      </c>
      <c r="L50" t="s">
        <v>7</v>
      </c>
      <c r="M50">
        <v>858</v>
      </c>
      <c r="N50" t="s">
        <v>7</v>
      </c>
    </row>
    <row r="51" spans="1:14" x14ac:dyDescent="0.25">
      <c r="A51">
        <v>2022</v>
      </c>
      <c r="B51">
        <v>2</v>
      </c>
      <c r="C51">
        <v>1285</v>
      </c>
      <c r="D51" t="s">
        <v>7</v>
      </c>
      <c r="E51">
        <v>165</v>
      </c>
      <c r="F51" t="s">
        <v>7</v>
      </c>
      <c r="G51">
        <v>1120</v>
      </c>
      <c r="H51" t="s">
        <v>7</v>
      </c>
      <c r="I51">
        <v>1003</v>
      </c>
      <c r="J51" t="s">
        <v>7</v>
      </c>
      <c r="K51">
        <v>181</v>
      </c>
      <c r="L51" t="s">
        <v>7</v>
      </c>
      <c r="M51">
        <v>822</v>
      </c>
      <c r="N51" t="s">
        <v>7</v>
      </c>
    </row>
    <row r="52" spans="1:14" x14ac:dyDescent="0.25">
      <c r="A52">
        <v>2022</v>
      </c>
      <c r="B52">
        <v>3</v>
      </c>
      <c r="C52">
        <v>1161</v>
      </c>
      <c r="D52" t="s">
        <v>7</v>
      </c>
      <c r="E52">
        <v>144</v>
      </c>
      <c r="F52" t="s">
        <v>7</v>
      </c>
      <c r="G52">
        <v>1017</v>
      </c>
      <c r="H52" t="s">
        <v>7</v>
      </c>
      <c r="I52">
        <v>1026</v>
      </c>
      <c r="J52" t="s">
        <v>7</v>
      </c>
      <c r="K52">
        <v>204</v>
      </c>
      <c r="L52" t="s">
        <v>7</v>
      </c>
      <c r="M52">
        <v>822</v>
      </c>
      <c r="N52" t="s">
        <v>7</v>
      </c>
    </row>
    <row r="53" spans="1:14" x14ac:dyDescent="0.25">
      <c r="A53">
        <v>2022</v>
      </c>
      <c r="B53">
        <v>4</v>
      </c>
      <c r="C53">
        <v>957</v>
      </c>
      <c r="D53" t="s">
        <v>7</v>
      </c>
      <c r="E53">
        <v>154</v>
      </c>
      <c r="F53" t="s">
        <v>7</v>
      </c>
      <c r="G53">
        <v>803</v>
      </c>
      <c r="H53" t="s">
        <v>7</v>
      </c>
      <c r="I53">
        <v>1123</v>
      </c>
      <c r="J53" t="s">
        <v>7</v>
      </c>
      <c r="K53">
        <v>189</v>
      </c>
      <c r="L53" t="s">
        <v>7</v>
      </c>
      <c r="M53">
        <v>934</v>
      </c>
      <c r="N53" t="s">
        <v>7</v>
      </c>
    </row>
    <row r="54" spans="1:14" x14ac:dyDescent="0.25">
      <c r="A54">
        <v>2023</v>
      </c>
      <c r="B54">
        <v>1</v>
      </c>
      <c r="C54">
        <v>1097</v>
      </c>
      <c r="D54" t="s">
        <v>7</v>
      </c>
      <c r="E54">
        <v>158</v>
      </c>
      <c r="F54" t="s">
        <v>7</v>
      </c>
      <c r="G54">
        <v>939</v>
      </c>
      <c r="H54" t="s">
        <v>7</v>
      </c>
      <c r="I54">
        <v>1112</v>
      </c>
      <c r="J54" t="s">
        <v>7</v>
      </c>
      <c r="K54">
        <v>282</v>
      </c>
      <c r="L54" t="s">
        <v>7</v>
      </c>
      <c r="M54">
        <v>830</v>
      </c>
      <c r="N54" t="s">
        <v>7</v>
      </c>
    </row>
    <row r="55" spans="1:14" x14ac:dyDescent="0.25">
      <c r="A55">
        <v>2023</v>
      </c>
      <c r="B55">
        <v>2</v>
      </c>
      <c r="C55">
        <v>1017</v>
      </c>
      <c r="D55" t="s">
        <v>7</v>
      </c>
      <c r="E55">
        <v>211</v>
      </c>
      <c r="F55" t="s">
        <v>7</v>
      </c>
      <c r="G55">
        <v>806</v>
      </c>
      <c r="H55" t="s">
        <v>7</v>
      </c>
      <c r="I55">
        <v>965</v>
      </c>
      <c r="J55" t="s">
        <v>7</v>
      </c>
      <c r="K55">
        <v>309</v>
      </c>
      <c r="L55" t="s">
        <v>7</v>
      </c>
      <c r="M55">
        <v>656</v>
      </c>
      <c r="N55" t="s">
        <v>7</v>
      </c>
    </row>
    <row r="56" spans="1:14" x14ac:dyDescent="0.25">
      <c r="A56">
        <v>2023</v>
      </c>
      <c r="B56">
        <v>3</v>
      </c>
      <c r="C56">
        <v>1210</v>
      </c>
      <c r="D56" t="s">
        <v>7</v>
      </c>
      <c r="E56">
        <v>255</v>
      </c>
      <c r="F56" t="s">
        <v>7</v>
      </c>
      <c r="G56">
        <v>955</v>
      </c>
      <c r="H56" t="s">
        <v>7</v>
      </c>
      <c r="I56">
        <v>852</v>
      </c>
      <c r="J56" t="s">
        <v>7</v>
      </c>
      <c r="K56">
        <v>302</v>
      </c>
      <c r="L56" t="s">
        <v>7</v>
      </c>
      <c r="M56">
        <v>550</v>
      </c>
      <c r="N56" t="s">
        <v>7</v>
      </c>
    </row>
    <row r="57" spans="1:14" x14ac:dyDescent="0.25">
      <c r="A57">
        <v>2023</v>
      </c>
      <c r="B57">
        <v>4</v>
      </c>
      <c r="C57">
        <v>1312</v>
      </c>
      <c r="D57" t="s">
        <v>7</v>
      </c>
      <c r="E57">
        <v>255</v>
      </c>
      <c r="F57" t="s">
        <v>7</v>
      </c>
      <c r="G57">
        <v>1057</v>
      </c>
      <c r="H57" t="s">
        <v>7</v>
      </c>
      <c r="I57">
        <v>714</v>
      </c>
      <c r="J57" t="s">
        <v>7</v>
      </c>
      <c r="K57">
        <v>323</v>
      </c>
      <c r="L57" t="s">
        <v>7</v>
      </c>
      <c r="M57">
        <v>391</v>
      </c>
      <c r="N57" t="s">
        <v>7</v>
      </c>
    </row>
    <row r="58" spans="1:14" x14ac:dyDescent="0.25">
      <c r="A58">
        <v>2024</v>
      </c>
      <c r="B58">
        <v>1</v>
      </c>
      <c r="C58">
        <v>1189</v>
      </c>
      <c r="D58" t="s">
        <v>7</v>
      </c>
      <c r="E58">
        <v>273</v>
      </c>
      <c r="F58" t="s">
        <v>7</v>
      </c>
      <c r="G58">
        <v>916</v>
      </c>
      <c r="H58" t="s">
        <v>7</v>
      </c>
      <c r="I58">
        <v>538</v>
      </c>
      <c r="J58" t="s">
        <v>7</v>
      </c>
      <c r="K58">
        <v>222</v>
      </c>
      <c r="L58" t="s">
        <v>7</v>
      </c>
      <c r="M58">
        <v>316</v>
      </c>
      <c r="N58" t="s">
        <v>7</v>
      </c>
    </row>
    <row r="59" spans="1:14" x14ac:dyDescent="0.25">
      <c r="A59">
        <v>2024</v>
      </c>
      <c r="B59">
        <v>2</v>
      </c>
      <c r="C59">
        <v>1293</v>
      </c>
      <c r="D59" t="s">
        <v>7</v>
      </c>
      <c r="E59">
        <v>256</v>
      </c>
      <c r="F59" t="s">
        <v>7</v>
      </c>
      <c r="G59">
        <v>1037</v>
      </c>
      <c r="H59" t="s">
        <v>7</v>
      </c>
      <c r="I59">
        <v>235</v>
      </c>
      <c r="J59" t="s">
        <v>7</v>
      </c>
      <c r="K59">
        <v>116</v>
      </c>
      <c r="L59" t="s">
        <v>7</v>
      </c>
      <c r="M59">
        <v>119</v>
      </c>
      <c r="N59" t="s">
        <v>7</v>
      </c>
    </row>
    <row r="60" spans="1:14" x14ac:dyDescent="0.25">
      <c r="A60">
        <v>2024</v>
      </c>
      <c r="B60">
        <v>3</v>
      </c>
      <c r="C60">
        <v>1107</v>
      </c>
      <c r="D60" t="s">
        <v>7</v>
      </c>
      <c r="E60">
        <v>228</v>
      </c>
      <c r="F60" t="s">
        <v>7</v>
      </c>
      <c r="G60">
        <v>879</v>
      </c>
      <c r="H60" t="s">
        <v>7</v>
      </c>
      <c r="I60">
        <v>339</v>
      </c>
      <c r="J60" t="s">
        <v>7</v>
      </c>
      <c r="K60">
        <v>80</v>
      </c>
      <c r="L60" t="s">
        <v>7</v>
      </c>
      <c r="M60">
        <v>259</v>
      </c>
      <c r="N60" t="s">
        <v>7</v>
      </c>
    </row>
    <row r="61" spans="1:14" x14ac:dyDescent="0.25">
      <c r="A61">
        <v>2024</v>
      </c>
      <c r="B61">
        <v>4</v>
      </c>
      <c r="C61">
        <v>952</v>
      </c>
      <c r="D61" t="s">
        <v>7</v>
      </c>
      <c r="E61">
        <v>185</v>
      </c>
      <c r="F61" t="s">
        <v>7</v>
      </c>
      <c r="G61">
        <v>767</v>
      </c>
      <c r="H61" t="s">
        <v>7</v>
      </c>
      <c r="I61">
        <v>741</v>
      </c>
      <c r="J61" t="s">
        <v>7</v>
      </c>
      <c r="K61">
        <v>92</v>
      </c>
      <c r="L61" t="s">
        <v>7</v>
      </c>
      <c r="M61">
        <v>649</v>
      </c>
      <c r="N61" t="s">
        <v>7</v>
      </c>
    </row>
    <row r="62" spans="1:14" x14ac:dyDescent="0.25">
      <c r="A62">
        <v>2025</v>
      </c>
      <c r="B62">
        <v>1</v>
      </c>
      <c r="C62">
        <v>796</v>
      </c>
      <c r="D62" t="s">
        <v>7</v>
      </c>
      <c r="E62">
        <v>141</v>
      </c>
      <c r="F62" t="s">
        <v>7</v>
      </c>
      <c r="G62">
        <v>655</v>
      </c>
      <c r="H62" t="s">
        <v>7</v>
      </c>
      <c r="I62">
        <v>937</v>
      </c>
      <c r="J62" t="s">
        <v>7</v>
      </c>
      <c r="K62">
        <v>91</v>
      </c>
      <c r="L62" t="s">
        <v>7</v>
      </c>
      <c r="M62">
        <v>846</v>
      </c>
      <c r="N62" t="s">
        <v>7</v>
      </c>
    </row>
    <row r="63" spans="1:14" x14ac:dyDescent="0.25">
      <c r="A63">
        <v>2025</v>
      </c>
      <c r="B63">
        <v>2</v>
      </c>
      <c r="C63">
        <v>433</v>
      </c>
      <c r="D63" t="s">
        <v>7</v>
      </c>
      <c r="E63">
        <v>90</v>
      </c>
      <c r="F63" t="s">
        <v>7</v>
      </c>
      <c r="G63">
        <v>343</v>
      </c>
      <c r="H63" t="s">
        <v>7</v>
      </c>
      <c r="I63">
        <v>1032</v>
      </c>
      <c r="J63" t="s">
        <v>7</v>
      </c>
      <c r="K63">
        <v>98</v>
      </c>
      <c r="L63" t="s">
        <v>7</v>
      </c>
      <c r="M63">
        <v>934</v>
      </c>
      <c r="N63" t="s">
        <v>7</v>
      </c>
    </row>
    <row r="64" spans="1:14" x14ac:dyDescent="0.25">
      <c r="A64">
        <v>2025</v>
      </c>
      <c r="B64">
        <v>3</v>
      </c>
      <c r="C64">
        <v>376</v>
      </c>
      <c r="D64" t="s">
        <v>7</v>
      </c>
      <c r="E64">
        <v>67</v>
      </c>
      <c r="F64" t="s">
        <v>7</v>
      </c>
      <c r="G64">
        <v>309</v>
      </c>
      <c r="H64" t="s">
        <v>7</v>
      </c>
      <c r="I64">
        <v>952</v>
      </c>
      <c r="J64" t="s">
        <v>7</v>
      </c>
      <c r="K64">
        <v>158</v>
      </c>
      <c r="L64" t="s">
        <v>7</v>
      </c>
      <c r="M64">
        <v>794</v>
      </c>
      <c r="N64" t="s">
        <v>7</v>
      </c>
    </row>
    <row r="65" spans="1:14" x14ac:dyDescent="0.25">
      <c r="A65">
        <v>2025</v>
      </c>
      <c r="B65">
        <v>4</v>
      </c>
      <c r="C65">
        <v>271</v>
      </c>
      <c r="D65" t="s">
        <v>7</v>
      </c>
      <c r="E65">
        <v>103</v>
      </c>
      <c r="F65" t="s">
        <v>7</v>
      </c>
      <c r="G65">
        <v>168</v>
      </c>
      <c r="H65" t="s">
        <v>7</v>
      </c>
      <c r="I65">
        <v>525</v>
      </c>
      <c r="J65" t="s">
        <v>7</v>
      </c>
      <c r="K65">
        <v>121</v>
      </c>
      <c r="L65" t="s">
        <v>7</v>
      </c>
      <c r="M65">
        <v>404</v>
      </c>
      <c r="N6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6402-BB72-4450-A30C-4FE54FE3E432}">
  <dimension ref="A1:N25"/>
  <sheetViews>
    <sheetView workbookViewId="0"/>
  </sheetViews>
  <sheetFormatPr defaultRowHeight="15" x14ac:dyDescent="0.25"/>
  <cols>
    <col min="6" max="6" width="29" bestFit="1" customWidth="1"/>
    <col min="7" max="7" width="29.7109375" bestFit="1" customWidth="1"/>
    <col min="8" max="8" width="28.28515625" bestFit="1" customWidth="1"/>
  </cols>
  <sheetData>
    <row r="1" spans="1:14" x14ac:dyDescent="0.25">
      <c r="A1" t="s">
        <v>26</v>
      </c>
      <c r="B1" t="s">
        <v>27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 x14ac:dyDescent="0.25">
      <c r="A2">
        <v>2020</v>
      </c>
      <c r="B2">
        <v>1</v>
      </c>
      <c r="C2" t="s">
        <v>7</v>
      </c>
      <c r="D2" t="s">
        <v>7</v>
      </c>
      <c r="E2" t="s">
        <v>7</v>
      </c>
      <c r="F2" t="s">
        <v>7</v>
      </c>
      <c r="G2" t="s">
        <v>3</v>
      </c>
      <c r="H2">
        <v>40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</row>
    <row r="3" spans="1:14" x14ac:dyDescent="0.25">
      <c r="A3">
        <v>2020</v>
      </c>
      <c r="B3">
        <v>2</v>
      </c>
      <c r="C3" t="s">
        <v>7</v>
      </c>
      <c r="D3" t="s">
        <v>7</v>
      </c>
      <c r="E3" t="s">
        <v>7</v>
      </c>
      <c r="F3" t="s">
        <v>7</v>
      </c>
      <c r="G3" t="s">
        <v>3</v>
      </c>
      <c r="H3">
        <v>40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</row>
    <row r="4" spans="1:14" x14ac:dyDescent="0.25">
      <c r="A4">
        <v>2020</v>
      </c>
      <c r="B4">
        <v>3</v>
      </c>
      <c r="C4" t="s">
        <v>7</v>
      </c>
      <c r="D4" t="s">
        <v>7</v>
      </c>
      <c r="E4" t="s">
        <v>7</v>
      </c>
      <c r="F4" t="s">
        <v>7</v>
      </c>
      <c r="G4" t="s">
        <v>3</v>
      </c>
      <c r="H4">
        <v>40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</row>
    <row r="5" spans="1:14" x14ac:dyDescent="0.25">
      <c r="A5">
        <v>2020</v>
      </c>
      <c r="B5">
        <v>4</v>
      </c>
      <c r="C5" t="s">
        <v>7</v>
      </c>
      <c r="D5" t="s">
        <v>7</v>
      </c>
      <c r="E5" t="s">
        <v>7</v>
      </c>
      <c r="F5" t="s">
        <v>7</v>
      </c>
      <c r="G5" t="s">
        <v>3</v>
      </c>
      <c r="H5">
        <v>40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N5" t="s">
        <v>7</v>
      </c>
    </row>
    <row r="6" spans="1:14" x14ac:dyDescent="0.25">
      <c r="A6">
        <v>2021</v>
      </c>
      <c r="B6">
        <v>1</v>
      </c>
      <c r="C6">
        <v>5067</v>
      </c>
      <c r="D6">
        <v>2088</v>
      </c>
      <c r="E6">
        <v>2979</v>
      </c>
      <c r="F6">
        <v>744</v>
      </c>
      <c r="G6" t="s">
        <v>3</v>
      </c>
      <c r="H6">
        <v>40</v>
      </c>
      <c r="I6">
        <v>2141</v>
      </c>
      <c r="J6">
        <v>6.4</v>
      </c>
      <c r="K6">
        <v>3.2</v>
      </c>
      <c r="L6">
        <v>19.3</v>
      </c>
      <c r="M6">
        <v>8.1999999999999993</v>
      </c>
      <c r="N6">
        <v>42.253799092164989</v>
      </c>
    </row>
    <row r="7" spans="1:14" x14ac:dyDescent="0.25">
      <c r="A7">
        <v>2021</v>
      </c>
      <c r="B7">
        <v>2</v>
      </c>
      <c r="C7">
        <v>5608</v>
      </c>
      <c r="D7">
        <v>2389</v>
      </c>
      <c r="E7">
        <v>3219</v>
      </c>
      <c r="F7">
        <v>816</v>
      </c>
      <c r="G7" t="s">
        <v>3</v>
      </c>
      <c r="H7">
        <v>40</v>
      </c>
      <c r="I7">
        <v>2188</v>
      </c>
      <c r="J7">
        <v>7</v>
      </c>
      <c r="K7">
        <v>3.7</v>
      </c>
      <c r="L7">
        <v>20.5</v>
      </c>
      <c r="M7">
        <v>8.9</v>
      </c>
      <c r="N7">
        <v>39.015691868758914</v>
      </c>
    </row>
    <row r="8" spans="1:14" x14ac:dyDescent="0.25">
      <c r="A8">
        <v>2021</v>
      </c>
      <c r="B8">
        <v>3</v>
      </c>
      <c r="C8">
        <v>6231</v>
      </c>
      <c r="D8">
        <v>2722</v>
      </c>
      <c r="E8">
        <v>3509</v>
      </c>
      <c r="F8">
        <v>1057</v>
      </c>
      <c r="G8" t="s">
        <v>3</v>
      </c>
      <c r="H8">
        <v>40</v>
      </c>
      <c r="I8">
        <v>2250</v>
      </c>
      <c r="J8">
        <v>7.7</v>
      </c>
      <c r="K8">
        <v>4.2</v>
      </c>
      <c r="L8">
        <v>21.9</v>
      </c>
      <c r="M8">
        <v>11.2</v>
      </c>
      <c r="N8">
        <v>36.109773712084738</v>
      </c>
    </row>
    <row r="9" spans="1:14" x14ac:dyDescent="0.25">
      <c r="A9">
        <v>2021</v>
      </c>
      <c r="B9">
        <v>4</v>
      </c>
      <c r="C9">
        <v>5872</v>
      </c>
      <c r="D9">
        <v>2448</v>
      </c>
      <c r="E9">
        <v>3424</v>
      </c>
      <c r="F9">
        <v>890</v>
      </c>
      <c r="G9" t="s">
        <v>3</v>
      </c>
      <c r="H9">
        <v>40</v>
      </c>
      <c r="I9">
        <v>2251</v>
      </c>
      <c r="J9">
        <v>7.3</v>
      </c>
      <c r="K9">
        <v>3.8</v>
      </c>
      <c r="L9">
        <v>21.5</v>
      </c>
      <c r="M9">
        <v>9.6</v>
      </c>
      <c r="N9">
        <v>38.334468664850135</v>
      </c>
    </row>
    <row r="10" spans="1:14" x14ac:dyDescent="0.25">
      <c r="A10">
        <v>2022</v>
      </c>
      <c r="B10">
        <v>1</v>
      </c>
      <c r="C10">
        <v>5683</v>
      </c>
      <c r="D10">
        <v>2304</v>
      </c>
      <c r="E10">
        <v>3379</v>
      </c>
      <c r="F10">
        <v>822</v>
      </c>
      <c r="G10" t="s">
        <v>3</v>
      </c>
      <c r="H10">
        <v>40</v>
      </c>
      <c r="I10">
        <v>2401</v>
      </c>
      <c r="J10">
        <v>6.9</v>
      </c>
      <c r="K10">
        <v>3.5</v>
      </c>
      <c r="L10">
        <v>20</v>
      </c>
      <c r="M10">
        <v>8.9</v>
      </c>
      <c r="N10">
        <v>42.248812247052612</v>
      </c>
    </row>
    <row r="11" spans="1:14" x14ac:dyDescent="0.25">
      <c r="A11">
        <v>2022</v>
      </c>
      <c r="B11">
        <v>2</v>
      </c>
      <c r="C11">
        <v>5408</v>
      </c>
      <c r="D11">
        <v>2069</v>
      </c>
      <c r="E11">
        <v>3339</v>
      </c>
      <c r="F11">
        <v>746</v>
      </c>
      <c r="G11" t="s">
        <v>3</v>
      </c>
      <c r="H11">
        <v>40</v>
      </c>
      <c r="I11">
        <v>2535</v>
      </c>
      <c r="J11">
        <v>6.6</v>
      </c>
      <c r="K11">
        <v>3.2</v>
      </c>
      <c r="L11">
        <v>19.8</v>
      </c>
      <c r="M11">
        <v>8.1999999999999993</v>
      </c>
      <c r="N11">
        <v>46.875</v>
      </c>
    </row>
    <row r="12" spans="1:14" x14ac:dyDescent="0.25">
      <c r="A12">
        <v>2022</v>
      </c>
      <c r="B12">
        <v>3</v>
      </c>
      <c r="C12">
        <v>5454</v>
      </c>
      <c r="D12">
        <v>2039</v>
      </c>
      <c r="E12">
        <v>3415</v>
      </c>
      <c r="F12">
        <v>797</v>
      </c>
      <c r="G12" t="s">
        <v>3</v>
      </c>
      <c r="H12">
        <v>40</v>
      </c>
      <c r="I12">
        <v>2701</v>
      </c>
      <c r="J12">
        <v>6.7</v>
      </c>
      <c r="K12">
        <v>3.1</v>
      </c>
      <c r="L12">
        <v>20.100000000000001</v>
      </c>
      <c r="M12">
        <v>8.6999999999999993</v>
      </c>
      <c r="N12">
        <v>49.523285661899521</v>
      </c>
    </row>
    <row r="13" spans="1:14" x14ac:dyDescent="0.25">
      <c r="A13">
        <v>2022</v>
      </c>
      <c r="B13">
        <v>4</v>
      </c>
      <c r="C13">
        <v>5159</v>
      </c>
      <c r="D13">
        <v>1914</v>
      </c>
      <c r="E13">
        <v>3245</v>
      </c>
      <c r="F13">
        <v>730</v>
      </c>
      <c r="G13" t="s">
        <v>3</v>
      </c>
      <c r="H13">
        <v>40</v>
      </c>
      <c r="I13">
        <v>2619</v>
      </c>
      <c r="J13">
        <v>6.3</v>
      </c>
      <c r="K13">
        <v>3</v>
      </c>
      <c r="L13">
        <v>19.3</v>
      </c>
      <c r="M13">
        <v>8</v>
      </c>
      <c r="N13">
        <v>50.765652258189576</v>
      </c>
    </row>
    <row r="14" spans="1:14" x14ac:dyDescent="0.25">
      <c r="A14">
        <v>2023</v>
      </c>
      <c r="B14">
        <v>1</v>
      </c>
      <c r="C14">
        <v>4836</v>
      </c>
      <c r="D14">
        <v>1754</v>
      </c>
      <c r="E14">
        <v>3082</v>
      </c>
      <c r="F14">
        <v>635</v>
      </c>
      <c r="G14" t="s">
        <v>3</v>
      </c>
      <c r="H14">
        <v>40</v>
      </c>
      <c r="I14">
        <v>2461</v>
      </c>
      <c r="J14">
        <v>6</v>
      </c>
      <c r="K14">
        <v>2.7</v>
      </c>
      <c r="L14">
        <v>18.3</v>
      </c>
      <c r="M14">
        <v>7.3</v>
      </c>
      <c r="N14">
        <v>50.889164598842015</v>
      </c>
    </row>
    <row r="15" spans="1:14" x14ac:dyDescent="0.25">
      <c r="A15">
        <v>2023</v>
      </c>
      <c r="B15">
        <v>2</v>
      </c>
      <c r="C15">
        <v>4641</v>
      </c>
      <c r="D15">
        <v>1660</v>
      </c>
      <c r="E15">
        <v>2981</v>
      </c>
      <c r="F15">
        <v>605</v>
      </c>
      <c r="G15" t="s">
        <v>3</v>
      </c>
      <c r="H15">
        <v>40</v>
      </c>
      <c r="I15">
        <v>2349</v>
      </c>
      <c r="J15">
        <v>5.8</v>
      </c>
      <c r="K15">
        <v>2.6</v>
      </c>
      <c r="L15">
        <v>17.8</v>
      </c>
      <c r="M15">
        <v>7</v>
      </c>
      <c r="N15">
        <v>50.614091790562377</v>
      </c>
    </row>
    <row r="16" spans="1:14" x14ac:dyDescent="0.25">
      <c r="A16">
        <v>2023</v>
      </c>
      <c r="B16">
        <v>3</v>
      </c>
      <c r="C16">
        <v>4624</v>
      </c>
      <c r="D16">
        <v>1736</v>
      </c>
      <c r="E16">
        <v>2888</v>
      </c>
      <c r="F16">
        <v>649</v>
      </c>
      <c r="G16" t="s">
        <v>3</v>
      </c>
      <c r="H16">
        <v>40</v>
      </c>
      <c r="I16">
        <v>2252</v>
      </c>
      <c r="J16">
        <v>5.9</v>
      </c>
      <c r="K16">
        <v>2.9</v>
      </c>
      <c r="L16">
        <v>17.399999999999999</v>
      </c>
      <c r="M16">
        <v>7.5</v>
      </c>
      <c r="N16">
        <v>48.702422145328725</v>
      </c>
    </row>
    <row r="17" spans="1:14" x14ac:dyDescent="0.25">
      <c r="A17">
        <v>2023</v>
      </c>
      <c r="B17">
        <v>4</v>
      </c>
      <c r="C17">
        <v>4734</v>
      </c>
      <c r="D17">
        <v>1751</v>
      </c>
      <c r="E17">
        <v>2983</v>
      </c>
      <c r="F17">
        <v>669</v>
      </c>
      <c r="G17" t="s">
        <v>3</v>
      </c>
      <c r="H17">
        <v>40</v>
      </c>
      <c r="I17">
        <v>2270</v>
      </c>
      <c r="J17">
        <v>5.9</v>
      </c>
      <c r="K17">
        <v>2.7</v>
      </c>
      <c r="L17">
        <v>17.899999999999999</v>
      </c>
      <c r="M17">
        <v>7.7</v>
      </c>
      <c r="N17">
        <v>47.950992817912969</v>
      </c>
    </row>
    <row r="18" spans="1:14" x14ac:dyDescent="0.25">
      <c r="A18">
        <v>2024</v>
      </c>
      <c r="B18">
        <v>1</v>
      </c>
      <c r="C18">
        <v>4699</v>
      </c>
      <c r="D18">
        <v>1714</v>
      </c>
      <c r="E18">
        <v>2985</v>
      </c>
      <c r="F18">
        <v>639</v>
      </c>
      <c r="G18" t="s">
        <v>3</v>
      </c>
      <c r="H18">
        <v>40</v>
      </c>
      <c r="I18">
        <v>2209</v>
      </c>
      <c r="J18">
        <v>5.6</v>
      </c>
      <c r="K18">
        <v>2.6</v>
      </c>
      <c r="L18">
        <v>16.7</v>
      </c>
      <c r="M18">
        <v>6.2</v>
      </c>
      <c r="N18">
        <v>47.010002128112369</v>
      </c>
    </row>
    <row r="19" spans="1:14" x14ac:dyDescent="0.25">
      <c r="A19">
        <v>2024</v>
      </c>
      <c r="B19">
        <v>2</v>
      </c>
      <c r="C19">
        <v>4613</v>
      </c>
      <c r="D19">
        <v>1651</v>
      </c>
      <c r="E19">
        <v>2962</v>
      </c>
      <c r="F19">
        <v>578</v>
      </c>
      <c r="G19" t="s">
        <v>3</v>
      </c>
      <c r="H19">
        <v>40</v>
      </c>
      <c r="I19">
        <v>2173</v>
      </c>
      <c r="J19">
        <v>5.5</v>
      </c>
      <c r="K19">
        <v>2.5</v>
      </c>
      <c r="L19">
        <v>16.5</v>
      </c>
      <c r="M19">
        <v>5.5</v>
      </c>
      <c r="N19">
        <v>47.106004769130713</v>
      </c>
    </row>
    <row r="20" spans="1:14" x14ac:dyDescent="0.25">
      <c r="A20">
        <v>2024</v>
      </c>
      <c r="B20">
        <v>3</v>
      </c>
      <c r="C20">
        <v>4810</v>
      </c>
      <c r="D20">
        <v>1775</v>
      </c>
      <c r="E20">
        <v>3035</v>
      </c>
      <c r="F20">
        <v>684</v>
      </c>
      <c r="G20" t="s">
        <v>3</v>
      </c>
      <c r="H20">
        <v>40</v>
      </c>
      <c r="I20">
        <v>2122</v>
      </c>
      <c r="J20">
        <v>5.7</v>
      </c>
      <c r="K20">
        <v>2.7</v>
      </c>
      <c r="L20">
        <v>16.7</v>
      </c>
      <c r="M20">
        <v>6.5</v>
      </c>
      <c r="N20">
        <v>44.11642411642412</v>
      </c>
    </row>
    <row r="21" spans="1:14" x14ac:dyDescent="0.25">
      <c r="A21">
        <v>2024</v>
      </c>
      <c r="B21">
        <v>4</v>
      </c>
      <c r="C21">
        <v>4735</v>
      </c>
      <c r="D21">
        <v>1728</v>
      </c>
      <c r="E21">
        <v>3007</v>
      </c>
      <c r="F21">
        <v>667</v>
      </c>
      <c r="G21" t="s">
        <v>3</v>
      </c>
      <c r="H21">
        <v>40</v>
      </c>
      <c r="I21">
        <v>2072</v>
      </c>
      <c r="J21">
        <v>5.6</v>
      </c>
      <c r="K21">
        <v>2.6</v>
      </c>
      <c r="L21">
        <v>16.5</v>
      </c>
      <c r="M21">
        <v>6.3</v>
      </c>
      <c r="N21">
        <v>43.75923970432946</v>
      </c>
    </row>
    <row r="22" spans="1:14" x14ac:dyDescent="0.25">
      <c r="A22">
        <v>2025</v>
      </c>
      <c r="B22">
        <v>1</v>
      </c>
      <c r="C22">
        <v>5004</v>
      </c>
      <c r="D22">
        <v>1879</v>
      </c>
      <c r="E22">
        <v>3125</v>
      </c>
      <c r="F22">
        <v>647</v>
      </c>
      <c r="G22" t="s">
        <v>3</v>
      </c>
      <c r="H22">
        <v>40</v>
      </c>
      <c r="I22">
        <v>2125</v>
      </c>
      <c r="J22">
        <v>5.9</v>
      </c>
      <c r="K22">
        <v>2.8</v>
      </c>
      <c r="L22">
        <v>16.899999999999999</v>
      </c>
      <c r="M22">
        <v>6</v>
      </c>
      <c r="N22">
        <v>42.466027178257391</v>
      </c>
    </row>
    <row r="23" spans="1:14" x14ac:dyDescent="0.25">
      <c r="A23">
        <v>2025</v>
      </c>
      <c r="B23">
        <v>2</v>
      </c>
      <c r="C23">
        <v>4823</v>
      </c>
      <c r="D23">
        <v>1790</v>
      </c>
      <c r="E23">
        <v>3033</v>
      </c>
      <c r="F23">
        <v>607</v>
      </c>
      <c r="G23" t="s">
        <v>3</v>
      </c>
      <c r="H23">
        <v>40</v>
      </c>
      <c r="I23">
        <v>2065</v>
      </c>
      <c r="J23">
        <v>5.7</v>
      </c>
      <c r="K23">
        <v>2.7</v>
      </c>
      <c r="L23">
        <v>16.3</v>
      </c>
      <c r="M23">
        <v>5.7</v>
      </c>
      <c r="N23">
        <v>42.815674891146585</v>
      </c>
    </row>
    <row r="24" spans="1:14" x14ac:dyDescent="0.25">
      <c r="A24">
        <v>2025</v>
      </c>
      <c r="B24">
        <v>3</v>
      </c>
      <c r="C24">
        <v>5118</v>
      </c>
      <c r="D24">
        <v>2039</v>
      </c>
      <c r="E24">
        <v>3079</v>
      </c>
      <c r="F24">
        <v>781</v>
      </c>
      <c r="G24" t="s">
        <v>3</v>
      </c>
      <c r="H24">
        <v>40</v>
      </c>
      <c r="I24">
        <v>2160</v>
      </c>
      <c r="J24">
        <v>6</v>
      </c>
      <c r="K24">
        <v>3.1</v>
      </c>
      <c r="L24">
        <v>16.5</v>
      </c>
      <c r="M24">
        <v>7.3</v>
      </c>
      <c r="N24">
        <v>42.203985932004692</v>
      </c>
    </row>
    <row r="25" spans="1:14" x14ac:dyDescent="0.25">
      <c r="A25">
        <v>2025</v>
      </c>
      <c r="B25">
        <v>4</v>
      </c>
      <c r="C25">
        <v>5134</v>
      </c>
      <c r="D25">
        <v>1990</v>
      </c>
      <c r="E25">
        <v>3144</v>
      </c>
      <c r="F25">
        <v>722</v>
      </c>
      <c r="G25" t="s">
        <v>3</v>
      </c>
      <c r="H25">
        <v>40</v>
      </c>
      <c r="I25">
        <v>2184</v>
      </c>
      <c r="J25">
        <v>6</v>
      </c>
      <c r="K25">
        <v>3</v>
      </c>
      <c r="L25">
        <v>16.8</v>
      </c>
      <c r="M25">
        <v>6.8</v>
      </c>
      <c r="N25">
        <v>42.539929879236468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Befolkningsförändringar</vt:lpstr>
      <vt:lpstr>Sysselsättning</vt:lpstr>
      <vt:lpstr>Bostadsbyggande</vt:lpstr>
      <vt:lpstr>Arbetslöshet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2026-02-27T17:53:53Z</dcterms:created>
  <dcterms:modified xsi:type="dcterms:W3CDTF">2026-03-13T15:15:26Z</dcterms:modified>
</cp:coreProperties>
</file>